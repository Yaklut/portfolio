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202300"/>
  <mc:AlternateContent xmlns:mc="http://schemas.openxmlformats.org/markup-compatibility/2006">
    <mc:Choice Requires="x15">
      <x15ac:absPath xmlns:x15ac="http://schemas.microsoft.com/office/spreadsheetml/2010/11/ac" url="https://d.docs.live.net/6f47437509373e6e/Documents/UB/Bootcamp/MySkill/Excel/Final Project/"/>
    </mc:Choice>
  </mc:AlternateContent>
  <xr:revisionPtr revIDLastSave="45" documentId="13_ncr:1_{98A06BDC-FF82-4795-8CE2-67E668CB789F}" xr6:coauthVersionLast="47" xr6:coauthVersionMax="47" xr10:uidLastSave="{C516AECB-3CDD-4942-8536-F799923DC3DB}"/>
  <bookViews>
    <workbookView xWindow="-120" yWindow="-120" windowWidth="29040" windowHeight="16440" activeTab="6" xr2:uid="{B2BE4D23-0B13-024E-8819-3ECC2F6EBEC5}"/>
  </bookViews>
  <sheets>
    <sheet name="Guide" sheetId="4" r:id="rId1"/>
    <sheet name="Order raw" sheetId="1" r:id="rId2"/>
    <sheet name="Discount" sheetId="2" r:id="rId3"/>
    <sheet name="Product" sheetId="3" r:id="rId4"/>
    <sheet name="Other financials" sheetId="5" r:id="rId5"/>
    <sheet name="Pivot" sheetId="6" r:id="rId6"/>
    <sheet name="Dashboard" sheetId="7" r:id="rId7"/>
  </sheets>
  <definedNames>
    <definedName name="_xlnm._FilterDatabase" localSheetId="1" hidden="1">'Order raw'!$A$1:$L$701</definedName>
    <definedName name="Slicer_Buyer_segment">#N/A</definedName>
    <definedName name="Slicer_Country_origin">#N/A</definedName>
    <definedName name="Slicer_Order_Year">#N/A</definedName>
  </definedNames>
  <calcPr calcId="191028"/>
  <pivotCaches>
    <pivotCache cacheId="0" r:id="rId8"/>
    <pivotCache cacheId="1"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14" i="6" l="1"/>
  <c r="AB15" i="6"/>
  <c r="AB16" i="6"/>
  <c r="AB17" i="6"/>
  <c r="AB18" i="6"/>
  <c r="AB13" i="6"/>
  <c r="N2" i="1" a="1"/>
  <c r="N2" i="1"/>
  <c r="N701" i="1" a="1"/>
  <c r="N701" i="1" s="1"/>
  <c r="N700" i="1" a="1"/>
  <c r="N700" i="1" s="1"/>
  <c r="N699" i="1" a="1"/>
  <c r="N699" i="1" s="1"/>
  <c r="N698" i="1" a="1"/>
  <c r="N698" i="1" s="1"/>
  <c r="N697" i="1" a="1"/>
  <c r="N697" i="1" s="1"/>
  <c r="N696" i="1" a="1"/>
  <c r="N696" i="1" s="1"/>
  <c r="N695" i="1" a="1"/>
  <c r="N695" i="1"/>
  <c r="N694" i="1" a="1"/>
  <c r="N694" i="1" s="1"/>
  <c r="N693" i="1" a="1"/>
  <c r="N693" i="1"/>
  <c r="N692" i="1" a="1"/>
  <c r="N692" i="1" s="1"/>
  <c r="N691" i="1" a="1"/>
  <c r="N691" i="1" s="1"/>
  <c r="N690" i="1" a="1"/>
  <c r="N690" i="1"/>
  <c r="N689" i="1" a="1"/>
  <c r="N689" i="1"/>
  <c r="N688" i="1" a="1"/>
  <c r="N688" i="1" s="1"/>
  <c r="N687" i="1" a="1"/>
  <c r="N687" i="1" s="1"/>
  <c r="N686" i="1" a="1"/>
  <c r="N686" i="1" s="1"/>
  <c r="N685" i="1" a="1"/>
  <c r="N685" i="1" s="1"/>
  <c r="N684" i="1" a="1"/>
  <c r="N684" i="1" s="1"/>
  <c r="N683" i="1" a="1"/>
  <c r="N683" i="1" s="1"/>
  <c r="N682" i="1" a="1"/>
  <c r="N682" i="1"/>
  <c r="N681" i="1" a="1"/>
  <c r="N681" i="1" s="1"/>
  <c r="N680" i="1" a="1"/>
  <c r="N680" i="1" s="1"/>
  <c r="N679" i="1" a="1"/>
  <c r="N679" i="1"/>
  <c r="N678" i="1" a="1"/>
  <c r="N678" i="1" s="1"/>
  <c r="N677" i="1" a="1"/>
  <c r="N677" i="1" s="1"/>
  <c r="N676" i="1" a="1"/>
  <c r="N676" i="1"/>
  <c r="N675" i="1" a="1"/>
  <c r="N675" i="1" s="1"/>
  <c r="N674" i="1" a="1"/>
  <c r="N674" i="1" s="1"/>
  <c r="N673" i="1" a="1"/>
  <c r="N673" i="1"/>
  <c r="N672" i="1" a="1"/>
  <c r="N672" i="1" s="1"/>
  <c r="N671" i="1" a="1"/>
  <c r="N671" i="1" s="1"/>
  <c r="N670" i="1" a="1"/>
  <c r="N670" i="1" s="1"/>
  <c r="N669" i="1" a="1"/>
  <c r="N669" i="1"/>
  <c r="N668" i="1" a="1"/>
  <c r="N668" i="1" s="1"/>
  <c r="N667" i="1" a="1"/>
  <c r="N667" i="1" s="1"/>
  <c r="N666" i="1" a="1"/>
  <c r="N666" i="1"/>
  <c r="N665" i="1" a="1"/>
  <c r="N665" i="1" s="1"/>
  <c r="N664" i="1" a="1"/>
  <c r="N664" i="1" s="1"/>
  <c r="N663" i="1" a="1"/>
  <c r="N663" i="1"/>
  <c r="N662" i="1" a="1"/>
  <c r="N662" i="1" s="1"/>
  <c r="N661" i="1" a="1"/>
  <c r="N661" i="1" s="1"/>
  <c r="N660" i="1" a="1"/>
  <c r="N660" i="1"/>
  <c r="N659" i="1" a="1"/>
  <c r="N659" i="1" s="1"/>
  <c r="N658" i="1" a="1"/>
  <c r="N658" i="1" s="1"/>
  <c r="N657" i="1" a="1"/>
  <c r="N657" i="1" s="1"/>
  <c r="N656" i="1" a="1"/>
  <c r="N656" i="1" s="1"/>
  <c r="N655" i="1" a="1"/>
  <c r="N655" i="1" s="1"/>
  <c r="N654" i="1" a="1"/>
  <c r="N654" i="1"/>
  <c r="N653" i="1" a="1"/>
  <c r="N653" i="1"/>
  <c r="N652" i="1" a="1"/>
  <c r="N652" i="1" s="1"/>
  <c r="N651" i="1" a="1"/>
  <c r="N651" i="1"/>
  <c r="N650" i="1" a="1"/>
  <c r="N650" i="1" s="1"/>
  <c r="N649" i="1" a="1"/>
  <c r="N649" i="1"/>
  <c r="N648" i="1" a="1"/>
  <c r="N648" i="1"/>
  <c r="N647" i="1" a="1"/>
  <c r="N647" i="1"/>
  <c r="N646" i="1" a="1"/>
  <c r="N646" i="1" s="1"/>
  <c r="N645" i="1" a="1"/>
  <c r="N645" i="1" s="1"/>
  <c r="N644" i="1" a="1"/>
  <c r="N644" i="1" s="1"/>
  <c r="N643" i="1" a="1"/>
  <c r="N643" i="1"/>
  <c r="N642" i="1" a="1"/>
  <c r="N642" i="1" s="1"/>
  <c r="N641" i="1" a="1"/>
  <c r="N641" i="1"/>
  <c r="N640" i="1" a="1"/>
  <c r="N640" i="1"/>
  <c r="N639" i="1" a="1"/>
  <c r="N639" i="1" s="1"/>
  <c r="N638" i="1" a="1"/>
  <c r="N638" i="1" s="1"/>
  <c r="N637" i="1" a="1"/>
  <c r="N637" i="1" s="1"/>
  <c r="N636" i="1" a="1"/>
  <c r="N636" i="1"/>
  <c r="N635" i="1" a="1"/>
  <c r="N635" i="1" s="1"/>
  <c r="N634" i="1" a="1"/>
  <c r="N634" i="1"/>
  <c r="N633" i="1" a="1"/>
  <c r="N633" i="1" s="1"/>
  <c r="N632" i="1" a="1"/>
  <c r="N632" i="1" s="1"/>
  <c r="N631" i="1" a="1"/>
  <c r="N631" i="1" s="1"/>
  <c r="N630" i="1" a="1"/>
  <c r="N630" i="1"/>
  <c r="N629" i="1" a="1"/>
  <c r="N629" i="1" s="1"/>
  <c r="N628" i="1" a="1"/>
  <c r="N628" i="1"/>
  <c r="N627" i="1" a="1"/>
  <c r="N627" i="1"/>
  <c r="N626" i="1" a="1"/>
  <c r="N626" i="1" s="1"/>
  <c r="N625" i="1" a="1"/>
  <c r="N625" i="1" s="1"/>
  <c r="N624" i="1" a="1"/>
  <c r="N624" i="1" s="1"/>
  <c r="N623" i="1" a="1"/>
  <c r="N623" i="1"/>
  <c r="N622" i="1" a="1"/>
  <c r="N622" i="1" s="1"/>
  <c r="N621" i="1" a="1"/>
  <c r="N621" i="1" s="1"/>
  <c r="N620" i="1" a="1"/>
  <c r="N620" i="1" s="1"/>
  <c r="N619" i="1" a="1"/>
  <c r="N619" i="1" s="1"/>
  <c r="N618" i="1" a="1"/>
  <c r="N618" i="1" s="1"/>
  <c r="N617" i="1" a="1"/>
  <c r="N617" i="1"/>
  <c r="N616" i="1" a="1"/>
  <c r="N616" i="1" s="1"/>
  <c r="N615" i="1" a="1"/>
  <c r="N615" i="1"/>
  <c r="N614" i="1" a="1"/>
  <c r="N614" i="1" s="1"/>
  <c r="N613" i="1" a="1"/>
  <c r="N613" i="1" s="1"/>
  <c r="N612" i="1" a="1"/>
  <c r="N612" i="1" s="1"/>
  <c r="N611" i="1" a="1"/>
  <c r="N611" i="1" s="1"/>
  <c r="N610" i="1" a="1"/>
  <c r="N610" i="1" s="1"/>
  <c r="N609" i="1" a="1"/>
  <c r="N609" i="1"/>
  <c r="N608" i="1" a="1"/>
  <c r="N608" i="1" s="1"/>
  <c r="N607" i="1" a="1"/>
  <c r="N607" i="1"/>
  <c r="N606" i="1" a="1"/>
  <c r="N606" i="1" s="1"/>
  <c r="N605" i="1" a="1"/>
  <c r="N605" i="1" s="1"/>
  <c r="N604" i="1" a="1"/>
  <c r="N604" i="1"/>
  <c r="N603" i="1" a="1"/>
  <c r="N603" i="1" s="1"/>
  <c r="N602" i="1" a="1"/>
  <c r="N602" i="1" s="1"/>
  <c r="N601" i="1" a="1"/>
  <c r="N601" i="1" s="1"/>
  <c r="N600" i="1" a="1"/>
  <c r="N600" i="1" s="1"/>
  <c r="N599" i="1" a="1"/>
  <c r="N599" i="1" s="1"/>
  <c r="N598" i="1" a="1"/>
  <c r="N598" i="1" s="1"/>
  <c r="N597" i="1" a="1"/>
  <c r="N597" i="1"/>
  <c r="N596" i="1" a="1"/>
  <c r="N596" i="1" s="1"/>
  <c r="N595" i="1" a="1"/>
  <c r="N595" i="1"/>
  <c r="N594" i="1" a="1"/>
  <c r="N594" i="1"/>
  <c r="N593" i="1" a="1"/>
  <c r="N593" i="1"/>
  <c r="N592" i="1" a="1"/>
  <c r="N592" i="1" s="1"/>
  <c r="N591" i="1" a="1"/>
  <c r="N591" i="1"/>
  <c r="N590" i="1" a="1"/>
  <c r="N590" i="1" s="1"/>
  <c r="N589" i="1" a="1"/>
  <c r="N589" i="1"/>
  <c r="N588" i="1" a="1"/>
  <c r="N588" i="1" s="1"/>
  <c r="N587" i="1" a="1"/>
  <c r="N587" i="1" s="1"/>
  <c r="N586" i="1" a="1"/>
  <c r="N586" i="1" s="1"/>
  <c r="N585" i="1" a="1"/>
  <c r="N585" i="1" s="1"/>
  <c r="N584" i="1" a="1"/>
  <c r="N584" i="1" s="1"/>
  <c r="N583" i="1" a="1"/>
  <c r="N583" i="1" s="1"/>
  <c r="N582" i="1" a="1"/>
  <c r="N582" i="1"/>
  <c r="N581" i="1" a="1"/>
  <c r="N581" i="1"/>
  <c r="N580" i="1" a="1"/>
  <c r="N580" i="1" s="1"/>
  <c r="N579" i="1" a="1"/>
  <c r="N579" i="1"/>
  <c r="N578" i="1" a="1"/>
  <c r="N578" i="1" s="1"/>
  <c r="N577" i="1" a="1"/>
  <c r="N577" i="1" s="1"/>
  <c r="N576" i="1" a="1"/>
  <c r="N576" i="1"/>
  <c r="N575" i="1" a="1"/>
  <c r="N575" i="1" s="1"/>
  <c r="N574" i="1" a="1"/>
  <c r="N574" i="1" s="1"/>
  <c r="N573" i="1" a="1"/>
  <c r="N573" i="1" s="1"/>
  <c r="N572" i="1" a="1"/>
  <c r="N572" i="1" s="1"/>
  <c r="N571" i="1" a="1"/>
  <c r="N571" i="1"/>
  <c r="N570" i="1" a="1"/>
  <c r="N570" i="1" s="1"/>
  <c r="N569" i="1" a="1"/>
  <c r="N569" i="1"/>
  <c r="N568" i="1" a="1"/>
  <c r="N568" i="1"/>
  <c r="N567" i="1" a="1"/>
  <c r="N567" i="1" s="1"/>
  <c r="N566" i="1" a="1"/>
  <c r="N566" i="1" s="1"/>
  <c r="N565" i="1" a="1"/>
  <c r="N565" i="1" s="1"/>
  <c r="N564" i="1" a="1"/>
  <c r="N564" i="1" s="1"/>
  <c r="N563" i="1" a="1"/>
  <c r="N563" i="1"/>
  <c r="N562" i="1" a="1"/>
  <c r="N562" i="1" s="1"/>
  <c r="N561" i="1" a="1"/>
  <c r="N561" i="1" s="1"/>
  <c r="N560" i="1" a="1"/>
  <c r="N560" i="1" s="1"/>
  <c r="N559" i="1" a="1"/>
  <c r="N559" i="1"/>
  <c r="N558" i="1" a="1"/>
  <c r="N558" i="1"/>
  <c r="N557" i="1" a="1"/>
  <c r="N557" i="1" s="1"/>
  <c r="N556" i="1" a="1"/>
  <c r="N556" i="1"/>
  <c r="N555" i="1" a="1"/>
  <c r="N555" i="1"/>
  <c r="N554" i="1" a="1"/>
  <c r="N554" i="1" s="1"/>
  <c r="N553" i="1" a="1"/>
  <c r="N553" i="1" s="1"/>
  <c r="N552" i="1" a="1"/>
  <c r="N552" i="1" s="1"/>
  <c r="N551" i="1" a="1"/>
  <c r="N551" i="1"/>
  <c r="N550" i="1" a="1"/>
  <c r="N550" i="1" s="1"/>
  <c r="N549" i="1" a="1"/>
  <c r="N549" i="1" s="1"/>
  <c r="N548" i="1" a="1"/>
  <c r="N548" i="1" s="1"/>
  <c r="N547" i="1" a="1"/>
  <c r="N547" i="1" s="1"/>
  <c r="N546" i="1" a="1"/>
  <c r="N546" i="1"/>
  <c r="N545" i="1" a="1"/>
  <c r="N545" i="1"/>
  <c r="N544" i="1" a="1"/>
  <c r="N544" i="1" s="1"/>
  <c r="N543" i="1" a="1"/>
  <c r="N543" i="1"/>
  <c r="N542" i="1" a="1"/>
  <c r="N542" i="1" s="1"/>
  <c r="N541" i="1" a="1"/>
  <c r="N541" i="1" s="1"/>
  <c r="N540" i="1" a="1"/>
  <c r="N540" i="1" s="1"/>
  <c r="N539" i="1" a="1"/>
  <c r="N539" i="1" s="1"/>
  <c r="N538" i="1" a="1"/>
  <c r="N538" i="1" s="1"/>
  <c r="N537" i="1" a="1"/>
  <c r="N537" i="1" s="1"/>
  <c r="N536" i="1" a="1"/>
  <c r="N536" i="1" s="1"/>
  <c r="N535" i="1" a="1"/>
  <c r="N535" i="1"/>
  <c r="N534" i="1" a="1"/>
  <c r="N534" i="1" s="1"/>
  <c r="N533" i="1" a="1"/>
  <c r="N533" i="1" s="1"/>
  <c r="N532" i="1" a="1"/>
  <c r="N532" i="1" s="1"/>
  <c r="N531" i="1" a="1"/>
  <c r="N531" i="1" s="1"/>
  <c r="N530" i="1" a="1"/>
  <c r="N530" i="1" s="1"/>
  <c r="N529" i="1" a="1"/>
  <c r="N529" i="1" s="1"/>
  <c r="N528" i="1" a="1"/>
  <c r="N528" i="1" s="1"/>
  <c r="N527" i="1" a="1"/>
  <c r="N527" i="1" s="1"/>
  <c r="N526" i="1" a="1"/>
  <c r="N526" i="1"/>
  <c r="N525" i="1" a="1"/>
  <c r="N525" i="1" s="1"/>
  <c r="N524" i="1" a="1"/>
  <c r="N524" i="1" s="1"/>
  <c r="N523" i="1" a="1"/>
  <c r="N523" i="1" s="1"/>
  <c r="N522" i="1" a="1"/>
  <c r="N522" i="1" s="1"/>
  <c r="N521" i="1" a="1"/>
  <c r="N521" i="1" s="1"/>
  <c r="N520" i="1" a="1"/>
  <c r="N520" i="1" s="1"/>
  <c r="N519" i="1" a="1"/>
  <c r="N519" i="1" s="1"/>
  <c r="N518" i="1" a="1"/>
  <c r="N518" i="1" s="1"/>
  <c r="N517" i="1" a="1"/>
  <c r="N517" i="1"/>
  <c r="N516" i="1" a="1"/>
  <c r="N516" i="1" s="1"/>
  <c r="N515" i="1" a="1"/>
  <c r="N515" i="1" s="1"/>
  <c r="N514" i="1" a="1"/>
  <c r="N514" i="1" s="1"/>
  <c r="N513" i="1" a="1"/>
  <c r="N513" i="1" s="1"/>
  <c r="N512" i="1" a="1"/>
  <c r="N512" i="1" s="1"/>
  <c r="N511" i="1" a="1"/>
  <c r="N511" i="1" s="1"/>
  <c r="N510" i="1" a="1"/>
  <c r="N510" i="1" s="1"/>
  <c r="N509" i="1" a="1"/>
  <c r="N509" i="1" s="1"/>
  <c r="N508" i="1" a="1"/>
  <c r="N508" i="1"/>
  <c r="N507" i="1" a="1"/>
  <c r="N507" i="1" s="1"/>
  <c r="N506" i="1" a="1"/>
  <c r="N506" i="1" s="1"/>
  <c r="N505" i="1" a="1"/>
  <c r="N505" i="1" s="1"/>
  <c r="N504" i="1" a="1"/>
  <c r="N504" i="1" s="1"/>
  <c r="N503" i="1" a="1"/>
  <c r="N503" i="1" s="1"/>
  <c r="N502" i="1" a="1"/>
  <c r="N502" i="1" s="1"/>
  <c r="N501" i="1" a="1"/>
  <c r="N501" i="1" s="1"/>
  <c r="N500" i="1" a="1"/>
  <c r="N500" i="1" s="1"/>
  <c r="N499" i="1" a="1"/>
  <c r="N499" i="1"/>
  <c r="N498" i="1" a="1"/>
  <c r="N498" i="1" s="1"/>
  <c r="N497" i="1" a="1"/>
  <c r="N497" i="1" s="1"/>
  <c r="N496" i="1" a="1"/>
  <c r="N496" i="1" s="1"/>
  <c r="N495" i="1" a="1"/>
  <c r="N495" i="1" s="1"/>
  <c r="N494" i="1" a="1"/>
  <c r="N494" i="1" s="1"/>
  <c r="N493" i="1" a="1"/>
  <c r="N493" i="1" s="1"/>
  <c r="N492" i="1" a="1"/>
  <c r="N492" i="1" s="1"/>
  <c r="N491" i="1" a="1"/>
  <c r="N491" i="1" s="1"/>
  <c r="N490" i="1" a="1"/>
  <c r="N490" i="1" s="1"/>
  <c r="N489" i="1" a="1"/>
  <c r="N489" i="1" s="1"/>
  <c r="N488" i="1" a="1"/>
  <c r="N488" i="1" s="1"/>
  <c r="N487" i="1" a="1"/>
  <c r="N487" i="1" s="1"/>
  <c r="N486" i="1" a="1"/>
  <c r="N486" i="1" s="1"/>
  <c r="N485" i="1" a="1"/>
  <c r="N485" i="1" s="1"/>
  <c r="N484" i="1" a="1"/>
  <c r="N484" i="1" s="1"/>
  <c r="N483" i="1" a="1"/>
  <c r="N483" i="1" s="1"/>
  <c r="N482" i="1" a="1"/>
  <c r="N482" i="1" s="1"/>
  <c r="N481" i="1" a="1"/>
  <c r="N481" i="1" s="1"/>
  <c r="N480" i="1" a="1"/>
  <c r="N480" i="1" s="1"/>
  <c r="N479" i="1" a="1"/>
  <c r="N479" i="1" s="1"/>
  <c r="N478" i="1" a="1"/>
  <c r="N478" i="1" s="1"/>
  <c r="N477" i="1" a="1"/>
  <c r="N477" i="1" s="1"/>
  <c r="N476" i="1" a="1"/>
  <c r="N476" i="1" s="1"/>
  <c r="N475" i="1" a="1"/>
  <c r="N475" i="1" s="1"/>
  <c r="N474" i="1" a="1"/>
  <c r="N474" i="1" s="1"/>
  <c r="N473" i="1" a="1"/>
  <c r="N473" i="1" s="1"/>
  <c r="N472" i="1" a="1"/>
  <c r="N472" i="1" s="1"/>
  <c r="N471" i="1" a="1"/>
  <c r="N471" i="1" s="1"/>
  <c r="N470" i="1" a="1"/>
  <c r="N470" i="1" s="1"/>
  <c r="N469" i="1" a="1"/>
  <c r="N469" i="1" s="1"/>
  <c r="N468" i="1" a="1"/>
  <c r="N468" i="1" s="1"/>
  <c r="N467" i="1" a="1"/>
  <c r="N467" i="1" s="1"/>
  <c r="N466" i="1" a="1"/>
  <c r="N466" i="1" s="1"/>
  <c r="N465" i="1" a="1"/>
  <c r="N465" i="1" s="1"/>
  <c r="N464" i="1" a="1"/>
  <c r="N464" i="1" s="1"/>
  <c r="N463" i="1" a="1"/>
  <c r="N463" i="1" s="1"/>
  <c r="N462" i="1" a="1"/>
  <c r="N462" i="1" s="1"/>
  <c r="N461" i="1" a="1"/>
  <c r="N461" i="1" s="1"/>
  <c r="N460" i="1" a="1"/>
  <c r="N460" i="1" s="1"/>
  <c r="N459" i="1" a="1"/>
  <c r="N459" i="1" s="1"/>
  <c r="N458" i="1" a="1"/>
  <c r="N458" i="1" s="1"/>
  <c r="N457" i="1" a="1"/>
  <c r="N457" i="1" s="1"/>
  <c r="N456" i="1" a="1"/>
  <c r="N456" i="1" s="1"/>
  <c r="N455" i="1" a="1"/>
  <c r="N455" i="1" s="1"/>
  <c r="N454" i="1" a="1"/>
  <c r="N454" i="1" s="1"/>
  <c r="N453" i="1" a="1"/>
  <c r="N453" i="1" s="1"/>
  <c r="N452" i="1" a="1"/>
  <c r="N452" i="1" s="1"/>
  <c r="N451" i="1" a="1"/>
  <c r="N451" i="1" s="1"/>
  <c r="N450" i="1" a="1"/>
  <c r="N450" i="1" s="1"/>
  <c r="N449" i="1" a="1"/>
  <c r="N449" i="1" s="1"/>
  <c r="N448" i="1" a="1"/>
  <c r="N448" i="1" s="1"/>
  <c r="N447" i="1" a="1"/>
  <c r="N447" i="1" s="1"/>
  <c r="N446" i="1" a="1"/>
  <c r="N446" i="1" s="1"/>
  <c r="N445" i="1" a="1"/>
  <c r="N445" i="1" s="1"/>
  <c r="N444" i="1" a="1"/>
  <c r="N444" i="1" s="1"/>
  <c r="N443" i="1" a="1"/>
  <c r="N443" i="1" s="1"/>
  <c r="N442" i="1" a="1"/>
  <c r="N442" i="1" s="1"/>
  <c r="N441" i="1" a="1"/>
  <c r="N441" i="1" s="1"/>
  <c r="N440" i="1" a="1"/>
  <c r="N440" i="1" s="1"/>
  <c r="N439" i="1" a="1"/>
  <c r="N439" i="1" s="1"/>
  <c r="N438" i="1" a="1"/>
  <c r="N438" i="1" s="1"/>
  <c r="N437" i="1" a="1"/>
  <c r="N437" i="1" s="1"/>
  <c r="N436" i="1" a="1"/>
  <c r="N436" i="1" s="1"/>
  <c r="N435" i="1" a="1"/>
  <c r="N435" i="1" s="1"/>
  <c r="N434" i="1" a="1"/>
  <c r="N434" i="1" s="1"/>
  <c r="N433" i="1" a="1"/>
  <c r="N433" i="1" s="1"/>
  <c r="N432" i="1" a="1"/>
  <c r="N432" i="1" s="1"/>
  <c r="N431" i="1" a="1"/>
  <c r="N431" i="1" s="1"/>
  <c r="N430" i="1" a="1"/>
  <c r="N430" i="1" s="1"/>
  <c r="N429" i="1" a="1"/>
  <c r="N429" i="1" s="1"/>
  <c r="N428" i="1" a="1"/>
  <c r="N428" i="1" s="1"/>
  <c r="N427" i="1" a="1"/>
  <c r="N427" i="1" s="1"/>
  <c r="N426" i="1" a="1"/>
  <c r="N426" i="1" s="1"/>
  <c r="N425" i="1" a="1"/>
  <c r="N425" i="1" s="1"/>
  <c r="N424" i="1" a="1"/>
  <c r="N424" i="1" s="1"/>
  <c r="N423" i="1" a="1"/>
  <c r="N423" i="1" s="1"/>
  <c r="N422" i="1" a="1"/>
  <c r="N422" i="1" s="1"/>
  <c r="N421" i="1" a="1"/>
  <c r="N421" i="1" s="1"/>
  <c r="N420" i="1" a="1"/>
  <c r="N420" i="1" s="1"/>
  <c r="N419" i="1" a="1"/>
  <c r="N419" i="1" s="1"/>
  <c r="N418" i="1" a="1"/>
  <c r="N418" i="1" s="1"/>
  <c r="N417" i="1" a="1"/>
  <c r="N417" i="1" s="1"/>
  <c r="N416" i="1" a="1"/>
  <c r="N416" i="1" s="1"/>
  <c r="N415" i="1" a="1"/>
  <c r="N415" i="1" s="1"/>
  <c r="N414" i="1" a="1"/>
  <c r="N414" i="1" s="1"/>
  <c r="N413" i="1" a="1"/>
  <c r="N413" i="1" s="1"/>
  <c r="N412" i="1" a="1"/>
  <c r="N412" i="1" s="1"/>
  <c r="N411" i="1" a="1"/>
  <c r="N411" i="1" s="1"/>
  <c r="N410" i="1" a="1"/>
  <c r="N410" i="1" s="1"/>
  <c r="N409" i="1" a="1"/>
  <c r="N409" i="1" s="1"/>
  <c r="N408" i="1" a="1"/>
  <c r="N408" i="1" s="1"/>
  <c r="N407" i="1" a="1"/>
  <c r="N407" i="1" s="1"/>
  <c r="N406" i="1" a="1"/>
  <c r="N406" i="1" s="1"/>
  <c r="N405" i="1" a="1"/>
  <c r="N405" i="1" s="1"/>
  <c r="N404" i="1" a="1"/>
  <c r="N404" i="1" s="1"/>
  <c r="N403" i="1" a="1"/>
  <c r="N403" i="1" s="1"/>
  <c r="N402" i="1" a="1"/>
  <c r="N402" i="1" s="1"/>
  <c r="N401" i="1" a="1"/>
  <c r="N401" i="1" s="1"/>
  <c r="N400" i="1" a="1"/>
  <c r="N400" i="1" s="1"/>
  <c r="N399" i="1" a="1"/>
  <c r="N399" i="1" s="1"/>
  <c r="N398" i="1" a="1"/>
  <c r="N398" i="1" s="1"/>
  <c r="N397" i="1" a="1"/>
  <c r="N397" i="1" s="1"/>
  <c r="N396" i="1" a="1"/>
  <c r="N396" i="1" s="1"/>
  <c r="N395" i="1" a="1"/>
  <c r="N395" i="1" s="1"/>
  <c r="N394" i="1" a="1"/>
  <c r="N394" i="1" s="1"/>
  <c r="N393" i="1" a="1"/>
  <c r="N393" i="1" s="1"/>
  <c r="N392" i="1" a="1"/>
  <c r="N392" i="1" s="1"/>
  <c r="N391" i="1" a="1"/>
  <c r="N391" i="1" s="1"/>
  <c r="N390" i="1" a="1"/>
  <c r="N390" i="1" s="1"/>
  <c r="N389" i="1" a="1"/>
  <c r="N389" i="1" s="1"/>
  <c r="N388" i="1" a="1"/>
  <c r="N388" i="1" s="1"/>
  <c r="N387" i="1" a="1"/>
  <c r="N387" i="1" s="1"/>
  <c r="N386" i="1" a="1"/>
  <c r="N386" i="1" s="1"/>
  <c r="N385" i="1" a="1"/>
  <c r="N385" i="1" s="1"/>
  <c r="N384" i="1" a="1"/>
  <c r="N384" i="1" s="1"/>
  <c r="N383" i="1" a="1"/>
  <c r="N383" i="1" s="1"/>
  <c r="N382" i="1" a="1"/>
  <c r="N382" i="1" s="1"/>
  <c r="N381" i="1" a="1"/>
  <c r="N381" i="1" s="1"/>
  <c r="N380" i="1" a="1"/>
  <c r="N380" i="1" s="1"/>
  <c r="N379" i="1" a="1"/>
  <c r="N379" i="1" s="1"/>
  <c r="N378" i="1" a="1"/>
  <c r="N378" i="1" s="1"/>
  <c r="N377" i="1" a="1"/>
  <c r="N377" i="1" s="1"/>
  <c r="N376" i="1" a="1"/>
  <c r="N376" i="1" s="1"/>
  <c r="N375" i="1" a="1"/>
  <c r="N375" i="1" s="1"/>
  <c r="N374" i="1" a="1"/>
  <c r="N374" i="1" s="1"/>
  <c r="N373" i="1" a="1"/>
  <c r="N373" i="1" s="1"/>
  <c r="N372" i="1" a="1"/>
  <c r="N372" i="1" s="1"/>
  <c r="N371" i="1" a="1"/>
  <c r="N371" i="1" s="1"/>
  <c r="N370" i="1" a="1"/>
  <c r="N370" i="1" s="1"/>
  <c r="N369" i="1" a="1"/>
  <c r="N369" i="1" s="1"/>
  <c r="N368" i="1" a="1"/>
  <c r="N368" i="1" s="1"/>
  <c r="N367" i="1" a="1"/>
  <c r="N367" i="1" s="1"/>
  <c r="N366" i="1" a="1"/>
  <c r="N366" i="1" s="1"/>
  <c r="N365" i="1" a="1"/>
  <c r="N365" i="1" s="1"/>
  <c r="N364" i="1" a="1"/>
  <c r="N364" i="1" s="1"/>
  <c r="N363" i="1" a="1"/>
  <c r="N363" i="1" s="1"/>
  <c r="N362" i="1" a="1"/>
  <c r="N362" i="1" s="1"/>
  <c r="N361" i="1" a="1"/>
  <c r="N361" i="1" s="1"/>
  <c r="N360" i="1" a="1"/>
  <c r="N360" i="1" s="1"/>
  <c r="N359" i="1" a="1"/>
  <c r="N359" i="1" s="1"/>
  <c r="N358" i="1" a="1"/>
  <c r="N358" i="1" s="1"/>
  <c r="N357" i="1" a="1"/>
  <c r="N357" i="1" s="1"/>
  <c r="N356" i="1" a="1"/>
  <c r="N356" i="1" s="1"/>
  <c r="N355" i="1" a="1"/>
  <c r="N355" i="1" s="1"/>
  <c r="N354" i="1" a="1"/>
  <c r="N354" i="1" s="1"/>
  <c r="N353" i="1" a="1"/>
  <c r="N353" i="1" s="1"/>
  <c r="N352" i="1" a="1"/>
  <c r="N352" i="1" s="1"/>
  <c r="N351" i="1" a="1"/>
  <c r="N351" i="1" s="1"/>
  <c r="N350" i="1" a="1"/>
  <c r="N350" i="1" s="1"/>
  <c r="N349" i="1" a="1"/>
  <c r="N349" i="1" s="1"/>
  <c r="N348" i="1" a="1"/>
  <c r="N348" i="1" s="1"/>
  <c r="N347" i="1" a="1"/>
  <c r="N347" i="1" s="1"/>
  <c r="N346" i="1" a="1"/>
  <c r="N346" i="1" s="1"/>
  <c r="N345" i="1" a="1"/>
  <c r="N345" i="1" s="1"/>
  <c r="N344" i="1" a="1"/>
  <c r="N344" i="1" s="1"/>
  <c r="N343" i="1" a="1"/>
  <c r="N343" i="1" s="1"/>
  <c r="N342" i="1" a="1"/>
  <c r="N342" i="1" s="1"/>
  <c r="N341" i="1" a="1"/>
  <c r="N341" i="1" s="1"/>
  <c r="N340" i="1" a="1"/>
  <c r="N340" i="1" s="1"/>
  <c r="N339" i="1" a="1"/>
  <c r="N339" i="1" s="1"/>
  <c r="N338" i="1" a="1"/>
  <c r="N338" i="1" s="1"/>
  <c r="N337" i="1" a="1"/>
  <c r="N337" i="1" s="1"/>
  <c r="N336" i="1" a="1"/>
  <c r="N336" i="1" s="1"/>
  <c r="N335" i="1" a="1"/>
  <c r="N335" i="1" s="1"/>
  <c r="N334" i="1" a="1"/>
  <c r="N334" i="1" s="1"/>
  <c r="N333" i="1" a="1"/>
  <c r="N333" i="1" s="1"/>
  <c r="N332" i="1" a="1"/>
  <c r="N332" i="1" s="1"/>
  <c r="N331" i="1" a="1"/>
  <c r="N331" i="1" s="1"/>
  <c r="N330" i="1" a="1"/>
  <c r="N330" i="1"/>
  <c r="N329" i="1" a="1"/>
  <c r="N329" i="1" s="1"/>
  <c r="N328" i="1" a="1"/>
  <c r="N328" i="1"/>
  <c r="N327" i="1" a="1"/>
  <c r="N327" i="1" s="1"/>
  <c r="N326" i="1" a="1"/>
  <c r="N326" i="1"/>
  <c r="N325" i="1" a="1"/>
  <c r="N325" i="1" s="1"/>
  <c r="N324" i="1" a="1"/>
  <c r="N324" i="1"/>
  <c r="N323" i="1" a="1"/>
  <c r="N323" i="1" s="1"/>
  <c r="N322" i="1" a="1"/>
  <c r="N322" i="1"/>
  <c r="N321" i="1" a="1"/>
  <c r="N321" i="1" s="1"/>
  <c r="N320" i="1" a="1"/>
  <c r="N320" i="1"/>
  <c r="N319" i="1" a="1"/>
  <c r="N319" i="1" s="1"/>
  <c r="N318" i="1" a="1"/>
  <c r="N318" i="1"/>
  <c r="N317" i="1" a="1"/>
  <c r="N317" i="1" s="1"/>
  <c r="N316" i="1" a="1"/>
  <c r="N316" i="1"/>
  <c r="N315" i="1" a="1"/>
  <c r="N315" i="1" s="1"/>
  <c r="N314" i="1" a="1"/>
  <c r="N314" i="1"/>
  <c r="N313" i="1" a="1"/>
  <c r="N313" i="1" s="1"/>
  <c r="N312" i="1" a="1"/>
  <c r="N312" i="1"/>
  <c r="N311" i="1" a="1"/>
  <c r="N311" i="1" s="1"/>
  <c r="N310" i="1" a="1"/>
  <c r="N310" i="1"/>
  <c r="N309" i="1" a="1"/>
  <c r="N309" i="1" s="1"/>
  <c r="N308" i="1" a="1"/>
  <c r="N308" i="1"/>
  <c r="N307" i="1" a="1"/>
  <c r="N307" i="1" s="1"/>
  <c r="N306" i="1" a="1"/>
  <c r="N306" i="1"/>
  <c r="N305" i="1" a="1"/>
  <c r="N305" i="1" s="1"/>
  <c r="N304" i="1" a="1"/>
  <c r="N304" i="1"/>
  <c r="N303" i="1" a="1"/>
  <c r="N303" i="1" s="1"/>
  <c r="N302" i="1" a="1"/>
  <c r="N302" i="1"/>
  <c r="N301" i="1" a="1"/>
  <c r="N301" i="1" s="1"/>
  <c r="N300" i="1" a="1"/>
  <c r="N300" i="1"/>
  <c r="N299" i="1" a="1"/>
  <c r="N299" i="1" s="1"/>
  <c r="N298" i="1" a="1"/>
  <c r="N298" i="1" s="1"/>
  <c r="N297" i="1" a="1"/>
  <c r="N297" i="1" s="1"/>
  <c r="N296" i="1" a="1"/>
  <c r="N296" i="1"/>
  <c r="N295" i="1" a="1"/>
  <c r="N295" i="1" s="1"/>
  <c r="N294" i="1" a="1"/>
  <c r="N294" i="1"/>
  <c r="N293" i="1" a="1"/>
  <c r="N293" i="1" s="1"/>
  <c r="N292" i="1" a="1"/>
  <c r="N292" i="1" s="1"/>
  <c r="N291" i="1" a="1"/>
  <c r="N291" i="1" s="1"/>
  <c r="N290" i="1" a="1"/>
  <c r="N290" i="1" s="1"/>
  <c r="N289" i="1" a="1"/>
  <c r="N289" i="1" s="1"/>
  <c r="N288" i="1" a="1"/>
  <c r="N288" i="1"/>
  <c r="N287" i="1" a="1"/>
  <c r="N287" i="1" s="1"/>
  <c r="N286" i="1" a="1"/>
  <c r="N286" i="1" s="1"/>
  <c r="N285" i="1" a="1"/>
  <c r="N285" i="1" s="1"/>
  <c r="N284" i="1" a="1"/>
  <c r="N284" i="1" s="1"/>
  <c r="N283" i="1" a="1"/>
  <c r="N283" i="1" s="1"/>
  <c r="N282" i="1" a="1"/>
  <c r="N282" i="1"/>
  <c r="N281" i="1" a="1"/>
  <c r="N281" i="1" s="1"/>
  <c r="N280" i="1" a="1"/>
  <c r="N280" i="1" s="1"/>
  <c r="N279" i="1" a="1"/>
  <c r="N279" i="1" s="1"/>
  <c r="N278" i="1" a="1"/>
  <c r="N278" i="1" s="1"/>
  <c r="N277" i="1" a="1"/>
  <c r="N277" i="1" s="1"/>
  <c r="N276" i="1" a="1"/>
  <c r="N276" i="1"/>
  <c r="N275" i="1" a="1"/>
  <c r="N275" i="1" s="1"/>
  <c r="N274" i="1" a="1"/>
  <c r="N274" i="1" s="1"/>
  <c r="N273" i="1" a="1"/>
  <c r="N273" i="1" s="1"/>
  <c r="N272" i="1" a="1"/>
  <c r="N272" i="1" s="1"/>
  <c r="N271" i="1" a="1"/>
  <c r="N271" i="1" s="1"/>
  <c r="N270" i="1" a="1"/>
  <c r="N270" i="1"/>
  <c r="N269" i="1" a="1"/>
  <c r="N269" i="1" s="1"/>
  <c r="N268" i="1" a="1"/>
  <c r="N268" i="1" s="1"/>
  <c r="N267" i="1" a="1"/>
  <c r="N267" i="1" s="1"/>
  <c r="N266" i="1" a="1"/>
  <c r="N266" i="1" s="1"/>
  <c r="N265" i="1" a="1"/>
  <c r="N265" i="1" s="1"/>
  <c r="N264" i="1" a="1"/>
  <c r="N264" i="1"/>
  <c r="N263" i="1" a="1"/>
  <c r="N263" i="1" s="1"/>
  <c r="N262" i="1" a="1"/>
  <c r="N262" i="1" s="1"/>
  <c r="N261" i="1" a="1"/>
  <c r="N261" i="1" s="1"/>
  <c r="N260" i="1" a="1"/>
  <c r="N260" i="1" s="1"/>
  <c r="N259" i="1" a="1"/>
  <c r="N259" i="1" s="1"/>
  <c r="N258" i="1" a="1"/>
  <c r="N258" i="1"/>
  <c r="N257" i="1" a="1"/>
  <c r="N257" i="1" s="1"/>
  <c r="N256" i="1" a="1"/>
  <c r="N256" i="1" s="1"/>
  <c r="N255" i="1" a="1"/>
  <c r="N255" i="1" s="1"/>
  <c r="N254" i="1" a="1"/>
  <c r="N254" i="1" s="1"/>
  <c r="N253" i="1" a="1"/>
  <c r="N253" i="1" s="1"/>
  <c r="N252" i="1" a="1"/>
  <c r="N252" i="1"/>
  <c r="N251" i="1" a="1"/>
  <c r="N251" i="1" s="1"/>
  <c r="N250" i="1" a="1"/>
  <c r="N250" i="1" s="1"/>
  <c r="N249" i="1" a="1"/>
  <c r="N249" i="1" s="1"/>
  <c r="N248" i="1" a="1"/>
  <c r="N248" i="1" s="1"/>
  <c r="N247" i="1" a="1"/>
  <c r="N247" i="1" s="1"/>
  <c r="N246" i="1" a="1"/>
  <c r="N246" i="1"/>
  <c r="N245" i="1" a="1"/>
  <c r="N245" i="1" s="1"/>
  <c r="N244" i="1" a="1"/>
  <c r="N244" i="1" s="1"/>
  <c r="N243" i="1" a="1"/>
  <c r="N243" i="1" s="1"/>
  <c r="N242" i="1" a="1"/>
  <c r="N242" i="1" s="1"/>
  <c r="N241" i="1" a="1"/>
  <c r="N241" i="1" s="1"/>
  <c r="N240" i="1" a="1"/>
  <c r="N240" i="1"/>
  <c r="N239" i="1" a="1"/>
  <c r="N239" i="1" s="1"/>
  <c r="N238" i="1" a="1"/>
  <c r="N238" i="1" s="1"/>
  <c r="N237" i="1" a="1"/>
  <c r="N237" i="1" s="1"/>
  <c r="N236" i="1" a="1"/>
  <c r="N236" i="1" s="1"/>
  <c r="N235" i="1" a="1"/>
  <c r="N235" i="1" s="1"/>
  <c r="N234" i="1" a="1"/>
  <c r="N234" i="1"/>
  <c r="N233" i="1" a="1"/>
  <c r="N233" i="1" s="1"/>
  <c r="N232" i="1" a="1"/>
  <c r="N232" i="1" s="1"/>
  <c r="N231" i="1" a="1"/>
  <c r="N231" i="1" s="1"/>
  <c r="N230" i="1" a="1"/>
  <c r="N230" i="1" s="1"/>
  <c r="N229" i="1" a="1"/>
  <c r="N229" i="1" s="1"/>
  <c r="N228" i="1" a="1"/>
  <c r="N228" i="1"/>
  <c r="N227" i="1" a="1"/>
  <c r="N227" i="1" s="1"/>
  <c r="N226" i="1" a="1"/>
  <c r="N226" i="1" s="1"/>
  <c r="N225" i="1" a="1"/>
  <c r="N225" i="1" s="1"/>
  <c r="N224" i="1" a="1"/>
  <c r="N224" i="1" s="1"/>
  <c r="N223" i="1" a="1"/>
  <c r="N223" i="1" s="1"/>
  <c r="N222" i="1" a="1"/>
  <c r="N222" i="1"/>
  <c r="N221" i="1" a="1"/>
  <c r="N221" i="1" s="1"/>
  <c r="N220" i="1" a="1"/>
  <c r="N220" i="1" s="1"/>
  <c r="N219" i="1" a="1"/>
  <c r="N219" i="1" s="1"/>
  <c r="N218" i="1" a="1"/>
  <c r="N218" i="1" s="1"/>
  <c r="N217" i="1" a="1"/>
  <c r="N217" i="1" s="1"/>
  <c r="N216" i="1" a="1"/>
  <c r="N216" i="1"/>
  <c r="N215" i="1" a="1"/>
  <c r="N215" i="1" s="1"/>
  <c r="N214" i="1" a="1"/>
  <c r="N214" i="1" s="1"/>
  <c r="N213" i="1" a="1"/>
  <c r="N213" i="1" s="1"/>
  <c r="N212" i="1" a="1"/>
  <c r="N212" i="1" s="1"/>
  <c r="N211" i="1" a="1"/>
  <c r="N211" i="1" s="1"/>
  <c r="N210" i="1" a="1"/>
  <c r="N210" i="1"/>
  <c r="N209" i="1" a="1"/>
  <c r="N209" i="1" s="1"/>
  <c r="N208" i="1" a="1"/>
  <c r="N208" i="1" s="1"/>
  <c r="N207" i="1" a="1"/>
  <c r="N207" i="1" s="1"/>
  <c r="N206" i="1" a="1"/>
  <c r="N206" i="1" s="1"/>
  <c r="N205" i="1" a="1"/>
  <c r="N205" i="1" s="1"/>
  <c r="N204" i="1" a="1"/>
  <c r="N204" i="1"/>
  <c r="N203" i="1" a="1"/>
  <c r="N203" i="1" s="1"/>
  <c r="N202" i="1" a="1"/>
  <c r="N202" i="1" s="1"/>
  <c r="N201" i="1" a="1"/>
  <c r="N201" i="1" s="1"/>
  <c r="N200" i="1" a="1"/>
  <c r="N200" i="1" s="1"/>
  <c r="N199" i="1" a="1"/>
  <c r="N199" i="1" s="1"/>
  <c r="N198" i="1" a="1"/>
  <c r="N198" i="1"/>
  <c r="N197" i="1" a="1"/>
  <c r="N197" i="1" s="1"/>
  <c r="N196" i="1" a="1"/>
  <c r="N196" i="1" s="1"/>
  <c r="N195" i="1" a="1"/>
  <c r="N195" i="1" s="1"/>
  <c r="N194" i="1" a="1"/>
  <c r="N194" i="1" s="1"/>
  <c r="N193" i="1" a="1"/>
  <c r="N193" i="1" s="1"/>
  <c r="N192" i="1" a="1"/>
  <c r="N192" i="1"/>
  <c r="N191" i="1" a="1"/>
  <c r="N191" i="1" s="1"/>
  <c r="N190" i="1" a="1"/>
  <c r="N190" i="1" s="1"/>
  <c r="N189" i="1" a="1"/>
  <c r="N189" i="1" s="1"/>
  <c r="N188" i="1" a="1"/>
  <c r="N188" i="1" s="1"/>
  <c r="N187" i="1" a="1"/>
  <c r="N187" i="1" s="1"/>
  <c r="N186" i="1" a="1"/>
  <c r="N186" i="1"/>
  <c r="N185" i="1" a="1"/>
  <c r="N185" i="1" s="1"/>
  <c r="N184" i="1" a="1"/>
  <c r="N184" i="1" s="1"/>
  <c r="N183" i="1" a="1"/>
  <c r="N183" i="1" s="1"/>
  <c r="N182" i="1" a="1"/>
  <c r="N182" i="1" s="1"/>
  <c r="N181" i="1" a="1"/>
  <c r="N181" i="1" s="1"/>
  <c r="N180" i="1" a="1"/>
  <c r="N180" i="1" s="1"/>
  <c r="N179" i="1" a="1"/>
  <c r="N179" i="1" s="1"/>
  <c r="N178" i="1" a="1"/>
  <c r="N178" i="1" s="1"/>
  <c r="N177" i="1" a="1"/>
  <c r="N177" i="1" s="1"/>
  <c r="N176" i="1" a="1"/>
  <c r="N176" i="1" s="1"/>
  <c r="N175" i="1" a="1"/>
  <c r="N175" i="1" s="1"/>
  <c r="N174" i="1" a="1"/>
  <c r="N174" i="1" s="1"/>
  <c r="N173" i="1" a="1"/>
  <c r="N173" i="1" s="1"/>
  <c r="N172" i="1" a="1"/>
  <c r="N172" i="1" s="1"/>
  <c r="N171" i="1" a="1"/>
  <c r="N171" i="1" s="1"/>
  <c r="N170" i="1" a="1"/>
  <c r="N170" i="1" s="1"/>
  <c r="N169" i="1" a="1"/>
  <c r="N169" i="1" s="1"/>
  <c r="N168" i="1" a="1"/>
  <c r="N168" i="1" s="1"/>
  <c r="N167" i="1" a="1"/>
  <c r="N167" i="1" s="1"/>
  <c r="N166" i="1" a="1"/>
  <c r="N166" i="1" s="1"/>
  <c r="N165" i="1" a="1"/>
  <c r="N165" i="1" s="1"/>
  <c r="N164" i="1" a="1"/>
  <c r="N164" i="1" s="1"/>
  <c r="N163" i="1" a="1"/>
  <c r="N163" i="1" s="1"/>
  <c r="N162" i="1" a="1"/>
  <c r="N162" i="1" s="1"/>
  <c r="N161" i="1" a="1"/>
  <c r="N161" i="1" s="1"/>
  <c r="N160" i="1" a="1"/>
  <c r="N160" i="1" s="1"/>
  <c r="N159" i="1" a="1"/>
  <c r="N159" i="1" s="1"/>
  <c r="N158" i="1" a="1"/>
  <c r="N158" i="1" s="1"/>
  <c r="N157" i="1" a="1"/>
  <c r="N157" i="1" s="1"/>
  <c r="N156" i="1" a="1"/>
  <c r="N156" i="1" s="1"/>
  <c r="N155" i="1" a="1"/>
  <c r="N155" i="1" s="1"/>
  <c r="N154" i="1" a="1"/>
  <c r="N154" i="1" s="1"/>
  <c r="N153" i="1" a="1"/>
  <c r="N153" i="1" s="1"/>
  <c r="N152" i="1" a="1"/>
  <c r="N152" i="1" s="1"/>
  <c r="N151" i="1" a="1"/>
  <c r="N151" i="1" s="1"/>
  <c r="N150" i="1" a="1"/>
  <c r="N150" i="1" s="1"/>
  <c r="N149" i="1" a="1"/>
  <c r="N149" i="1" s="1"/>
  <c r="N148" i="1" a="1"/>
  <c r="N148" i="1" s="1"/>
  <c r="N147" i="1" a="1"/>
  <c r="N147" i="1" s="1"/>
  <c r="N146" i="1" a="1"/>
  <c r="N146" i="1" s="1"/>
  <c r="N145" i="1" a="1"/>
  <c r="N145" i="1" s="1"/>
  <c r="N144" i="1" a="1"/>
  <c r="N144" i="1" s="1"/>
  <c r="N143" i="1" a="1"/>
  <c r="N143" i="1" s="1"/>
  <c r="N142" i="1" a="1"/>
  <c r="N142" i="1" s="1"/>
  <c r="N141" i="1" a="1"/>
  <c r="N141" i="1" s="1"/>
  <c r="N140" i="1" a="1"/>
  <c r="N140" i="1" s="1"/>
  <c r="N139" i="1" a="1"/>
  <c r="N139" i="1" s="1"/>
  <c r="N138" i="1" a="1"/>
  <c r="N138" i="1" s="1"/>
  <c r="N137" i="1" a="1"/>
  <c r="N137" i="1" s="1"/>
  <c r="N136" i="1" a="1"/>
  <c r="N136" i="1" s="1"/>
  <c r="N135" i="1" a="1"/>
  <c r="N135" i="1" s="1"/>
  <c r="N134" i="1" a="1"/>
  <c r="N134" i="1" s="1"/>
  <c r="N133" i="1" a="1"/>
  <c r="N133" i="1" s="1"/>
  <c r="N132" i="1" a="1"/>
  <c r="N132" i="1" s="1"/>
  <c r="N131" i="1" a="1"/>
  <c r="N131" i="1" s="1"/>
  <c r="N130" i="1" a="1"/>
  <c r="N130" i="1" s="1"/>
  <c r="N129" i="1" a="1"/>
  <c r="N129" i="1" s="1"/>
  <c r="N128" i="1" a="1"/>
  <c r="N128" i="1" s="1"/>
  <c r="N127" i="1" a="1"/>
  <c r="N127" i="1" s="1"/>
  <c r="N126" i="1" a="1"/>
  <c r="N126" i="1" s="1"/>
  <c r="N125" i="1" a="1"/>
  <c r="N125" i="1" s="1"/>
  <c r="N124" i="1" a="1"/>
  <c r="N124" i="1" s="1"/>
  <c r="N123" i="1" a="1"/>
  <c r="N123" i="1" s="1"/>
  <c r="N122" i="1" a="1"/>
  <c r="N122" i="1" s="1"/>
  <c r="N121" i="1" a="1"/>
  <c r="N121" i="1" s="1"/>
  <c r="N120" i="1" a="1"/>
  <c r="N120" i="1" s="1"/>
  <c r="N119" i="1" a="1"/>
  <c r="N119" i="1" s="1"/>
  <c r="N118" i="1" a="1"/>
  <c r="N118" i="1" s="1"/>
  <c r="N117" i="1" a="1"/>
  <c r="N117" i="1" s="1"/>
  <c r="N116" i="1" a="1"/>
  <c r="N116" i="1" s="1"/>
  <c r="N115" i="1" a="1"/>
  <c r="N115" i="1" s="1"/>
  <c r="N114" i="1" a="1"/>
  <c r="N114" i="1" s="1"/>
  <c r="N113" i="1" a="1"/>
  <c r="N113" i="1" s="1"/>
  <c r="N112" i="1" a="1"/>
  <c r="N112" i="1" s="1"/>
  <c r="N111" i="1" a="1"/>
  <c r="N111" i="1" s="1"/>
  <c r="N110" i="1" a="1"/>
  <c r="N110" i="1" s="1"/>
  <c r="N109" i="1" a="1"/>
  <c r="N109" i="1" s="1"/>
  <c r="N108" i="1" a="1"/>
  <c r="N108" i="1" s="1"/>
  <c r="N107" i="1" a="1"/>
  <c r="N107" i="1" s="1"/>
  <c r="N106" i="1" a="1"/>
  <c r="N106" i="1" s="1"/>
  <c r="N105" i="1" a="1"/>
  <c r="N105" i="1" s="1"/>
  <c r="N104" i="1" a="1"/>
  <c r="N104" i="1" s="1"/>
  <c r="N103" i="1" a="1"/>
  <c r="N103" i="1" s="1"/>
  <c r="N102" i="1" a="1"/>
  <c r="N102" i="1" s="1"/>
  <c r="N101" i="1" a="1"/>
  <c r="N101" i="1" s="1"/>
  <c r="N100" i="1" a="1"/>
  <c r="N100" i="1" s="1"/>
  <c r="N99" i="1" a="1"/>
  <c r="N99" i="1" s="1"/>
  <c r="N98" i="1" a="1"/>
  <c r="N98" i="1" s="1"/>
  <c r="N97" i="1" a="1"/>
  <c r="N97" i="1" s="1"/>
  <c r="N96" i="1" a="1"/>
  <c r="N96" i="1" s="1"/>
  <c r="N95" i="1" a="1"/>
  <c r="N95" i="1" s="1"/>
  <c r="N94" i="1" a="1"/>
  <c r="N94" i="1" s="1"/>
  <c r="N93" i="1" a="1"/>
  <c r="N93" i="1" s="1"/>
  <c r="N92" i="1" a="1"/>
  <c r="N92" i="1" s="1"/>
  <c r="N91" i="1" a="1"/>
  <c r="N91" i="1" s="1"/>
  <c r="N90" i="1" a="1"/>
  <c r="N90" i="1" s="1"/>
  <c r="N89" i="1" a="1"/>
  <c r="N89" i="1" s="1"/>
  <c r="N88" i="1" a="1"/>
  <c r="N88" i="1" s="1"/>
  <c r="N87" i="1" a="1"/>
  <c r="N87" i="1" s="1"/>
  <c r="N86" i="1" a="1"/>
  <c r="N86" i="1" s="1"/>
  <c r="N85" i="1" a="1"/>
  <c r="N85" i="1" s="1"/>
  <c r="N84" i="1" a="1"/>
  <c r="N84" i="1" s="1"/>
  <c r="N83" i="1" a="1"/>
  <c r="N83" i="1" s="1"/>
  <c r="N82" i="1" a="1"/>
  <c r="N82" i="1" s="1"/>
  <c r="N81" i="1" a="1"/>
  <c r="N81" i="1" s="1"/>
  <c r="N80" i="1" a="1"/>
  <c r="N80" i="1" s="1"/>
  <c r="N79" i="1" a="1"/>
  <c r="N79" i="1" s="1"/>
  <c r="N78" i="1" a="1"/>
  <c r="N78" i="1" s="1"/>
  <c r="N77" i="1" a="1"/>
  <c r="N77" i="1" s="1"/>
  <c r="N76" i="1" a="1"/>
  <c r="N76" i="1" s="1"/>
  <c r="N75" i="1" a="1"/>
  <c r="N75" i="1" s="1"/>
  <c r="N74" i="1" a="1"/>
  <c r="N74" i="1" s="1"/>
  <c r="N73" i="1" a="1"/>
  <c r="N73" i="1" s="1"/>
  <c r="N72" i="1" a="1"/>
  <c r="N72" i="1" s="1"/>
  <c r="N71" i="1" a="1"/>
  <c r="N71" i="1" s="1"/>
  <c r="N70" i="1" a="1"/>
  <c r="N70" i="1" s="1"/>
  <c r="N69" i="1" a="1"/>
  <c r="N69" i="1" s="1"/>
  <c r="N68" i="1" a="1"/>
  <c r="N68" i="1" s="1"/>
  <c r="N67" i="1" a="1"/>
  <c r="N67" i="1" s="1"/>
  <c r="N66" i="1" a="1"/>
  <c r="N66" i="1" s="1"/>
  <c r="N65" i="1" a="1"/>
  <c r="N65" i="1" s="1"/>
  <c r="N64" i="1" a="1"/>
  <c r="N64" i="1" s="1"/>
  <c r="N63" i="1" a="1"/>
  <c r="N63" i="1" s="1"/>
  <c r="N62" i="1" a="1"/>
  <c r="N62" i="1" s="1"/>
  <c r="N61" i="1" a="1"/>
  <c r="N61" i="1" s="1"/>
  <c r="N60" i="1" a="1"/>
  <c r="N60" i="1" s="1"/>
  <c r="N59" i="1" a="1"/>
  <c r="N59" i="1" s="1"/>
  <c r="N58" i="1" a="1"/>
  <c r="N58" i="1" s="1"/>
  <c r="N57" i="1" a="1"/>
  <c r="N57" i="1" s="1"/>
  <c r="N56" i="1" a="1"/>
  <c r="N56" i="1" s="1"/>
  <c r="N55" i="1" a="1"/>
  <c r="N55" i="1" s="1"/>
  <c r="N54" i="1" a="1"/>
  <c r="N54" i="1" s="1"/>
  <c r="N53" i="1" a="1"/>
  <c r="N53" i="1" s="1"/>
  <c r="N52" i="1" a="1"/>
  <c r="N52" i="1" s="1"/>
  <c r="N51" i="1" a="1"/>
  <c r="N51" i="1" s="1"/>
  <c r="N50" i="1" a="1"/>
  <c r="N50" i="1" s="1"/>
  <c r="N49" i="1" a="1"/>
  <c r="N49" i="1" s="1"/>
  <c r="N48" i="1" a="1"/>
  <c r="N48" i="1" s="1"/>
  <c r="N47" i="1" a="1"/>
  <c r="N47" i="1" s="1"/>
  <c r="N46" i="1" a="1"/>
  <c r="N46" i="1" s="1"/>
  <c r="N45" i="1" a="1"/>
  <c r="N45" i="1" s="1"/>
  <c r="N44" i="1" a="1"/>
  <c r="N44" i="1" s="1"/>
  <c r="N43" i="1" a="1"/>
  <c r="N43" i="1" s="1"/>
  <c r="N42" i="1" a="1"/>
  <c r="N42" i="1" s="1"/>
  <c r="N41" i="1" a="1"/>
  <c r="N41" i="1" s="1"/>
  <c r="N40" i="1" a="1"/>
  <c r="N40" i="1" s="1"/>
  <c r="N39" i="1" a="1"/>
  <c r="N39" i="1" s="1"/>
  <c r="N38" i="1" a="1"/>
  <c r="N38" i="1" s="1"/>
  <c r="N37" i="1" a="1"/>
  <c r="N37" i="1" s="1"/>
  <c r="N36" i="1" a="1"/>
  <c r="N36" i="1" s="1"/>
  <c r="N35" i="1" a="1"/>
  <c r="N35" i="1" s="1"/>
  <c r="N34" i="1" a="1"/>
  <c r="N34" i="1" s="1"/>
  <c r="N33" i="1" a="1"/>
  <c r="N33" i="1" s="1"/>
  <c r="N32" i="1" a="1"/>
  <c r="N32" i="1" s="1"/>
  <c r="N31" i="1" a="1"/>
  <c r="N31" i="1" s="1"/>
  <c r="N30" i="1" a="1"/>
  <c r="N30" i="1" s="1"/>
  <c r="N29" i="1" a="1"/>
  <c r="N29" i="1" s="1"/>
  <c r="N28" i="1" a="1"/>
  <c r="N28" i="1" s="1"/>
  <c r="N27" i="1" a="1"/>
  <c r="N27" i="1" s="1"/>
  <c r="N26" i="1" a="1"/>
  <c r="N26" i="1" s="1"/>
  <c r="N25" i="1" a="1"/>
  <c r="N25" i="1" s="1"/>
  <c r="N24" i="1" a="1"/>
  <c r="N24" i="1" s="1"/>
  <c r="N23" i="1" a="1"/>
  <c r="N23" i="1" s="1"/>
  <c r="N22" i="1" a="1"/>
  <c r="N22" i="1" s="1"/>
  <c r="N21" i="1" a="1"/>
  <c r="N21" i="1" s="1"/>
  <c r="N20" i="1" a="1"/>
  <c r="N20" i="1" s="1"/>
  <c r="N19" i="1" a="1"/>
  <c r="N19" i="1" s="1"/>
  <c r="N18" i="1" a="1"/>
  <c r="N18" i="1" s="1"/>
  <c r="N17" i="1" a="1"/>
  <c r="N17" i="1" s="1"/>
  <c r="N16" i="1" a="1"/>
  <c r="N16" i="1" s="1"/>
  <c r="N15" i="1" a="1"/>
  <c r="N15" i="1" s="1"/>
  <c r="N14" i="1" a="1"/>
  <c r="N14" i="1" s="1"/>
  <c r="N13" i="1" a="1"/>
  <c r="N13" i="1" s="1"/>
  <c r="N12" i="1" a="1"/>
  <c r="N12" i="1" s="1"/>
  <c r="N11" i="1" a="1"/>
  <c r="N11" i="1" s="1"/>
  <c r="N10" i="1" a="1"/>
  <c r="N10" i="1" s="1"/>
  <c r="N9" i="1" a="1"/>
  <c r="N9" i="1" s="1"/>
  <c r="N8" i="1" a="1"/>
  <c r="N8" i="1" s="1"/>
  <c r="N7" i="1" a="1"/>
  <c r="N7" i="1" s="1"/>
  <c r="N6" i="1" a="1"/>
  <c r="N6" i="1" s="1"/>
  <c r="N5" i="1" a="1"/>
  <c r="N5" i="1" s="1"/>
  <c r="N4" i="1" a="1"/>
  <c r="N4" i="1" s="1"/>
  <c r="N3" i="1" a="1"/>
  <c r="N3" i="1" s="1"/>
  <c r="Q22" i="6"/>
  <c r="Q21" i="6"/>
  <c r="P22" i="6"/>
  <c r="P21" i="6"/>
  <c r="O22" i="6"/>
  <c r="O21" i="6"/>
  <c r="H212" i="1"/>
  <c r="O212" i="1" s="1"/>
  <c r="I212" i="1"/>
  <c r="J212" i="1"/>
  <c r="K212" i="1" s="1"/>
  <c r="L212" i="1" s="1"/>
  <c r="H37" i="1"/>
  <c r="O37" i="1" s="1"/>
  <c r="M37" i="1"/>
  <c r="I37" i="1"/>
  <c r="J37" i="1" s="1"/>
  <c r="K37" i="1"/>
  <c r="L37" i="1" s="1"/>
  <c r="H422" i="1"/>
  <c r="O422" i="1" s="1"/>
  <c r="A422" i="1"/>
  <c r="I422" i="1"/>
  <c r="J422" i="1" s="1"/>
  <c r="K422" i="1" s="1"/>
  <c r="L422" i="1" s="1"/>
  <c r="H2" i="1"/>
  <c r="O2" i="1" s="1"/>
  <c r="M2" i="1"/>
  <c r="I2" i="1"/>
  <c r="J2" i="1" s="1"/>
  <c r="K2" i="1"/>
  <c r="L2" i="1" s="1"/>
  <c r="H632" i="1"/>
  <c r="M632" i="1" s="1"/>
  <c r="I632" i="1"/>
  <c r="H3" i="1"/>
  <c r="A3" i="1"/>
  <c r="I3" i="1"/>
  <c r="J3" i="1"/>
  <c r="K3" i="1" s="1"/>
  <c r="L3" i="1" s="1"/>
  <c r="H457" i="1"/>
  <c r="O457" i="1" s="1"/>
  <c r="M457" i="1"/>
  <c r="A457" i="1"/>
  <c r="I457" i="1"/>
  <c r="J457" i="1"/>
  <c r="K457" i="1"/>
  <c r="L457" i="1" s="1"/>
  <c r="H107" i="1"/>
  <c r="A107" i="1"/>
  <c r="I107" i="1"/>
  <c r="J107" i="1"/>
  <c r="K107" i="1" s="1"/>
  <c r="L107" i="1" s="1"/>
  <c r="H247" i="1"/>
  <c r="I247" i="1"/>
  <c r="H458" i="1"/>
  <c r="O458" i="1" s="1"/>
  <c r="M458" i="1"/>
  <c r="I458" i="1"/>
  <c r="H213" i="1"/>
  <c r="O213" i="1" s="1"/>
  <c r="M213" i="1"/>
  <c r="I213" i="1"/>
  <c r="H352" i="1"/>
  <c r="I352" i="1"/>
  <c r="J352" i="1" s="1"/>
  <c r="K352" i="1" s="1"/>
  <c r="L352" i="1" s="1"/>
  <c r="H527" i="1"/>
  <c r="O527" i="1" s="1"/>
  <c r="I527" i="1"/>
  <c r="H353" i="1"/>
  <c r="M353" i="1" s="1"/>
  <c r="I353" i="1"/>
  <c r="J353" i="1"/>
  <c r="K353" i="1" s="1"/>
  <c r="L353" i="1"/>
  <c r="H633" i="1"/>
  <c r="O633" i="1" s="1"/>
  <c r="M633" i="1"/>
  <c r="A633" i="1"/>
  <c r="I633" i="1"/>
  <c r="H354" i="1"/>
  <c r="O354" i="1" s="1"/>
  <c r="M354" i="1"/>
  <c r="A354" i="1"/>
  <c r="I354" i="1"/>
  <c r="J354" i="1"/>
  <c r="K354" i="1"/>
  <c r="L354" i="1" s="1"/>
  <c r="H108" i="1"/>
  <c r="A108" i="1"/>
  <c r="I108" i="1"/>
  <c r="H634" i="1"/>
  <c r="I634" i="1"/>
  <c r="J634" i="1" s="1"/>
  <c r="K634" i="1" s="1"/>
  <c r="L634" i="1" s="1"/>
  <c r="H355" i="1"/>
  <c r="O355" i="1" s="1"/>
  <c r="M355" i="1"/>
  <c r="I355" i="1"/>
  <c r="J355" i="1" s="1"/>
  <c r="K355" i="1" s="1"/>
  <c r="L355" i="1" s="1"/>
  <c r="H38" i="1"/>
  <c r="M38" i="1"/>
  <c r="I38" i="1"/>
  <c r="J38" i="1"/>
  <c r="K38" i="1" s="1"/>
  <c r="L38" i="1" s="1"/>
  <c r="H492" i="1"/>
  <c r="O492" i="1" s="1"/>
  <c r="M492" i="1"/>
  <c r="A492" i="1"/>
  <c r="I492" i="1"/>
  <c r="J492" i="1" s="1"/>
  <c r="K492" i="1" s="1"/>
  <c r="L492" i="1" s="1"/>
  <c r="H142" i="1"/>
  <c r="O142" i="1" s="1"/>
  <c r="A142" i="1"/>
  <c r="I142" i="1"/>
  <c r="J142" i="1"/>
  <c r="K142" i="1" s="1"/>
  <c r="L142" i="1"/>
  <c r="H177" i="1"/>
  <c r="I177" i="1"/>
  <c r="J177" i="1"/>
  <c r="K177" i="1"/>
  <c r="L177" i="1" s="1"/>
  <c r="H356" i="1"/>
  <c r="O356" i="1" s="1"/>
  <c r="I356" i="1"/>
  <c r="J356" i="1"/>
  <c r="K356" i="1"/>
  <c r="L356" i="1"/>
  <c r="H493" i="1"/>
  <c r="O493" i="1" s="1"/>
  <c r="M493" i="1"/>
  <c r="A493" i="1"/>
  <c r="I493" i="1"/>
  <c r="J493" i="1" s="1"/>
  <c r="K493" i="1"/>
  <c r="L493" i="1"/>
  <c r="H357" i="1"/>
  <c r="A357" i="1" s="1"/>
  <c r="I357" i="1"/>
  <c r="H358" i="1"/>
  <c r="O358" i="1" s="1"/>
  <c r="M358" i="1"/>
  <c r="A358" i="1"/>
  <c r="I358" i="1"/>
  <c r="H635" i="1"/>
  <c r="A635" i="1" s="1"/>
  <c r="I635" i="1"/>
  <c r="J635" i="1"/>
  <c r="K635" i="1" s="1"/>
  <c r="L635" i="1"/>
  <c r="H423" i="1"/>
  <c r="O423" i="1" s="1"/>
  <c r="I423" i="1"/>
  <c r="J423" i="1"/>
  <c r="K423" i="1"/>
  <c r="L423" i="1" s="1"/>
  <c r="H178" i="1"/>
  <c r="O178" i="1" s="1"/>
  <c r="I178" i="1"/>
  <c r="J178" i="1"/>
  <c r="K178" i="1"/>
  <c r="L178" i="1"/>
  <c r="H359" i="1"/>
  <c r="O359" i="1" s="1"/>
  <c r="M359" i="1"/>
  <c r="A359" i="1"/>
  <c r="I359" i="1"/>
  <c r="J359" i="1" s="1"/>
  <c r="K359" i="1"/>
  <c r="L359" i="1" s="1"/>
  <c r="H360" i="1"/>
  <c r="A360" i="1" s="1"/>
  <c r="I360" i="1"/>
  <c r="H361" i="1"/>
  <c r="O361" i="1" s="1"/>
  <c r="M361" i="1"/>
  <c r="A361" i="1"/>
  <c r="I361" i="1"/>
  <c r="J361" i="1"/>
  <c r="K361" i="1" s="1"/>
  <c r="L361" i="1"/>
  <c r="H362" i="1"/>
  <c r="M362" i="1"/>
  <c r="I362" i="1"/>
  <c r="J362" i="1" s="1"/>
  <c r="K362" i="1" s="1"/>
  <c r="L362" i="1" s="1"/>
  <c r="H4" i="1"/>
  <c r="O4" i="1" s="1"/>
  <c r="A4" i="1"/>
  <c r="I4" i="1"/>
  <c r="H179" i="1"/>
  <c r="O179" i="1" s="1"/>
  <c r="M179" i="1"/>
  <c r="A179" i="1"/>
  <c r="I179" i="1"/>
  <c r="H636" i="1"/>
  <c r="O636" i="1" s="1"/>
  <c r="I636" i="1"/>
  <c r="H637" i="1"/>
  <c r="O637" i="1" s="1"/>
  <c r="A637" i="1"/>
  <c r="I637" i="1"/>
  <c r="J637" i="1"/>
  <c r="K637" i="1"/>
  <c r="L637" i="1"/>
  <c r="H363" i="1"/>
  <c r="O363" i="1" s="1"/>
  <c r="M363" i="1"/>
  <c r="A363" i="1"/>
  <c r="I363" i="1"/>
  <c r="J363" i="1"/>
  <c r="K363" i="1"/>
  <c r="L363" i="1" s="1"/>
  <c r="H214" i="1"/>
  <c r="A214" i="1" s="1"/>
  <c r="I214" i="1"/>
  <c r="J214" i="1"/>
  <c r="K214" i="1"/>
  <c r="L214" i="1"/>
  <c r="H494" i="1"/>
  <c r="O494" i="1" s="1"/>
  <c r="I494" i="1"/>
  <c r="J494" i="1"/>
  <c r="K494" i="1" s="1"/>
  <c r="L494" i="1" s="1"/>
  <c r="H215" i="1"/>
  <c r="O215" i="1" s="1"/>
  <c r="I215" i="1"/>
  <c r="J215" i="1"/>
  <c r="K215" i="1"/>
  <c r="L215" i="1" s="1"/>
  <c r="H364" i="1"/>
  <c r="O364" i="1" s="1"/>
  <c r="I364" i="1"/>
  <c r="H248" i="1"/>
  <c r="O248" i="1" s="1"/>
  <c r="M248" i="1"/>
  <c r="A248" i="1"/>
  <c r="I248" i="1"/>
  <c r="J248" i="1"/>
  <c r="K248" i="1"/>
  <c r="L248" i="1"/>
  <c r="H282" i="1"/>
  <c r="O282" i="1" s="1"/>
  <c r="I282" i="1"/>
  <c r="H459" i="1"/>
  <c r="O459" i="1" s="1"/>
  <c r="A459" i="1"/>
  <c r="I459" i="1"/>
  <c r="H528" i="1"/>
  <c r="O528" i="1" s="1"/>
  <c r="A528" i="1"/>
  <c r="I528" i="1"/>
  <c r="J528" i="1" s="1"/>
  <c r="K528" i="1" s="1"/>
  <c r="L528" i="1" s="1"/>
  <c r="H424" i="1"/>
  <c r="O424" i="1" s="1"/>
  <c r="M424" i="1"/>
  <c r="A424" i="1"/>
  <c r="I424" i="1"/>
  <c r="J424" i="1" s="1"/>
  <c r="K424" i="1" s="1"/>
  <c r="L424" i="1" s="1"/>
  <c r="H365" i="1"/>
  <c r="O365" i="1" s="1"/>
  <c r="M365" i="1"/>
  <c r="A365" i="1"/>
  <c r="I365" i="1"/>
  <c r="H283" i="1"/>
  <c r="O283" i="1" s="1"/>
  <c r="M283" i="1"/>
  <c r="A283" i="1"/>
  <c r="I283" i="1"/>
  <c r="H460" i="1"/>
  <c r="O460" i="1" s="1"/>
  <c r="I460" i="1"/>
  <c r="H216" i="1"/>
  <c r="O216" i="1" s="1"/>
  <c r="M216" i="1"/>
  <c r="A216" i="1"/>
  <c r="I216" i="1"/>
  <c r="J216" i="1" s="1"/>
  <c r="K216" i="1" s="1"/>
  <c r="L216" i="1" s="1"/>
  <c r="H284" i="1"/>
  <c r="O284" i="1" s="1"/>
  <c r="M284" i="1"/>
  <c r="I284" i="1"/>
  <c r="J284" i="1" s="1"/>
  <c r="K284" i="1" s="1"/>
  <c r="L284" i="1" s="1"/>
  <c r="H317" i="1"/>
  <c r="O317" i="1" s="1"/>
  <c r="I317" i="1"/>
  <c r="J317" i="1"/>
  <c r="K317" i="1" s="1"/>
  <c r="L317" i="1" s="1"/>
  <c r="H217" i="1"/>
  <c r="O217" i="1" s="1"/>
  <c r="M217" i="1"/>
  <c r="A217" i="1"/>
  <c r="I217" i="1"/>
  <c r="H597" i="1"/>
  <c r="I597" i="1"/>
  <c r="J597" i="1"/>
  <c r="K597" i="1"/>
  <c r="L597" i="1" s="1"/>
  <c r="H180" i="1"/>
  <c r="O180" i="1" s="1"/>
  <c r="I180" i="1"/>
  <c r="J180" i="1"/>
  <c r="K180" i="1"/>
  <c r="L180" i="1" s="1"/>
  <c r="H249" i="1"/>
  <c r="O249" i="1" s="1"/>
  <c r="I249" i="1"/>
  <c r="H5" i="1"/>
  <c r="O5" i="1" s="1"/>
  <c r="M5" i="1"/>
  <c r="I5" i="1"/>
  <c r="J5" i="1" s="1"/>
  <c r="K5" i="1" s="1"/>
  <c r="L5" i="1" s="1"/>
  <c r="H39" i="1"/>
  <c r="O39" i="1" s="1"/>
  <c r="I39" i="1"/>
  <c r="H366" i="1"/>
  <c r="O366" i="1" s="1"/>
  <c r="A366" i="1"/>
  <c r="I366" i="1"/>
  <c r="H495" i="1"/>
  <c r="O495" i="1" s="1"/>
  <c r="A495" i="1"/>
  <c r="I495" i="1"/>
  <c r="H40" i="1"/>
  <c r="O40" i="1" s="1"/>
  <c r="I40" i="1"/>
  <c r="J40" i="1"/>
  <c r="K40" i="1" s="1"/>
  <c r="L40" i="1" s="1"/>
  <c r="H367" i="1"/>
  <c r="O367" i="1" s="1"/>
  <c r="M367" i="1"/>
  <c r="A367" i="1"/>
  <c r="I367" i="1"/>
  <c r="J367" i="1"/>
  <c r="K367" i="1" s="1"/>
  <c r="L367" i="1" s="1"/>
  <c r="H41" i="1"/>
  <c r="O41" i="1" s="1"/>
  <c r="M41" i="1"/>
  <c r="A41" i="1"/>
  <c r="I41" i="1"/>
  <c r="J41" i="1"/>
  <c r="K41" i="1" s="1"/>
  <c r="L41" i="1" s="1"/>
  <c r="H250" i="1"/>
  <c r="O250" i="1" s="1"/>
  <c r="M250" i="1"/>
  <c r="A250" i="1"/>
  <c r="I250" i="1"/>
  <c r="H42" i="1"/>
  <c r="O42" i="1" s="1"/>
  <c r="I42" i="1"/>
  <c r="H218" i="1"/>
  <c r="O218" i="1" s="1"/>
  <c r="M218" i="1"/>
  <c r="I218" i="1"/>
  <c r="H425" i="1"/>
  <c r="O425" i="1" s="1"/>
  <c r="M425" i="1"/>
  <c r="A425" i="1"/>
  <c r="I425" i="1"/>
  <c r="J425" i="1" s="1"/>
  <c r="K425" i="1" s="1"/>
  <c r="L425" i="1" s="1"/>
  <c r="H461" i="1"/>
  <c r="O461" i="1" s="1"/>
  <c r="A461" i="1"/>
  <c r="I461" i="1"/>
  <c r="H251" i="1"/>
  <c r="O251" i="1" s="1"/>
  <c r="M251" i="1"/>
  <c r="A251" i="1"/>
  <c r="I251" i="1"/>
  <c r="H318" i="1"/>
  <c r="O318" i="1" s="1"/>
  <c r="I318" i="1"/>
  <c r="H638" i="1"/>
  <c r="O638" i="1" s="1"/>
  <c r="A638" i="1"/>
  <c r="I638" i="1"/>
  <c r="J638" i="1"/>
  <c r="K638" i="1"/>
  <c r="L638" i="1"/>
  <c r="H252" i="1"/>
  <c r="I252" i="1"/>
  <c r="H285" i="1"/>
  <c r="O285" i="1" s="1"/>
  <c r="M285" i="1"/>
  <c r="A285" i="1"/>
  <c r="I285" i="1"/>
  <c r="J285" i="1" s="1"/>
  <c r="K285" i="1" s="1"/>
  <c r="L285" i="1" s="1"/>
  <c r="H43" i="1"/>
  <c r="O43" i="1" s="1"/>
  <c r="M43" i="1"/>
  <c r="A43" i="1"/>
  <c r="I43" i="1"/>
  <c r="J43" i="1" s="1"/>
  <c r="K43" i="1" s="1"/>
  <c r="L43" i="1" s="1"/>
  <c r="H529" i="1"/>
  <c r="O529" i="1" s="1"/>
  <c r="M529" i="1"/>
  <c r="I529" i="1"/>
  <c r="J529" i="1"/>
  <c r="K529" i="1"/>
  <c r="L529" i="1"/>
  <c r="H496" i="1"/>
  <c r="O496" i="1" s="1"/>
  <c r="I496" i="1"/>
  <c r="J496" i="1"/>
  <c r="K496" i="1" s="1"/>
  <c r="L496" i="1" s="1"/>
  <c r="H6" i="1"/>
  <c r="O6" i="1" s="1"/>
  <c r="M6" i="1"/>
  <c r="A6" i="1"/>
  <c r="I6" i="1"/>
  <c r="J6" i="1"/>
  <c r="K6" i="1" s="1"/>
  <c r="L6" i="1" s="1"/>
  <c r="H598" i="1"/>
  <c r="O598" i="1" s="1"/>
  <c r="M598" i="1"/>
  <c r="A598" i="1"/>
  <c r="I598" i="1"/>
  <c r="H219" i="1"/>
  <c r="O219" i="1" s="1"/>
  <c r="I219" i="1"/>
  <c r="H368" i="1"/>
  <c r="O368" i="1" s="1"/>
  <c r="M368" i="1"/>
  <c r="A368" i="1"/>
  <c r="I368" i="1"/>
  <c r="J368" i="1" s="1"/>
  <c r="K368" i="1" s="1"/>
  <c r="L368" i="1" s="1"/>
  <c r="H639" i="1"/>
  <c r="O639" i="1" s="1"/>
  <c r="M639" i="1"/>
  <c r="I639" i="1"/>
  <c r="H369" i="1"/>
  <c r="O369" i="1" s="1"/>
  <c r="M369" i="1"/>
  <c r="A369" i="1"/>
  <c r="I369" i="1"/>
  <c r="J369" i="1" s="1"/>
  <c r="K369" i="1" s="1"/>
  <c r="L369" i="1" s="1"/>
  <c r="H44" i="1"/>
  <c r="O44" i="1" s="1"/>
  <c r="A44" i="1"/>
  <c r="I44" i="1"/>
  <c r="J44" i="1"/>
  <c r="K44" i="1"/>
  <c r="L44" i="1"/>
  <c r="H426" i="1"/>
  <c r="I426" i="1"/>
  <c r="H497" i="1"/>
  <c r="O497" i="1" s="1"/>
  <c r="M497" i="1"/>
  <c r="A497" i="1"/>
  <c r="I497" i="1"/>
  <c r="J497" i="1" s="1"/>
  <c r="K497" i="1" s="1"/>
  <c r="L497" i="1" s="1"/>
  <c r="H498" i="1"/>
  <c r="O498" i="1" s="1"/>
  <c r="M498" i="1"/>
  <c r="A498" i="1"/>
  <c r="I498" i="1"/>
  <c r="J498" i="1" s="1"/>
  <c r="K498" i="1" s="1"/>
  <c r="L498" i="1" s="1"/>
  <c r="H109" i="1"/>
  <c r="O109" i="1" s="1"/>
  <c r="M109" i="1"/>
  <c r="I109" i="1"/>
  <c r="J109" i="1"/>
  <c r="K109" i="1"/>
  <c r="L109" i="1"/>
  <c r="H462" i="1"/>
  <c r="I462" i="1"/>
  <c r="J462" i="1"/>
  <c r="K462" i="1" s="1"/>
  <c r="L462" i="1" s="1"/>
  <c r="H530" i="1"/>
  <c r="O530" i="1" s="1"/>
  <c r="A530" i="1"/>
  <c r="I530" i="1"/>
  <c r="J530" i="1"/>
  <c r="K530" i="1" s="1"/>
  <c r="L530" i="1" s="1"/>
  <c r="H599" i="1"/>
  <c r="O599" i="1" s="1"/>
  <c r="M599" i="1"/>
  <c r="A599" i="1"/>
  <c r="I599" i="1"/>
  <c r="J599" i="1"/>
  <c r="K599" i="1" s="1"/>
  <c r="L599" i="1" s="1"/>
  <c r="H110" i="1"/>
  <c r="O110" i="1" s="1"/>
  <c r="M110" i="1"/>
  <c r="A110" i="1"/>
  <c r="I110" i="1"/>
  <c r="H286" i="1"/>
  <c r="O286" i="1" s="1"/>
  <c r="I286" i="1"/>
  <c r="J286" i="1" s="1"/>
  <c r="K286" i="1" s="1"/>
  <c r="L286" i="1" s="1"/>
  <c r="H7" i="1"/>
  <c r="O7" i="1" s="1"/>
  <c r="M7" i="1"/>
  <c r="A7" i="1"/>
  <c r="I7" i="1"/>
  <c r="J7" i="1"/>
  <c r="K7" i="1" s="1"/>
  <c r="L7" i="1" s="1"/>
  <c r="H287" i="1"/>
  <c r="O287" i="1" s="1"/>
  <c r="M287" i="1"/>
  <c r="A287" i="1"/>
  <c r="I287" i="1"/>
  <c r="J287" i="1" s="1"/>
  <c r="K287" i="1" s="1"/>
  <c r="L287" i="1" s="1"/>
  <c r="H427" i="1"/>
  <c r="O427" i="1" s="1"/>
  <c r="M427" i="1"/>
  <c r="A427" i="1"/>
  <c r="I427" i="1"/>
  <c r="H288" i="1"/>
  <c r="O288" i="1" s="1"/>
  <c r="M288" i="1"/>
  <c r="A288" i="1"/>
  <c r="I288" i="1"/>
  <c r="H45" i="1"/>
  <c r="O45" i="1" s="1"/>
  <c r="I45" i="1"/>
  <c r="H370" i="1"/>
  <c r="O370" i="1" s="1"/>
  <c r="M370" i="1"/>
  <c r="A370" i="1"/>
  <c r="I370" i="1"/>
  <c r="J370" i="1" s="1"/>
  <c r="K370" i="1" s="1"/>
  <c r="L370" i="1" s="1"/>
  <c r="H600" i="1"/>
  <c r="O600" i="1" s="1"/>
  <c r="M600" i="1"/>
  <c r="I600" i="1"/>
  <c r="J600" i="1"/>
  <c r="K600" i="1"/>
  <c r="L600" i="1"/>
  <c r="H46" i="1"/>
  <c r="I46" i="1"/>
  <c r="J46" i="1"/>
  <c r="K46" i="1" s="1"/>
  <c r="L46" i="1" s="1"/>
  <c r="H319" i="1"/>
  <c r="O319" i="1" s="1"/>
  <c r="M319" i="1"/>
  <c r="A319" i="1"/>
  <c r="I319" i="1"/>
  <c r="J319" i="1"/>
  <c r="K319" i="1"/>
  <c r="L319" i="1" s="1"/>
  <c r="H47" i="1"/>
  <c r="O47" i="1" s="1"/>
  <c r="M47" i="1"/>
  <c r="A47" i="1"/>
  <c r="I47" i="1"/>
  <c r="J47" i="1"/>
  <c r="K47" i="1" s="1"/>
  <c r="L47" i="1" s="1"/>
  <c r="H640" i="1"/>
  <c r="O640" i="1" s="1"/>
  <c r="M640" i="1"/>
  <c r="A640" i="1"/>
  <c r="I640" i="1"/>
  <c r="H641" i="1"/>
  <c r="O641" i="1" s="1"/>
  <c r="I641" i="1"/>
  <c r="J641" i="1" s="1"/>
  <c r="K641" i="1" s="1"/>
  <c r="L641" i="1" s="1"/>
  <c r="H371" i="1"/>
  <c r="O371" i="1" s="1"/>
  <c r="M371" i="1"/>
  <c r="A371" i="1"/>
  <c r="I371" i="1"/>
  <c r="J371" i="1" s="1"/>
  <c r="K371" i="1" s="1"/>
  <c r="L371" i="1" s="1"/>
  <c r="H372" i="1"/>
  <c r="O372" i="1" s="1"/>
  <c r="M372" i="1"/>
  <c r="A372" i="1"/>
  <c r="I372" i="1"/>
  <c r="J372" i="1" s="1"/>
  <c r="K372" i="1" s="1"/>
  <c r="L372" i="1" s="1"/>
  <c r="H143" i="1"/>
  <c r="O143" i="1" s="1"/>
  <c r="M143" i="1"/>
  <c r="A143" i="1"/>
  <c r="I143" i="1"/>
  <c r="H531" i="1"/>
  <c r="O531" i="1" s="1"/>
  <c r="M531" i="1"/>
  <c r="A531" i="1"/>
  <c r="I531" i="1"/>
  <c r="H532" i="1"/>
  <c r="O532" i="1" s="1"/>
  <c r="I532" i="1"/>
  <c r="H111" i="1"/>
  <c r="O111" i="1" s="1"/>
  <c r="M111" i="1"/>
  <c r="A111" i="1"/>
  <c r="I111" i="1"/>
  <c r="J111" i="1" s="1"/>
  <c r="K111" i="1" s="1"/>
  <c r="L111" i="1" s="1"/>
  <c r="H320" i="1"/>
  <c r="O320" i="1" s="1"/>
  <c r="M320" i="1"/>
  <c r="I320" i="1"/>
  <c r="J320" i="1"/>
  <c r="K320" i="1"/>
  <c r="L320" i="1"/>
  <c r="H112" i="1"/>
  <c r="I112" i="1"/>
  <c r="J112" i="1"/>
  <c r="K112" i="1"/>
  <c r="L112" i="1"/>
  <c r="H642" i="1"/>
  <c r="O642" i="1" s="1"/>
  <c r="M642" i="1"/>
  <c r="A642" i="1"/>
  <c r="I642" i="1"/>
  <c r="J642" i="1"/>
  <c r="K642" i="1"/>
  <c r="L642" i="1" s="1"/>
  <c r="H144" i="1"/>
  <c r="O144" i="1" s="1"/>
  <c r="A144" i="1"/>
  <c r="I144" i="1"/>
  <c r="J144" i="1"/>
  <c r="K144" i="1" s="1"/>
  <c r="L144" i="1" s="1"/>
  <c r="H145" i="1"/>
  <c r="O145" i="1" s="1"/>
  <c r="M145" i="1"/>
  <c r="A145" i="1"/>
  <c r="I145" i="1"/>
  <c r="H48" i="1"/>
  <c r="O48" i="1" s="1"/>
  <c r="I48" i="1"/>
  <c r="J48" i="1" s="1"/>
  <c r="K48" i="1" s="1"/>
  <c r="L48" i="1" s="1"/>
  <c r="H533" i="1"/>
  <c r="O533" i="1" s="1"/>
  <c r="M533" i="1"/>
  <c r="A533" i="1"/>
  <c r="I533" i="1"/>
  <c r="J533" i="1" s="1"/>
  <c r="K533" i="1" s="1"/>
  <c r="L533" i="1" s="1"/>
  <c r="H220" i="1"/>
  <c r="O220" i="1" s="1"/>
  <c r="M220" i="1"/>
  <c r="A220" i="1"/>
  <c r="I220" i="1"/>
  <c r="J220" i="1" s="1"/>
  <c r="K220" i="1" s="1"/>
  <c r="L220" i="1" s="1"/>
  <c r="H643" i="1"/>
  <c r="O643" i="1" s="1"/>
  <c r="M643" i="1"/>
  <c r="A643" i="1"/>
  <c r="I643" i="1"/>
  <c r="H644" i="1"/>
  <c r="O644" i="1" s="1"/>
  <c r="A644" i="1"/>
  <c r="I644" i="1"/>
  <c r="H373" i="1"/>
  <c r="O373" i="1" s="1"/>
  <c r="I373" i="1"/>
  <c r="H146" i="1"/>
  <c r="O146" i="1" s="1"/>
  <c r="M146" i="1"/>
  <c r="A146" i="1"/>
  <c r="I146" i="1"/>
  <c r="J146" i="1" s="1"/>
  <c r="K146" i="1" s="1"/>
  <c r="L146" i="1" s="1"/>
  <c r="H113" i="1"/>
  <c r="O113" i="1" s="1"/>
  <c r="M113" i="1"/>
  <c r="I113" i="1"/>
  <c r="J113" i="1"/>
  <c r="K113" i="1"/>
  <c r="L113" i="1" s="1"/>
  <c r="H253" i="1"/>
  <c r="I253" i="1"/>
  <c r="J253" i="1"/>
  <c r="K253" i="1"/>
  <c r="L253" i="1"/>
  <c r="H49" i="1"/>
  <c r="O49" i="1" s="1"/>
  <c r="M49" i="1"/>
  <c r="A49" i="1"/>
  <c r="I49" i="1"/>
  <c r="J49" i="1"/>
  <c r="K49" i="1" s="1"/>
  <c r="L49" i="1" s="1"/>
  <c r="H645" i="1"/>
  <c r="O645" i="1" s="1"/>
  <c r="A645" i="1"/>
  <c r="I645" i="1"/>
  <c r="J645" i="1"/>
  <c r="K645" i="1" s="1"/>
  <c r="L645" i="1" s="1"/>
  <c r="H646" i="1"/>
  <c r="O646" i="1" s="1"/>
  <c r="M646" i="1"/>
  <c r="A646" i="1"/>
  <c r="I646" i="1"/>
  <c r="H647" i="1"/>
  <c r="O647" i="1" s="1"/>
  <c r="I647" i="1"/>
  <c r="J647" i="1"/>
  <c r="K647" i="1"/>
  <c r="L647" i="1" s="1"/>
  <c r="H147" i="1"/>
  <c r="O147" i="1" s="1"/>
  <c r="M147" i="1"/>
  <c r="A147" i="1"/>
  <c r="I147" i="1"/>
  <c r="J147" i="1" s="1"/>
  <c r="K147" i="1" s="1"/>
  <c r="L147" i="1" s="1"/>
  <c r="H534" i="1"/>
  <c r="O534" i="1" s="1"/>
  <c r="M534" i="1"/>
  <c r="A534" i="1"/>
  <c r="I534" i="1"/>
  <c r="J534" i="1" s="1"/>
  <c r="K534" i="1" s="1"/>
  <c r="L534" i="1" s="1"/>
  <c r="H648" i="1"/>
  <c r="O648" i="1" s="1"/>
  <c r="M648" i="1"/>
  <c r="A648" i="1"/>
  <c r="I648" i="1"/>
  <c r="H50" i="1"/>
  <c r="O50" i="1" s="1"/>
  <c r="A50" i="1"/>
  <c r="I50" i="1"/>
  <c r="H535" i="1"/>
  <c r="O535" i="1" s="1"/>
  <c r="I535" i="1"/>
  <c r="H601" i="1"/>
  <c r="O601" i="1" s="1"/>
  <c r="M601" i="1"/>
  <c r="A601" i="1"/>
  <c r="I601" i="1"/>
  <c r="J601" i="1"/>
  <c r="K601" i="1" s="1"/>
  <c r="L601" i="1" s="1"/>
  <c r="H254" i="1"/>
  <c r="O254" i="1" s="1"/>
  <c r="M254" i="1"/>
  <c r="I254" i="1"/>
  <c r="J254" i="1"/>
  <c r="K254" i="1"/>
  <c r="L254" i="1" s="1"/>
  <c r="H536" i="1"/>
  <c r="I536" i="1"/>
  <c r="J536" i="1"/>
  <c r="K536" i="1"/>
  <c r="L536" i="1"/>
  <c r="H51" i="1"/>
  <c r="O51" i="1" s="1"/>
  <c r="M51" i="1"/>
  <c r="A51" i="1"/>
  <c r="I51" i="1"/>
  <c r="H602" i="1"/>
  <c r="M602" i="1" s="1"/>
  <c r="I602" i="1"/>
  <c r="J602" i="1" s="1"/>
  <c r="K602" i="1" s="1"/>
  <c r="L602" i="1" s="1"/>
  <c r="H649" i="1"/>
  <c r="O649" i="1" s="1"/>
  <c r="I649" i="1"/>
  <c r="H321" i="1"/>
  <c r="I321" i="1"/>
  <c r="H52" i="1"/>
  <c r="O52" i="1" s="1"/>
  <c r="A52" i="1"/>
  <c r="I52" i="1"/>
  <c r="J52" i="1"/>
  <c r="K52" i="1" s="1"/>
  <c r="L52" i="1" s="1"/>
  <c r="H289" i="1"/>
  <c r="O289" i="1" s="1"/>
  <c r="M289" i="1"/>
  <c r="A289" i="1"/>
  <c r="I289" i="1"/>
  <c r="J289" i="1" s="1"/>
  <c r="K289" i="1" s="1"/>
  <c r="L289" i="1" s="1"/>
  <c r="H499" i="1"/>
  <c r="O499" i="1" s="1"/>
  <c r="A499" i="1"/>
  <c r="I499" i="1"/>
  <c r="H374" i="1"/>
  <c r="O374" i="1" s="1"/>
  <c r="M374" i="1"/>
  <c r="A374" i="1"/>
  <c r="I374" i="1"/>
  <c r="H375" i="1"/>
  <c r="I375" i="1"/>
  <c r="H650" i="1"/>
  <c r="O650" i="1" s="1"/>
  <c r="A650" i="1"/>
  <c r="I650" i="1"/>
  <c r="J650" i="1"/>
  <c r="K650" i="1"/>
  <c r="L650" i="1"/>
  <c r="H651" i="1"/>
  <c r="I651" i="1"/>
  <c r="J651" i="1" s="1"/>
  <c r="K651" i="1" s="1"/>
  <c r="L651" i="1" s="1"/>
  <c r="H376" i="1"/>
  <c r="I376" i="1"/>
  <c r="J376" i="1"/>
  <c r="K376" i="1" s="1"/>
  <c r="L376" i="1" s="1"/>
  <c r="H148" i="1"/>
  <c r="O148" i="1" s="1"/>
  <c r="M148" i="1"/>
  <c r="I148" i="1"/>
  <c r="H652" i="1"/>
  <c r="O652" i="1" s="1"/>
  <c r="M652" i="1"/>
  <c r="I652" i="1"/>
  <c r="J652" i="1"/>
  <c r="K652" i="1"/>
  <c r="L652" i="1"/>
  <c r="H653" i="1"/>
  <c r="I653" i="1"/>
  <c r="H255" i="1"/>
  <c r="O255" i="1" s="1"/>
  <c r="A255" i="1"/>
  <c r="I255" i="1"/>
  <c r="H8" i="1"/>
  <c r="O8" i="1" s="1"/>
  <c r="M8" i="1"/>
  <c r="A8" i="1"/>
  <c r="I8" i="1"/>
  <c r="J8" i="1" s="1"/>
  <c r="K8" i="1" s="1"/>
  <c r="L8" i="1" s="1"/>
  <c r="H377" i="1"/>
  <c r="O377" i="1" s="1"/>
  <c r="M377" i="1"/>
  <c r="A377" i="1"/>
  <c r="I377" i="1"/>
  <c r="J377" i="1" s="1"/>
  <c r="K377" i="1" s="1"/>
  <c r="L377" i="1" s="1"/>
  <c r="H378" i="1"/>
  <c r="I378" i="1"/>
  <c r="H53" i="1"/>
  <c r="O53" i="1" s="1"/>
  <c r="A53" i="1"/>
  <c r="I53" i="1"/>
  <c r="H221" i="1"/>
  <c r="I221" i="1"/>
  <c r="J221" i="1"/>
  <c r="K221" i="1" s="1"/>
  <c r="L221" i="1" s="1"/>
  <c r="H537" i="1"/>
  <c r="O537" i="1" s="1"/>
  <c r="M537" i="1"/>
  <c r="I537" i="1"/>
  <c r="J537" i="1" s="1"/>
  <c r="K537" i="1" s="1"/>
  <c r="L537" i="1" s="1"/>
  <c r="H500" i="1"/>
  <c r="O500" i="1" s="1"/>
  <c r="M500" i="1"/>
  <c r="A500" i="1"/>
  <c r="I500" i="1"/>
  <c r="J500" i="1" s="1"/>
  <c r="K500" i="1" s="1"/>
  <c r="L500" i="1" s="1"/>
  <c r="H290" i="1"/>
  <c r="O290" i="1" s="1"/>
  <c r="M290" i="1"/>
  <c r="A290" i="1"/>
  <c r="I290" i="1"/>
  <c r="J290" i="1" s="1"/>
  <c r="K290" i="1" s="1"/>
  <c r="L290" i="1" s="1"/>
  <c r="H379" i="1"/>
  <c r="O379" i="1" s="1"/>
  <c r="M379" i="1"/>
  <c r="I379" i="1"/>
  <c r="J379" i="1"/>
  <c r="K379" i="1" s="1"/>
  <c r="L379" i="1" s="1"/>
  <c r="H463" i="1"/>
  <c r="O463" i="1" s="1"/>
  <c r="M463" i="1"/>
  <c r="I463" i="1"/>
  <c r="J463" i="1"/>
  <c r="K463" i="1"/>
  <c r="L463" i="1"/>
  <c r="H464" i="1"/>
  <c r="I464" i="1"/>
  <c r="J464" i="1"/>
  <c r="K464" i="1" s="1"/>
  <c r="L464" i="1" s="1"/>
  <c r="H291" i="1"/>
  <c r="O291" i="1" s="1"/>
  <c r="M291" i="1"/>
  <c r="A291" i="1"/>
  <c r="I291" i="1"/>
  <c r="H54" i="1"/>
  <c r="M54" i="1" s="1"/>
  <c r="I54" i="1"/>
  <c r="H538" i="1"/>
  <c r="O538" i="1" s="1"/>
  <c r="M538" i="1"/>
  <c r="A538" i="1"/>
  <c r="I538" i="1"/>
  <c r="H222" i="1"/>
  <c r="O222" i="1" s="1"/>
  <c r="M222" i="1"/>
  <c r="A222" i="1"/>
  <c r="I222" i="1"/>
  <c r="H322" i="1"/>
  <c r="M322" i="1" s="1"/>
  <c r="I322" i="1"/>
  <c r="H9" i="1"/>
  <c r="O9" i="1" s="1"/>
  <c r="M9" i="1"/>
  <c r="A9" i="1"/>
  <c r="I9" i="1"/>
  <c r="J9" i="1" s="1"/>
  <c r="K9" i="1" s="1"/>
  <c r="L9" i="1" s="1"/>
  <c r="H181" i="1"/>
  <c r="O181" i="1" s="1"/>
  <c r="M181" i="1"/>
  <c r="A181" i="1"/>
  <c r="I181" i="1"/>
  <c r="J181" i="1"/>
  <c r="K181" i="1"/>
  <c r="L181" i="1"/>
  <c r="H292" i="1"/>
  <c r="M292" i="1"/>
  <c r="I292" i="1"/>
  <c r="J292" i="1"/>
  <c r="K292" i="1"/>
  <c r="L292" i="1" s="1"/>
  <c r="H293" i="1"/>
  <c r="I293" i="1"/>
  <c r="J293" i="1"/>
  <c r="K293" i="1" s="1"/>
  <c r="L293" i="1" s="1"/>
  <c r="H182" i="1"/>
  <c r="O182" i="1" s="1"/>
  <c r="M182" i="1"/>
  <c r="A182" i="1"/>
  <c r="I182" i="1"/>
  <c r="J182" i="1" s="1"/>
  <c r="K182" i="1" s="1"/>
  <c r="L182" i="1" s="1"/>
  <c r="H428" i="1"/>
  <c r="O428" i="1" s="1"/>
  <c r="M428" i="1"/>
  <c r="A428" i="1"/>
  <c r="I428" i="1"/>
  <c r="J428" i="1" s="1"/>
  <c r="K428" i="1" s="1"/>
  <c r="L428" i="1" s="1"/>
  <c r="H539" i="1"/>
  <c r="O539" i="1" s="1"/>
  <c r="M539" i="1"/>
  <c r="A539" i="1"/>
  <c r="I539" i="1"/>
  <c r="J539" i="1" s="1"/>
  <c r="K539" i="1" s="1"/>
  <c r="L539" i="1" s="1"/>
  <c r="H540" i="1"/>
  <c r="M540" i="1"/>
  <c r="I540" i="1"/>
  <c r="H149" i="1"/>
  <c r="O149" i="1" s="1"/>
  <c r="M149" i="1"/>
  <c r="A149" i="1"/>
  <c r="I149" i="1"/>
  <c r="J149" i="1"/>
  <c r="K149" i="1" s="1"/>
  <c r="L149" i="1" s="1"/>
  <c r="H10" i="1"/>
  <c r="O10" i="1" s="1"/>
  <c r="M10" i="1"/>
  <c r="A10" i="1"/>
  <c r="I10" i="1"/>
  <c r="H501" i="1"/>
  <c r="O501" i="1" s="1"/>
  <c r="M501" i="1"/>
  <c r="A501" i="1"/>
  <c r="I501" i="1"/>
  <c r="H654" i="1"/>
  <c r="M654" i="1" s="1"/>
  <c r="I654" i="1"/>
  <c r="H655" i="1"/>
  <c r="O655" i="1" s="1"/>
  <c r="M655" i="1"/>
  <c r="A655" i="1"/>
  <c r="I655" i="1"/>
  <c r="H55" i="1"/>
  <c r="O55" i="1" s="1"/>
  <c r="A55" i="1"/>
  <c r="I55" i="1"/>
  <c r="J55" i="1" s="1"/>
  <c r="K55" i="1"/>
  <c r="L55" i="1" s="1"/>
  <c r="H256" i="1"/>
  <c r="O256" i="1" s="1"/>
  <c r="M256" i="1"/>
  <c r="A256" i="1"/>
  <c r="I256" i="1"/>
  <c r="J256" i="1" s="1"/>
  <c r="K256" i="1" s="1"/>
  <c r="L256" i="1" s="1"/>
  <c r="H502" i="1"/>
  <c r="O502" i="1" s="1"/>
  <c r="M502" i="1"/>
  <c r="A502" i="1"/>
  <c r="I502" i="1"/>
  <c r="J502" i="1" s="1"/>
  <c r="K502" i="1" s="1"/>
  <c r="L502" i="1" s="1"/>
  <c r="H656" i="1"/>
  <c r="O656" i="1" s="1"/>
  <c r="A656" i="1"/>
  <c r="I656" i="1"/>
  <c r="J656" i="1" s="1"/>
  <c r="K656" i="1" s="1"/>
  <c r="L656" i="1" s="1"/>
  <c r="H657" i="1"/>
  <c r="I657" i="1"/>
  <c r="J657" i="1"/>
  <c r="K657" i="1"/>
  <c r="L657" i="1"/>
  <c r="H11" i="1"/>
  <c r="I11" i="1"/>
  <c r="H56" i="1"/>
  <c r="I56" i="1"/>
  <c r="J56" i="1"/>
  <c r="K56" i="1"/>
  <c r="L56" i="1"/>
  <c r="H465" i="1"/>
  <c r="M465" i="1"/>
  <c r="I465" i="1"/>
  <c r="J465" i="1"/>
  <c r="K465" i="1" s="1"/>
  <c r="L465" i="1"/>
  <c r="H257" i="1"/>
  <c r="I257" i="1"/>
  <c r="H541" i="1"/>
  <c r="O541" i="1" s="1"/>
  <c r="M541" i="1"/>
  <c r="A541" i="1"/>
  <c r="I541" i="1"/>
  <c r="J541" i="1" s="1"/>
  <c r="K541" i="1"/>
  <c r="L541" i="1"/>
  <c r="H503" i="1"/>
  <c r="I503" i="1"/>
  <c r="H57" i="1"/>
  <c r="O57" i="1" s="1"/>
  <c r="M57" i="1"/>
  <c r="A57" i="1"/>
  <c r="I57" i="1"/>
  <c r="H323" i="1"/>
  <c r="O323" i="1" s="1"/>
  <c r="A323" i="1"/>
  <c r="I323" i="1"/>
  <c r="J323" i="1"/>
  <c r="K323" i="1"/>
  <c r="L323" i="1" s="1"/>
  <c r="H429" i="1"/>
  <c r="O429" i="1" s="1"/>
  <c r="M429" i="1"/>
  <c r="A429" i="1"/>
  <c r="I429" i="1"/>
  <c r="J429" i="1" s="1"/>
  <c r="K429" i="1" s="1"/>
  <c r="L429" i="1" s="1"/>
  <c r="H430" i="1"/>
  <c r="O430" i="1" s="1"/>
  <c r="A430" i="1"/>
  <c r="I430" i="1"/>
  <c r="J430" i="1" s="1"/>
  <c r="K430" i="1" s="1"/>
  <c r="L430" i="1" s="1"/>
  <c r="H542" i="1"/>
  <c r="O542" i="1" s="1"/>
  <c r="M542" i="1"/>
  <c r="A542" i="1"/>
  <c r="I542" i="1"/>
  <c r="J542" i="1" s="1"/>
  <c r="K542" i="1" s="1"/>
  <c r="L542" i="1" s="1"/>
  <c r="H324" i="1"/>
  <c r="I324" i="1"/>
  <c r="J324" i="1"/>
  <c r="K324" i="1"/>
  <c r="L324" i="1" s="1"/>
  <c r="H183" i="1"/>
  <c r="I183" i="1"/>
  <c r="H58" i="1"/>
  <c r="M58" i="1"/>
  <c r="I58" i="1"/>
  <c r="H59" i="1"/>
  <c r="O59" i="1" s="1"/>
  <c r="M59" i="1"/>
  <c r="A59" i="1"/>
  <c r="I59" i="1"/>
  <c r="J59" i="1"/>
  <c r="K59" i="1" s="1"/>
  <c r="L59" i="1" s="1"/>
  <c r="H258" i="1"/>
  <c r="O258" i="1" s="1"/>
  <c r="A258" i="1"/>
  <c r="I258" i="1"/>
  <c r="J258" i="1" s="1"/>
  <c r="K258" i="1" s="1"/>
  <c r="L258" i="1" s="1"/>
  <c r="H543" i="1"/>
  <c r="I543" i="1"/>
  <c r="J543" i="1" s="1"/>
  <c r="K543" i="1" s="1"/>
  <c r="L543" i="1" s="1"/>
  <c r="H60" i="1"/>
  <c r="M60" i="1"/>
  <c r="I60" i="1"/>
  <c r="H544" i="1"/>
  <c r="O544" i="1" s="1"/>
  <c r="M544" i="1"/>
  <c r="A544" i="1"/>
  <c r="I544" i="1"/>
  <c r="J544" i="1" s="1"/>
  <c r="K544" i="1" s="1"/>
  <c r="L544" i="1" s="1"/>
  <c r="H12" i="1"/>
  <c r="O12" i="1" s="1"/>
  <c r="M12" i="1"/>
  <c r="A12" i="1"/>
  <c r="I12" i="1"/>
  <c r="J12" i="1"/>
  <c r="K12" i="1"/>
  <c r="L12" i="1"/>
  <c r="H294" i="1"/>
  <c r="M294" i="1"/>
  <c r="I294" i="1"/>
  <c r="J294" i="1"/>
  <c r="K294" i="1" s="1"/>
  <c r="L294" i="1" s="1"/>
  <c r="H150" i="1"/>
  <c r="I150" i="1"/>
  <c r="J150" i="1"/>
  <c r="K150" i="1" s="1"/>
  <c r="L150" i="1" s="1"/>
  <c r="H223" i="1"/>
  <c r="O223" i="1" s="1"/>
  <c r="A223" i="1"/>
  <c r="I223" i="1"/>
  <c r="J223" i="1" s="1"/>
  <c r="K223" i="1" s="1"/>
  <c r="L223" i="1" s="1"/>
  <c r="H504" i="1"/>
  <c r="O504" i="1" s="1"/>
  <c r="M504" i="1"/>
  <c r="A504" i="1"/>
  <c r="I504" i="1"/>
  <c r="H295" i="1"/>
  <c r="I295" i="1"/>
  <c r="H61" i="1"/>
  <c r="I61" i="1"/>
  <c r="H184" i="1"/>
  <c r="O184" i="1" s="1"/>
  <c r="A184" i="1"/>
  <c r="I184" i="1"/>
  <c r="J184" i="1" s="1"/>
  <c r="K184" i="1" s="1"/>
  <c r="L184" i="1" s="1"/>
  <c r="H13" i="1"/>
  <c r="I13" i="1"/>
  <c r="J13" i="1" s="1"/>
  <c r="K13" i="1"/>
  <c r="L13" i="1" s="1"/>
  <c r="H658" i="1"/>
  <c r="O658" i="1" s="1"/>
  <c r="A658" i="1"/>
  <c r="I658" i="1"/>
  <c r="H545" i="1"/>
  <c r="O545" i="1" s="1"/>
  <c r="M545" i="1"/>
  <c r="A545" i="1"/>
  <c r="I545" i="1"/>
  <c r="J545" i="1" s="1"/>
  <c r="K545" i="1" s="1"/>
  <c r="L545" i="1" s="1"/>
  <c r="H546" i="1"/>
  <c r="O546" i="1" s="1"/>
  <c r="M546" i="1"/>
  <c r="A546" i="1"/>
  <c r="I546" i="1"/>
  <c r="H659" i="1"/>
  <c r="O659" i="1" s="1"/>
  <c r="A659" i="1"/>
  <c r="I659" i="1"/>
  <c r="J659" i="1" s="1"/>
  <c r="K659" i="1" s="1"/>
  <c r="L659" i="1" s="1"/>
  <c r="H466" i="1"/>
  <c r="I466" i="1"/>
  <c r="J466" i="1"/>
  <c r="K466" i="1" s="1"/>
  <c r="L466" i="1" s="1"/>
  <c r="H62" i="1"/>
  <c r="O62" i="1" s="1"/>
  <c r="M62" i="1"/>
  <c r="A62" i="1"/>
  <c r="I62" i="1"/>
  <c r="J62" i="1" s="1"/>
  <c r="K62" i="1" s="1"/>
  <c r="L62" i="1" s="1"/>
  <c r="H431" i="1"/>
  <c r="I431" i="1"/>
  <c r="H380" i="1"/>
  <c r="O380" i="1" s="1"/>
  <c r="M380" i="1"/>
  <c r="A380" i="1"/>
  <c r="I380" i="1"/>
  <c r="J380" i="1" s="1"/>
  <c r="K380" i="1" s="1"/>
  <c r="L380" i="1" s="1"/>
  <c r="H63" i="1"/>
  <c r="O63" i="1" s="1"/>
  <c r="A63" i="1"/>
  <c r="I63" i="1"/>
  <c r="H14" i="1"/>
  <c r="O14" i="1" s="1"/>
  <c r="A14" i="1"/>
  <c r="I14" i="1"/>
  <c r="H547" i="1"/>
  <c r="M547" i="1"/>
  <c r="I547" i="1"/>
  <c r="J547" i="1"/>
  <c r="K547" i="1" s="1"/>
  <c r="L547" i="1" s="1"/>
  <c r="H381" i="1"/>
  <c r="I381" i="1"/>
  <c r="H660" i="1"/>
  <c r="I660" i="1"/>
  <c r="J660" i="1"/>
  <c r="K660" i="1" s="1"/>
  <c r="L660" i="1" s="1"/>
  <c r="H151" i="1"/>
  <c r="O151" i="1" s="1"/>
  <c r="M151" i="1"/>
  <c r="A151" i="1"/>
  <c r="I151" i="1"/>
  <c r="J151" i="1" s="1"/>
  <c r="K151" i="1"/>
  <c r="L151" i="1" s="1"/>
  <c r="H64" i="1"/>
  <c r="A64" i="1"/>
  <c r="I64" i="1"/>
  <c r="H224" i="1"/>
  <c r="I224" i="1"/>
  <c r="J224" i="1" s="1"/>
  <c r="K224" i="1" s="1"/>
  <c r="L224" i="1" s="1"/>
  <c r="H65" i="1"/>
  <c r="I65" i="1"/>
  <c r="H296" i="1"/>
  <c r="O296" i="1" s="1"/>
  <c r="M296" i="1"/>
  <c r="I296" i="1"/>
  <c r="J296" i="1" s="1"/>
  <c r="K296" i="1"/>
  <c r="L296" i="1" s="1"/>
  <c r="H382" i="1"/>
  <c r="O382" i="1" s="1"/>
  <c r="A382" i="1"/>
  <c r="I382" i="1"/>
  <c r="J382" i="1"/>
  <c r="K382" i="1"/>
  <c r="L382" i="1" s="1"/>
  <c r="H152" i="1"/>
  <c r="I152" i="1"/>
  <c r="J152" i="1" s="1"/>
  <c r="K152" i="1" s="1"/>
  <c r="L152" i="1" s="1"/>
  <c r="H114" i="1"/>
  <c r="I114" i="1"/>
  <c r="H225" i="1"/>
  <c r="O225" i="1" s="1"/>
  <c r="M225" i="1"/>
  <c r="A225" i="1"/>
  <c r="I225" i="1"/>
  <c r="H153" i="1"/>
  <c r="O153" i="1" s="1"/>
  <c r="M153" i="1"/>
  <c r="A153" i="1"/>
  <c r="I153" i="1"/>
  <c r="J153" i="1" s="1"/>
  <c r="K153" i="1" s="1"/>
  <c r="L153" i="1" s="1"/>
  <c r="H154" i="1"/>
  <c r="O154" i="1" s="1"/>
  <c r="A154" i="1"/>
  <c r="I154" i="1"/>
  <c r="J154" i="1"/>
  <c r="K154" i="1" s="1"/>
  <c r="L154" i="1" s="1"/>
  <c r="H661" i="1"/>
  <c r="I661" i="1"/>
  <c r="J661" i="1"/>
  <c r="K661" i="1" s="1"/>
  <c r="L661" i="1" s="1"/>
  <c r="H325" i="1"/>
  <c r="O325" i="1" s="1"/>
  <c r="M325" i="1"/>
  <c r="A325" i="1"/>
  <c r="I325" i="1"/>
  <c r="J325" i="1" s="1"/>
  <c r="K325" i="1" s="1"/>
  <c r="L325" i="1" s="1"/>
  <c r="H259" i="1"/>
  <c r="A259" i="1" s="1"/>
  <c r="I259" i="1"/>
  <c r="J259" i="1" s="1"/>
  <c r="K259" i="1" s="1"/>
  <c r="L259" i="1" s="1"/>
  <c r="H603" i="1"/>
  <c r="O603" i="1" s="1"/>
  <c r="A603" i="1"/>
  <c r="I603" i="1"/>
  <c r="J603" i="1"/>
  <c r="K603" i="1" s="1"/>
  <c r="L603" i="1" s="1"/>
  <c r="H505" i="1"/>
  <c r="I505" i="1"/>
  <c r="J505" i="1" s="1"/>
  <c r="K505" i="1"/>
  <c r="L505" i="1" s="1"/>
  <c r="H662" i="1"/>
  <c r="O662" i="1" s="1"/>
  <c r="M662" i="1"/>
  <c r="A662" i="1"/>
  <c r="I662" i="1"/>
  <c r="J662" i="1" s="1"/>
  <c r="K662" i="1" s="1"/>
  <c r="L662" i="1"/>
  <c r="H326" i="1"/>
  <c r="O326" i="1" s="1"/>
  <c r="M326" i="1"/>
  <c r="A326" i="1"/>
  <c r="I326" i="1"/>
  <c r="H260" i="1"/>
  <c r="O260" i="1" s="1"/>
  <c r="A260" i="1"/>
  <c r="I260" i="1"/>
  <c r="J260" i="1"/>
  <c r="K260" i="1" s="1"/>
  <c r="L260" i="1" s="1"/>
  <c r="H185" i="1"/>
  <c r="I185" i="1"/>
  <c r="H226" i="1"/>
  <c r="O226" i="1" s="1"/>
  <c r="M226" i="1"/>
  <c r="A226" i="1"/>
  <c r="I226" i="1"/>
  <c r="H383" i="1"/>
  <c r="O383" i="1" s="1"/>
  <c r="M383" i="1"/>
  <c r="I383" i="1"/>
  <c r="J383" i="1" s="1"/>
  <c r="K383" i="1" s="1"/>
  <c r="L383" i="1"/>
  <c r="H432" i="1"/>
  <c r="O432" i="1" s="1"/>
  <c r="I432" i="1"/>
  <c r="H66" i="1"/>
  <c r="O66" i="1" s="1"/>
  <c r="A66" i="1"/>
  <c r="I66" i="1"/>
  <c r="J66" i="1" s="1"/>
  <c r="K66" i="1" s="1"/>
  <c r="L66" i="1" s="1"/>
  <c r="H663" i="1"/>
  <c r="O663" i="1" s="1"/>
  <c r="M663" i="1"/>
  <c r="A663" i="1"/>
  <c r="I663" i="1"/>
  <c r="J663" i="1" s="1"/>
  <c r="K663" i="1" s="1"/>
  <c r="L663" i="1" s="1"/>
  <c r="H227" i="1"/>
  <c r="O227" i="1" s="1"/>
  <c r="M227" i="1"/>
  <c r="A227" i="1"/>
  <c r="I227" i="1"/>
  <c r="H548" i="1"/>
  <c r="O548" i="1" s="1"/>
  <c r="M548" i="1"/>
  <c r="A548" i="1"/>
  <c r="I548" i="1"/>
  <c r="H115" i="1"/>
  <c r="O115" i="1" s="1"/>
  <c r="A115" i="1"/>
  <c r="I115" i="1"/>
  <c r="J115" i="1" s="1"/>
  <c r="K115" i="1"/>
  <c r="L115" i="1"/>
  <c r="H604" i="1"/>
  <c r="I604" i="1"/>
  <c r="H67" i="1"/>
  <c r="I67" i="1"/>
  <c r="J67" i="1"/>
  <c r="K67" i="1"/>
  <c r="L67" i="1" s="1"/>
  <c r="H155" i="1"/>
  <c r="M155" i="1"/>
  <c r="I155" i="1"/>
  <c r="J155" i="1" s="1"/>
  <c r="K155" i="1" s="1"/>
  <c r="L155" i="1" s="1"/>
  <c r="H664" i="1"/>
  <c r="O664" i="1" s="1"/>
  <c r="I664" i="1"/>
  <c r="J664" i="1"/>
  <c r="K664" i="1" s="1"/>
  <c r="L664" i="1" s="1"/>
  <c r="H467" i="1"/>
  <c r="O467" i="1" s="1"/>
  <c r="M467" i="1"/>
  <c r="A467" i="1"/>
  <c r="I467" i="1"/>
  <c r="H116" i="1"/>
  <c r="I116" i="1"/>
  <c r="J116" i="1"/>
  <c r="K116" i="1" s="1"/>
  <c r="L116" i="1" s="1"/>
  <c r="H468" i="1"/>
  <c r="A468" i="1"/>
  <c r="I468" i="1"/>
  <c r="H665" i="1"/>
  <c r="O665" i="1" s="1"/>
  <c r="A665" i="1"/>
  <c r="I665" i="1"/>
  <c r="J665" i="1" s="1"/>
  <c r="K665" i="1" s="1"/>
  <c r="L665" i="1" s="1"/>
  <c r="H666" i="1"/>
  <c r="I666" i="1"/>
  <c r="H469" i="1"/>
  <c r="I469" i="1"/>
  <c r="J469" i="1"/>
  <c r="K469" i="1" s="1"/>
  <c r="L469" i="1" s="1"/>
  <c r="H186" i="1"/>
  <c r="O186" i="1" s="1"/>
  <c r="M186" i="1"/>
  <c r="A186" i="1"/>
  <c r="I186" i="1"/>
  <c r="J186" i="1"/>
  <c r="K186" i="1" s="1"/>
  <c r="L186" i="1" s="1"/>
  <c r="H68" i="1"/>
  <c r="O68" i="1" s="1"/>
  <c r="A68" i="1"/>
  <c r="I68" i="1"/>
  <c r="J68" i="1" s="1"/>
  <c r="K68" i="1" s="1"/>
  <c r="L68" i="1" s="1"/>
  <c r="H667" i="1"/>
  <c r="I667" i="1"/>
  <c r="H228" i="1"/>
  <c r="I228" i="1"/>
  <c r="J228" i="1"/>
  <c r="K228" i="1" s="1"/>
  <c r="L228" i="1" s="1"/>
  <c r="H187" i="1"/>
  <c r="M187" i="1"/>
  <c r="I187" i="1"/>
  <c r="H117" i="1"/>
  <c r="O117" i="1" s="1"/>
  <c r="M117" i="1"/>
  <c r="A117" i="1"/>
  <c r="I117" i="1"/>
  <c r="J117" i="1" s="1"/>
  <c r="K117" i="1" s="1"/>
  <c r="L117" i="1"/>
  <c r="H69" i="1"/>
  <c r="O69" i="1" s="1"/>
  <c r="I69" i="1"/>
  <c r="J69" i="1"/>
  <c r="K69" i="1" s="1"/>
  <c r="L69" i="1"/>
  <c r="H506" i="1"/>
  <c r="M506" i="1"/>
  <c r="I506" i="1"/>
  <c r="J506" i="1"/>
  <c r="K506" i="1" s="1"/>
  <c r="L506" i="1" s="1"/>
  <c r="H297" i="1"/>
  <c r="A297" i="1"/>
  <c r="I297" i="1"/>
  <c r="J297" i="1" s="1"/>
  <c r="K297" i="1"/>
  <c r="L297" i="1"/>
  <c r="H70" i="1"/>
  <c r="I70" i="1"/>
  <c r="J70" i="1" s="1"/>
  <c r="K70" i="1" s="1"/>
  <c r="L70" i="1" s="1"/>
  <c r="H384" i="1"/>
  <c r="O384" i="1" s="1"/>
  <c r="M384" i="1"/>
  <c r="A384" i="1"/>
  <c r="I384" i="1"/>
  <c r="J384" i="1"/>
  <c r="K384" i="1" s="1"/>
  <c r="L384" i="1" s="1"/>
  <c r="H327" i="1"/>
  <c r="O327" i="1" s="1"/>
  <c r="A327" i="1"/>
  <c r="I327" i="1"/>
  <c r="J327" i="1" s="1"/>
  <c r="K327" i="1" s="1"/>
  <c r="L327" i="1" s="1"/>
  <c r="H156" i="1"/>
  <c r="M156" i="1" s="1"/>
  <c r="I156" i="1"/>
  <c r="H71" i="1"/>
  <c r="M71" i="1" s="1"/>
  <c r="I71" i="1"/>
  <c r="J71" i="1"/>
  <c r="K71" i="1" s="1"/>
  <c r="L71" i="1" s="1"/>
  <c r="H605" i="1"/>
  <c r="O605" i="1" s="1"/>
  <c r="M605" i="1"/>
  <c r="A605" i="1"/>
  <c r="I605" i="1"/>
  <c r="J605" i="1"/>
  <c r="K605" i="1" s="1"/>
  <c r="L605" i="1" s="1"/>
  <c r="H606" i="1"/>
  <c r="O606" i="1" s="1"/>
  <c r="A606" i="1"/>
  <c r="I606" i="1"/>
  <c r="J606" i="1" s="1"/>
  <c r="K606" i="1" s="1"/>
  <c r="L606" i="1"/>
  <c r="H118" i="1"/>
  <c r="I118" i="1"/>
  <c r="H72" i="1"/>
  <c r="I72" i="1"/>
  <c r="J72" i="1" s="1"/>
  <c r="K72" i="1" s="1"/>
  <c r="L72" i="1" s="1"/>
  <c r="H73" i="1"/>
  <c r="O73" i="1" s="1"/>
  <c r="I73" i="1"/>
  <c r="J73" i="1" s="1"/>
  <c r="K73" i="1" s="1"/>
  <c r="L73" i="1" s="1"/>
  <c r="H385" i="1"/>
  <c r="M385" i="1" s="1"/>
  <c r="I385" i="1"/>
  <c r="J385" i="1"/>
  <c r="K385" i="1" s="1"/>
  <c r="L385" i="1" s="1"/>
  <c r="H229" i="1"/>
  <c r="O229" i="1" s="1"/>
  <c r="M229" i="1"/>
  <c r="A229" i="1"/>
  <c r="I229" i="1"/>
  <c r="J229" i="1"/>
  <c r="K229" i="1" s="1"/>
  <c r="L229" i="1" s="1"/>
  <c r="H386" i="1"/>
  <c r="O386" i="1" s="1"/>
  <c r="A386" i="1"/>
  <c r="I386" i="1"/>
  <c r="J386" i="1" s="1"/>
  <c r="K386" i="1" s="1"/>
  <c r="L386" i="1"/>
  <c r="H74" i="1"/>
  <c r="I74" i="1"/>
  <c r="H387" i="1"/>
  <c r="I387" i="1"/>
  <c r="J387" i="1" s="1"/>
  <c r="K387" i="1" s="1"/>
  <c r="L387" i="1" s="1"/>
  <c r="H388" i="1"/>
  <c r="I388" i="1"/>
  <c r="H328" i="1"/>
  <c r="I328" i="1"/>
  <c r="J328" i="1"/>
  <c r="K328" i="1" s="1"/>
  <c r="L328" i="1" s="1"/>
  <c r="H157" i="1"/>
  <c r="O157" i="1" s="1"/>
  <c r="M157" i="1"/>
  <c r="A157" i="1"/>
  <c r="I157" i="1"/>
  <c r="J157" i="1"/>
  <c r="K157" i="1"/>
  <c r="L157" i="1" s="1"/>
  <c r="H389" i="1"/>
  <c r="O389" i="1" s="1"/>
  <c r="A389" i="1"/>
  <c r="I389" i="1"/>
  <c r="J389" i="1" s="1"/>
  <c r="K389" i="1" s="1"/>
  <c r="L389" i="1" s="1"/>
  <c r="H75" i="1"/>
  <c r="A75" i="1"/>
  <c r="I75" i="1"/>
  <c r="J75" i="1" s="1"/>
  <c r="K75" i="1" s="1"/>
  <c r="L75" i="1" s="1"/>
  <c r="H76" i="1"/>
  <c r="I76" i="1"/>
  <c r="H230" i="1"/>
  <c r="I230" i="1"/>
  <c r="H77" i="1"/>
  <c r="I77" i="1"/>
  <c r="J77" i="1"/>
  <c r="K77" i="1" s="1"/>
  <c r="L77" i="1" s="1"/>
  <c r="H507" i="1"/>
  <c r="O507" i="1" s="1"/>
  <c r="M507" i="1"/>
  <c r="A507" i="1"/>
  <c r="I507" i="1"/>
  <c r="J507" i="1"/>
  <c r="K507" i="1"/>
  <c r="L507" i="1" s="1"/>
  <c r="H78" i="1"/>
  <c r="O78" i="1" s="1"/>
  <c r="A78" i="1"/>
  <c r="I78" i="1"/>
  <c r="J78" i="1" s="1"/>
  <c r="K78" i="1" s="1"/>
  <c r="L78" i="1" s="1"/>
  <c r="H549" i="1"/>
  <c r="A549" i="1"/>
  <c r="I549" i="1"/>
  <c r="H470" i="1"/>
  <c r="I470" i="1"/>
  <c r="J470" i="1" s="1"/>
  <c r="K470" i="1" s="1"/>
  <c r="L470" i="1" s="1"/>
  <c r="H79" i="1"/>
  <c r="M79" i="1" s="1"/>
  <c r="I79" i="1"/>
  <c r="J79" i="1" s="1"/>
  <c r="K79" i="1"/>
  <c r="L79" i="1" s="1"/>
  <c r="H80" i="1"/>
  <c r="O80" i="1" s="1"/>
  <c r="M80" i="1"/>
  <c r="A80" i="1"/>
  <c r="I80" i="1"/>
  <c r="J80" i="1"/>
  <c r="K80" i="1"/>
  <c r="L80" i="1"/>
  <c r="H471" i="1"/>
  <c r="O471" i="1" s="1"/>
  <c r="M471" i="1"/>
  <c r="A471" i="1"/>
  <c r="I471" i="1"/>
  <c r="H298" i="1"/>
  <c r="O298" i="1" s="1"/>
  <c r="A298" i="1"/>
  <c r="I298" i="1"/>
  <c r="J298" i="1" s="1"/>
  <c r="K298" i="1" s="1"/>
  <c r="L298" i="1"/>
  <c r="H550" i="1"/>
  <c r="I550" i="1"/>
  <c r="H472" i="1"/>
  <c r="I472" i="1"/>
  <c r="H607" i="1"/>
  <c r="O607" i="1" s="1"/>
  <c r="I607" i="1"/>
  <c r="H188" i="1"/>
  <c r="A188" i="1"/>
  <c r="I188" i="1"/>
  <c r="J188" i="1" s="1"/>
  <c r="K188" i="1" s="1"/>
  <c r="L188" i="1" s="1"/>
  <c r="H189" i="1"/>
  <c r="I189" i="1"/>
  <c r="H15" i="1"/>
  <c r="M15" i="1" s="1"/>
  <c r="I15" i="1"/>
  <c r="H231" i="1"/>
  <c r="M231" i="1" s="1"/>
  <c r="I231" i="1"/>
  <c r="J231" i="1"/>
  <c r="K231" i="1" s="1"/>
  <c r="L231" i="1" s="1"/>
  <c r="H190" i="1"/>
  <c r="O190" i="1" s="1"/>
  <c r="M190" i="1"/>
  <c r="A190" i="1"/>
  <c r="I190" i="1"/>
  <c r="J190" i="1"/>
  <c r="K190" i="1" s="1"/>
  <c r="L190" i="1" s="1"/>
  <c r="H608" i="1"/>
  <c r="O608" i="1" s="1"/>
  <c r="A608" i="1"/>
  <c r="I608" i="1"/>
  <c r="J608" i="1" s="1"/>
  <c r="K608" i="1" s="1"/>
  <c r="L608" i="1" s="1"/>
  <c r="H609" i="1"/>
  <c r="A609" i="1"/>
  <c r="I609" i="1"/>
  <c r="J609" i="1" s="1"/>
  <c r="K609" i="1" s="1"/>
  <c r="L609" i="1" s="1"/>
  <c r="H16" i="1"/>
  <c r="I16" i="1"/>
  <c r="H473" i="1"/>
  <c r="M473" i="1" s="1"/>
  <c r="I473" i="1"/>
  <c r="J473" i="1"/>
  <c r="K473" i="1" s="1"/>
  <c r="L473" i="1" s="1"/>
  <c r="H668" i="1"/>
  <c r="O668" i="1" s="1"/>
  <c r="M668" i="1"/>
  <c r="A668" i="1"/>
  <c r="I668" i="1"/>
  <c r="H390" i="1"/>
  <c r="O390" i="1" s="1"/>
  <c r="M390" i="1"/>
  <c r="A390" i="1"/>
  <c r="I390" i="1"/>
  <c r="H329" i="1"/>
  <c r="O329" i="1" s="1"/>
  <c r="M329" i="1"/>
  <c r="A329" i="1"/>
  <c r="I329" i="1"/>
  <c r="J329" i="1" s="1"/>
  <c r="K329" i="1" s="1"/>
  <c r="L329" i="1" s="1"/>
  <c r="H17" i="1"/>
  <c r="O17" i="1" s="1"/>
  <c r="M17" i="1"/>
  <c r="A17" i="1"/>
  <c r="I17" i="1"/>
  <c r="J17" i="1" s="1"/>
  <c r="K17" i="1"/>
  <c r="L17" i="1"/>
  <c r="H669" i="1"/>
  <c r="I669" i="1"/>
  <c r="H391" i="1"/>
  <c r="O391" i="1" s="1"/>
  <c r="I391" i="1"/>
  <c r="J391" i="1"/>
  <c r="K391" i="1" s="1"/>
  <c r="L391" i="1" s="1"/>
  <c r="H392" i="1"/>
  <c r="M392" i="1"/>
  <c r="I392" i="1"/>
  <c r="J392" i="1"/>
  <c r="K392" i="1" s="1"/>
  <c r="L392" i="1" s="1"/>
  <c r="H393" i="1"/>
  <c r="O393" i="1" s="1"/>
  <c r="M393" i="1"/>
  <c r="A393" i="1"/>
  <c r="I393" i="1"/>
  <c r="J393" i="1"/>
  <c r="K393" i="1"/>
  <c r="L393" i="1"/>
  <c r="H18" i="1"/>
  <c r="O18" i="1" s="1"/>
  <c r="A18" i="1"/>
  <c r="I18" i="1"/>
  <c r="H119" i="1"/>
  <c r="O119" i="1" s="1"/>
  <c r="M119" i="1"/>
  <c r="A119" i="1"/>
  <c r="I119" i="1"/>
  <c r="J119" i="1" s="1"/>
  <c r="K119" i="1" s="1"/>
  <c r="L119" i="1" s="1"/>
  <c r="H508" i="1"/>
  <c r="I508" i="1"/>
  <c r="H330" i="1"/>
  <c r="O330" i="1" s="1"/>
  <c r="I330" i="1"/>
  <c r="J330" i="1" s="1"/>
  <c r="K330" i="1" s="1"/>
  <c r="L330" i="1"/>
  <c r="H551" i="1"/>
  <c r="M551" i="1" s="1"/>
  <c r="I551" i="1"/>
  <c r="J551" i="1"/>
  <c r="K551" i="1" s="1"/>
  <c r="L551" i="1" s="1"/>
  <c r="H474" i="1"/>
  <c r="O474" i="1" s="1"/>
  <c r="M474" i="1"/>
  <c r="A474" i="1"/>
  <c r="I474" i="1"/>
  <c r="H158" i="1"/>
  <c r="I158" i="1"/>
  <c r="J158" i="1" s="1"/>
  <c r="K158" i="1" s="1"/>
  <c r="L158" i="1" s="1"/>
  <c r="H552" i="1"/>
  <c r="O552" i="1" s="1"/>
  <c r="M552" i="1"/>
  <c r="A552" i="1"/>
  <c r="I552" i="1"/>
  <c r="J552" i="1" s="1"/>
  <c r="K552" i="1" s="1"/>
  <c r="L552" i="1" s="1"/>
  <c r="H120" i="1"/>
  <c r="I120" i="1"/>
  <c r="H121" i="1"/>
  <c r="O121" i="1" s="1"/>
  <c r="I121" i="1"/>
  <c r="H19" i="1"/>
  <c r="I19" i="1"/>
  <c r="H261" i="1"/>
  <c r="I261" i="1"/>
  <c r="J261" i="1" s="1"/>
  <c r="K261" i="1" s="1"/>
  <c r="L261" i="1" s="1"/>
  <c r="H232" i="1"/>
  <c r="M232" i="1" s="1"/>
  <c r="I232" i="1"/>
  <c r="H159" i="1"/>
  <c r="M159" i="1"/>
  <c r="I159" i="1"/>
  <c r="H475" i="1"/>
  <c r="I475" i="1"/>
  <c r="J475" i="1"/>
  <c r="K475" i="1" s="1"/>
  <c r="L475" i="1" s="1"/>
  <c r="H433" i="1"/>
  <c r="O433" i="1" s="1"/>
  <c r="M433" i="1"/>
  <c r="I433" i="1"/>
  <c r="J433" i="1" s="1"/>
  <c r="K433" i="1"/>
  <c r="L433" i="1" s="1"/>
  <c r="H553" i="1"/>
  <c r="O553" i="1" s="1"/>
  <c r="M553" i="1"/>
  <c r="A553" i="1"/>
  <c r="I553" i="1"/>
  <c r="H670" i="1"/>
  <c r="O670" i="1" s="1"/>
  <c r="M670" i="1"/>
  <c r="A670" i="1"/>
  <c r="I670" i="1"/>
  <c r="J670" i="1" s="1"/>
  <c r="K670" i="1" s="1"/>
  <c r="L670" i="1"/>
  <c r="H160" i="1"/>
  <c r="O160" i="1" s="1"/>
  <c r="I160" i="1"/>
  <c r="H434" i="1"/>
  <c r="A434" i="1"/>
  <c r="I434" i="1"/>
  <c r="J434" i="1" s="1"/>
  <c r="K434" i="1" s="1"/>
  <c r="L434" i="1" s="1"/>
  <c r="H233" i="1"/>
  <c r="I233" i="1"/>
  <c r="J233" i="1"/>
  <c r="K233" i="1" s="1"/>
  <c r="L233" i="1" s="1"/>
  <c r="H554" i="1"/>
  <c r="M554" i="1" s="1"/>
  <c r="I554" i="1"/>
  <c r="J554" i="1" s="1"/>
  <c r="K554" i="1"/>
  <c r="L554" i="1" s="1"/>
  <c r="H509" i="1"/>
  <c r="O509" i="1" s="1"/>
  <c r="M509" i="1"/>
  <c r="A509" i="1"/>
  <c r="I509" i="1"/>
  <c r="J509" i="1" s="1"/>
  <c r="K509" i="1"/>
  <c r="L509" i="1" s="1"/>
  <c r="H20" i="1"/>
  <c r="I20" i="1"/>
  <c r="J20" i="1" s="1"/>
  <c r="K20" i="1" s="1"/>
  <c r="L20" i="1" s="1"/>
  <c r="H610" i="1"/>
  <c r="I610" i="1"/>
  <c r="J610" i="1"/>
  <c r="K610" i="1"/>
  <c r="L610" i="1" s="1"/>
  <c r="H671" i="1"/>
  <c r="O671" i="1" s="1"/>
  <c r="M671" i="1"/>
  <c r="A671" i="1"/>
  <c r="I671" i="1"/>
  <c r="J671" i="1"/>
  <c r="K671" i="1"/>
  <c r="L671" i="1"/>
  <c r="H331" i="1"/>
  <c r="O331" i="1" s="1"/>
  <c r="M331" i="1"/>
  <c r="A331" i="1"/>
  <c r="I331" i="1"/>
  <c r="J331" i="1" s="1"/>
  <c r="K331" i="1" s="1"/>
  <c r="L331" i="1"/>
  <c r="H510" i="1"/>
  <c r="O510" i="1" s="1"/>
  <c r="I510" i="1"/>
  <c r="J510" i="1" s="1"/>
  <c r="K510" i="1" s="1"/>
  <c r="L510" i="1"/>
  <c r="H191" i="1"/>
  <c r="M191" i="1" s="1"/>
  <c r="I191" i="1"/>
  <c r="H299" i="1"/>
  <c r="I299" i="1"/>
  <c r="J299" i="1"/>
  <c r="K299" i="1"/>
  <c r="L299" i="1" s="1"/>
  <c r="H332" i="1"/>
  <c r="M332" i="1" s="1"/>
  <c r="I332" i="1"/>
  <c r="J332" i="1" s="1"/>
  <c r="K332" i="1"/>
  <c r="L332" i="1" s="1"/>
  <c r="H234" i="1"/>
  <c r="O234" i="1" s="1"/>
  <c r="M234" i="1"/>
  <c r="A234" i="1"/>
  <c r="I234" i="1"/>
  <c r="J234" i="1" s="1"/>
  <c r="K234" i="1" s="1"/>
  <c r="L234" i="1" s="1"/>
  <c r="H394" i="1"/>
  <c r="I394" i="1"/>
  <c r="J394" i="1" s="1"/>
  <c r="K394" i="1" s="1"/>
  <c r="L394" i="1" s="1"/>
  <c r="H395" i="1"/>
  <c r="I395" i="1"/>
  <c r="H435" i="1"/>
  <c r="I435" i="1"/>
  <c r="J435" i="1"/>
  <c r="K435" i="1" s="1"/>
  <c r="L435" i="1" s="1"/>
  <c r="H476" i="1"/>
  <c r="O476" i="1" s="1"/>
  <c r="M476" i="1"/>
  <c r="A476" i="1"/>
  <c r="I476" i="1"/>
  <c r="J476" i="1"/>
  <c r="K476" i="1" s="1"/>
  <c r="L476" i="1" s="1"/>
  <c r="H396" i="1"/>
  <c r="O396" i="1" s="1"/>
  <c r="A396" i="1"/>
  <c r="I396" i="1"/>
  <c r="H672" i="1"/>
  <c r="O672" i="1" s="1"/>
  <c r="M672" i="1"/>
  <c r="A672" i="1"/>
  <c r="I672" i="1"/>
  <c r="J672" i="1" s="1"/>
  <c r="K672" i="1" s="1"/>
  <c r="L672" i="1" s="1"/>
  <c r="H611" i="1"/>
  <c r="I611" i="1"/>
  <c r="H333" i="1"/>
  <c r="O333" i="1" s="1"/>
  <c r="I333" i="1"/>
  <c r="J333" i="1"/>
  <c r="K333" i="1" s="1"/>
  <c r="L333" i="1" s="1"/>
  <c r="H262" i="1"/>
  <c r="M262" i="1"/>
  <c r="I262" i="1"/>
  <c r="H477" i="1"/>
  <c r="I477" i="1"/>
  <c r="H300" i="1"/>
  <c r="M300" i="1"/>
  <c r="I300" i="1"/>
  <c r="H478" i="1"/>
  <c r="M478" i="1" s="1"/>
  <c r="I478" i="1"/>
  <c r="J478" i="1"/>
  <c r="K478" i="1" s="1"/>
  <c r="L478" i="1" s="1"/>
  <c r="H21" i="1"/>
  <c r="O21" i="1" s="1"/>
  <c r="M21" i="1"/>
  <c r="A21" i="1"/>
  <c r="I21" i="1"/>
  <c r="H673" i="1"/>
  <c r="O673" i="1" s="1"/>
  <c r="M673" i="1"/>
  <c r="A673" i="1"/>
  <c r="I673" i="1"/>
  <c r="J673" i="1" s="1"/>
  <c r="K673" i="1" s="1"/>
  <c r="L673" i="1" s="1"/>
  <c r="H397" i="1"/>
  <c r="O397" i="1" s="1"/>
  <c r="M397" i="1"/>
  <c r="A397" i="1"/>
  <c r="I397" i="1"/>
  <c r="H479" i="1"/>
  <c r="O479" i="1" s="1"/>
  <c r="M479" i="1"/>
  <c r="A479" i="1"/>
  <c r="I479" i="1"/>
  <c r="J479" i="1" s="1"/>
  <c r="K479" i="1" s="1"/>
  <c r="L479" i="1"/>
  <c r="H480" i="1"/>
  <c r="O480" i="1" s="1"/>
  <c r="I480" i="1"/>
  <c r="J480" i="1" s="1"/>
  <c r="K480" i="1" s="1"/>
  <c r="L480" i="1" s="1"/>
  <c r="H511" i="1"/>
  <c r="M511" i="1" s="1"/>
  <c r="I511" i="1"/>
  <c r="H161" i="1"/>
  <c r="I161" i="1"/>
  <c r="J161" i="1"/>
  <c r="K161" i="1" s="1"/>
  <c r="L161" i="1" s="1"/>
  <c r="H122" i="1"/>
  <c r="O122" i="1" s="1"/>
  <c r="M122" i="1"/>
  <c r="A122" i="1"/>
  <c r="I122" i="1"/>
  <c r="J122" i="1" s="1"/>
  <c r="K122" i="1" s="1"/>
  <c r="L122" i="1" s="1"/>
  <c r="H123" i="1"/>
  <c r="O123" i="1" s="1"/>
  <c r="M123" i="1"/>
  <c r="A123" i="1"/>
  <c r="I123" i="1"/>
  <c r="H22" i="1"/>
  <c r="O22" i="1" s="1"/>
  <c r="M22" i="1"/>
  <c r="A22" i="1"/>
  <c r="I22" i="1"/>
  <c r="J22" i="1" s="1"/>
  <c r="K22" i="1" s="1"/>
  <c r="L22" i="1"/>
  <c r="H398" i="1"/>
  <c r="O398" i="1" s="1"/>
  <c r="I398" i="1"/>
  <c r="J398" i="1" s="1"/>
  <c r="K398" i="1" s="1"/>
  <c r="L398" i="1" s="1"/>
  <c r="H674" i="1"/>
  <c r="I674" i="1"/>
  <c r="J674" i="1"/>
  <c r="K674" i="1" s="1"/>
  <c r="L674" i="1" s="1"/>
  <c r="H162" i="1"/>
  <c r="O162" i="1" s="1"/>
  <c r="M162" i="1"/>
  <c r="A162" i="1"/>
  <c r="I162" i="1"/>
  <c r="J162" i="1"/>
  <c r="K162" i="1" s="1"/>
  <c r="L162" i="1"/>
  <c r="H263" i="1"/>
  <c r="O263" i="1" s="1"/>
  <c r="A263" i="1"/>
  <c r="I263" i="1"/>
  <c r="H481" i="1"/>
  <c r="O481" i="1" s="1"/>
  <c r="M481" i="1"/>
  <c r="A481" i="1"/>
  <c r="I481" i="1"/>
  <c r="H512" i="1"/>
  <c r="O512" i="1" s="1"/>
  <c r="M512" i="1"/>
  <c r="A512" i="1"/>
  <c r="I512" i="1"/>
  <c r="J512" i="1" s="1"/>
  <c r="K512" i="1" s="1"/>
  <c r="L512" i="1"/>
  <c r="H264" i="1"/>
  <c r="I264" i="1"/>
  <c r="H675" i="1"/>
  <c r="A675" i="1" s="1"/>
  <c r="I675" i="1"/>
  <c r="H513" i="1"/>
  <c r="I513" i="1"/>
  <c r="H399" i="1"/>
  <c r="I399" i="1"/>
  <c r="J399" i="1" s="1"/>
  <c r="K399" i="1" s="1"/>
  <c r="L399" i="1" s="1"/>
  <c r="H676" i="1"/>
  <c r="M676" i="1" s="1"/>
  <c r="I676" i="1"/>
  <c r="H400" i="1"/>
  <c r="I400" i="1"/>
  <c r="H677" i="1"/>
  <c r="M677" i="1"/>
  <c r="I677" i="1"/>
  <c r="H401" i="1"/>
  <c r="I401" i="1"/>
  <c r="J401" i="1"/>
  <c r="K401" i="1"/>
  <c r="L401" i="1" s="1"/>
  <c r="H402" i="1"/>
  <c r="O402" i="1" s="1"/>
  <c r="M402" i="1"/>
  <c r="A402" i="1"/>
  <c r="I402" i="1"/>
  <c r="H403" i="1"/>
  <c r="O403" i="1" s="1"/>
  <c r="M403" i="1"/>
  <c r="A403" i="1"/>
  <c r="I403" i="1"/>
  <c r="J403" i="1" s="1"/>
  <c r="K403" i="1" s="1"/>
  <c r="L403" i="1" s="1"/>
  <c r="H163" i="1"/>
  <c r="O163" i="1" s="1"/>
  <c r="M163" i="1"/>
  <c r="A163" i="1"/>
  <c r="I163" i="1"/>
  <c r="J163" i="1" s="1"/>
  <c r="K163" i="1" s="1"/>
  <c r="L163" i="1" s="1"/>
  <c r="H612" i="1"/>
  <c r="M612" i="1"/>
  <c r="I612" i="1"/>
  <c r="J612" i="1"/>
  <c r="K612" i="1" s="1"/>
  <c r="L612" i="1" s="1"/>
  <c r="H404" i="1"/>
  <c r="M404" i="1" s="1"/>
  <c r="I404" i="1"/>
  <c r="J404" i="1"/>
  <c r="K404" i="1" s="1"/>
  <c r="L404" i="1" s="1"/>
  <c r="H405" i="1"/>
  <c r="O405" i="1" s="1"/>
  <c r="M405" i="1"/>
  <c r="A405" i="1"/>
  <c r="I405" i="1"/>
  <c r="J405" i="1"/>
  <c r="K405" i="1"/>
  <c r="L405" i="1" s="1"/>
  <c r="H301" i="1"/>
  <c r="O301" i="1" s="1"/>
  <c r="M301" i="1"/>
  <c r="A301" i="1"/>
  <c r="I301" i="1"/>
  <c r="J301" i="1"/>
  <c r="K301" i="1" s="1"/>
  <c r="L301" i="1" s="1"/>
  <c r="H436" i="1"/>
  <c r="I436" i="1"/>
  <c r="J436" i="1"/>
  <c r="K436" i="1" s="1"/>
  <c r="L436" i="1"/>
  <c r="H23" i="1"/>
  <c r="I23" i="1"/>
  <c r="J23" i="1"/>
  <c r="K23" i="1" s="1"/>
  <c r="L23" i="1" s="1"/>
  <c r="H164" i="1"/>
  <c r="O164" i="1" s="1"/>
  <c r="M164" i="1"/>
  <c r="A164" i="1"/>
  <c r="I164" i="1"/>
  <c r="J164" i="1"/>
  <c r="K164" i="1"/>
  <c r="L164" i="1"/>
  <c r="H81" i="1"/>
  <c r="A81" i="1" s="1"/>
  <c r="I81" i="1"/>
  <c r="J81" i="1" s="1"/>
  <c r="K81" i="1" s="1"/>
  <c r="L81" i="1"/>
  <c r="H82" i="1"/>
  <c r="A82" i="1"/>
  <c r="I82" i="1"/>
  <c r="J82" i="1" s="1"/>
  <c r="K82" i="1" s="1"/>
  <c r="L82" i="1" s="1"/>
  <c r="H406" i="1"/>
  <c r="M406" i="1"/>
  <c r="I406" i="1"/>
  <c r="H555" i="1"/>
  <c r="M555" i="1" s="1"/>
  <c r="I555" i="1"/>
  <c r="J555" i="1"/>
  <c r="K555" i="1" s="1"/>
  <c r="L555" i="1"/>
  <c r="H334" i="1"/>
  <c r="O334" i="1" s="1"/>
  <c r="M334" i="1"/>
  <c r="A334" i="1"/>
  <c r="I334" i="1"/>
  <c r="J334" i="1"/>
  <c r="K334" i="1"/>
  <c r="L334" i="1" s="1"/>
  <c r="H613" i="1"/>
  <c r="O613" i="1" s="1"/>
  <c r="M613" i="1"/>
  <c r="A613" i="1"/>
  <c r="I613" i="1"/>
  <c r="J613" i="1"/>
  <c r="K613" i="1" s="1"/>
  <c r="L613" i="1"/>
  <c r="H165" i="1"/>
  <c r="I165" i="1"/>
  <c r="H335" i="1"/>
  <c r="A335" i="1"/>
  <c r="I335" i="1"/>
  <c r="J335" i="1" s="1"/>
  <c r="K335" i="1" s="1"/>
  <c r="L335" i="1" s="1"/>
  <c r="H124" i="1"/>
  <c r="M124" i="1"/>
  <c r="I124" i="1"/>
  <c r="H125" i="1"/>
  <c r="M125" i="1"/>
  <c r="I125" i="1"/>
  <c r="J125" i="1" s="1"/>
  <c r="K125" i="1" s="1"/>
  <c r="L125" i="1"/>
  <c r="H407" i="1"/>
  <c r="O407" i="1" s="1"/>
  <c r="M407" i="1"/>
  <c r="A407" i="1"/>
  <c r="I407" i="1"/>
  <c r="H192" i="1"/>
  <c r="O192" i="1" s="1"/>
  <c r="M192" i="1"/>
  <c r="A192" i="1"/>
  <c r="I192" i="1"/>
  <c r="H614" i="1"/>
  <c r="O614" i="1" s="1"/>
  <c r="I614" i="1"/>
  <c r="J614" i="1" s="1"/>
  <c r="K614" i="1"/>
  <c r="L614" i="1" s="1"/>
  <c r="H615" i="1"/>
  <c r="O615" i="1" s="1"/>
  <c r="M615" i="1"/>
  <c r="A615" i="1"/>
  <c r="I615" i="1"/>
  <c r="J615" i="1" s="1"/>
  <c r="K615" i="1"/>
  <c r="L615" i="1"/>
  <c r="H336" i="1"/>
  <c r="M336" i="1" s="1"/>
  <c r="I336" i="1"/>
  <c r="H193" i="1"/>
  <c r="I193" i="1"/>
  <c r="H678" i="1"/>
  <c r="A678" i="1" s="1"/>
  <c r="I678" i="1"/>
  <c r="J678" i="1"/>
  <c r="K678" i="1" s="1"/>
  <c r="L678" i="1" s="1"/>
  <c r="H679" i="1"/>
  <c r="M679" i="1"/>
  <c r="I679" i="1"/>
  <c r="J679" i="1"/>
  <c r="K679" i="1"/>
  <c r="L679" i="1" s="1"/>
  <c r="H514" i="1"/>
  <c r="M514" i="1"/>
  <c r="I514" i="1"/>
  <c r="H556" i="1"/>
  <c r="O556" i="1" s="1"/>
  <c r="M556" i="1"/>
  <c r="A556" i="1"/>
  <c r="I556" i="1"/>
  <c r="J556" i="1"/>
  <c r="K556" i="1"/>
  <c r="L556" i="1" s="1"/>
  <c r="H302" i="1"/>
  <c r="O302" i="1" s="1"/>
  <c r="M302" i="1"/>
  <c r="A302" i="1"/>
  <c r="I302" i="1"/>
  <c r="J302" i="1" s="1"/>
  <c r="K302" i="1" s="1"/>
  <c r="L302" i="1"/>
  <c r="H515" i="1"/>
  <c r="I515" i="1"/>
  <c r="H194" i="1"/>
  <c r="M194" i="1"/>
  <c r="I194" i="1"/>
  <c r="H24" i="1"/>
  <c r="M24" i="1"/>
  <c r="I24" i="1"/>
  <c r="H557" i="1"/>
  <c r="I557" i="1"/>
  <c r="H437" i="1"/>
  <c r="M437" i="1"/>
  <c r="I437" i="1"/>
  <c r="J437" i="1" s="1"/>
  <c r="K437" i="1" s="1"/>
  <c r="L437" i="1" s="1"/>
  <c r="H235" i="1"/>
  <c r="M235" i="1"/>
  <c r="I235" i="1"/>
  <c r="H516" i="1"/>
  <c r="I516" i="1"/>
  <c r="H126" i="1"/>
  <c r="I126" i="1"/>
  <c r="J126" i="1"/>
  <c r="K126" i="1" s="1"/>
  <c r="L126" i="1" s="1"/>
  <c r="H558" i="1"/>
  <c r="O558" i="1" s="1"/>
  <c r="M558" i="1"/>
  <c r="A558" i="1"/>
  <c r="I558" i="1"/>
  <c r="H616" i="1"/>
  <c r="O616" i="1" s="1"/>
  <c r="M616" i="1"/>
  <c r="A616" i="1"/>
  <c r="I616" i="1"/>
  <c r="J616" i="1" s="1"/>
  <c r="K616" i="1"/>
  <c r="L616" i="1" s="1"/>
  <c r="H517" i="1"/>
  <c r="O517" i="1" s="1"/>
  <c r="M517" i="1"/>
  <c r="A517" i="1"/>
  <c r="I517" i="1"/>
  <c r="J517" i="1" s="1"/>
  <c r="K517" i="1" s="1"/>
  <c r="L517" i="1" s="1"/>
  <c r="H559" i="1"/>
  <c r="M559" i="1"/>
  <c r="I559" i="1"/>
  <c r="J559" i="1"/>
  <c r="K559" i="1" s="1"/>
  <c r="L559" i="1"/>
  <c r="H680" i="1"/>
  <c r="O680" i="1" s="1"/>
  <c r="I680" i="1"/>
  <c r="J680" i="1"/>
  <c r="K680" i="1" s="1"/>
  <c r="L680" i="1" s="1"/>
  <c r="H265" i="1"/>
  <c r="O265" i="1" s="1"/>
  <c r="M265" i="1"/>
  <c r="A265" i="1"/>
  <c r="I265" i="1"/>
  <c r="H560" i="1"/>
  <c r="I560" i="1"/>
  <c r="J560" i="1"/>
  <c r="K560" i="1" s="1"/>
  <c r="L560" i="1" s="1"/>
  <c r="H408" i="1"/>
  <c r="A408" i="1"/>
  <c r="I408" i="1"/>
  <c r="J408" i="1" s="1"/>
  <c r="K408" i="1" s="1"/>
  <c r="L408" i="1"/>
  <c r="H337" i="1"/>
  <c r="I337" i="1"/>
  <c r="H681" i="1"/>
  <c r="M681" i="1" s="1"/>
  <c r="I681" i="1"/>
  <c r="J681" i="1" s="1"/>
  <c r="K681" i="1"/>
  <c r="L681" i="1"/>
  <c r="H438" i="1"/>
  <c r="O438" i="1" s="1"/>
  <c r="M438" i="1"/>
  <c r="A438" i="1"/>
  <c r="I438" i="1"/>
  <c r="H518" i="1"/>
  <c r="O518" i="1" s="1"/>
  <c r="M518" i="1"/>
  <c r="A518" i="1"/>
  <c r="I518" i="1"/>
  <c r="J518" i="1"/>
  <c r="K518" i="1" s="1"/>
  <c r="L518" i="1"/>
  <c r="H166" i="1"/>
  <c r="A166" i="1"/>
  <c r="I166" i="1"/>
  <c r="H127" i="1"/>
  <c r="O127" i="1" s="1"/>
  <c r="I127" i="1"/>
  <c r="H266" i="1"/>
  <c r="O266" i="1" s="1"/>
  <c r="M266" i="1"/>
  <c r="A266" i="1"/>
  <c r="I266" i="1"/>
  <c r="J266" i="1"/>
  <c r="K266" i="1" s="1"/>
  <c r="L266" i="1" s="1"/>
  <c r="H303" i="1"/>
  <c r="I303" i="1"/>
  <c r="J303" i="1"/>
  <c r="K303" i="1" s="1"/>
  <c r="L303" i="1" s="1"/>
  <c r="H409" i="1"/>
  <c r="O409" i="1" s="1"/>
  <c r="A409" i="1"/>
  <c r="I409" i="1"/>
  <c r="H304" i="1"/>
  <c r="O304" i="1" s="1"/>
  <c r="M304" i="1"/>
  <c r="A304" i="1"/>
  <c r="I304" i="1"/>
  <c r="J304" i="1" s="1"/>
  <c r="K304" i="1" s="1"/>
  <c r="L304" i="1" s="1"/>
  <c r="H439" i="1"/>
  <c r="M439" i="1"/>
  <c r="I439" i="1"/>
  <c r="H440" i="1"/>
  <c r="M440" i="1" s="1"/>
  <c r="I440" i="1"/>
  <c r="J440" i="1"/>
  <c r="K440" i="1" s="1"/>
  <c r="L440" i="1" s="1"/>
  <c r="H305" i="1"/>
  <c r="O305" i="1" s="1"/>
  <c r="M305" i="1"/>
  <c r="A305" i="1"/>
  <c r="I305" i="1"/>
  <c r="J305" i="1" s="1"/>
  <c r="K305" i="1"/>
  <c r="L305" i="1" s="1"/>
  <c r="H83" i="1"/>
  <c r="O83" i="1" s="1"/>
  <c r="M83" i="1"/>
  <c r="A83" i="1"/>
  <c r="I83" i="1"/>
  <c r="J83" i="1" s="1"/>
  <c r="K83" i="1" s="1"/>
  <c r="L83" i="1" s="1"/>
  <c r="H84" i="1"/>
  <c r="M84" i="1"/>
  <c r="I84" i="1"/>
  <c r="J84" i="1"/>
  <c r="K84" i="1" s="1"/>
  <c r="L84" i="1" s="1"/>
  <c r="H519" i="1"/>
  <c r="M519" i="1"/>
  <c r="I519" i="1"/>
  <c r="J519" i="1"/>
  <c r="K519" i="1"/>
  <c r="L519" i="1"/>
  <c r="H561" i="1"/>
  <c r="O561" i="1" s="1"/>
  <c r="A561" i="1"/>
  <c r="I561" i="1"/>
  <c r="J561" i="1" s="1"/>
  <c r="K561" i="1" s="1"/>
  <c r="L561" i="1" s="1"/>
  <c r="H338" i="1"/>
  <c r="A338" i="1" s="1"/>
  <c r="I338" i="1"/>
  <c r="J338" i="1"/>
  <c r="K338" i="1" s="1"/>
  <c r="L338" i="1" s="1"/>
  <c r="H339" i="1"/>
  <c r="O339" i="1" s="1"/>
  <c r="M339" i="1"/>
  <c r="A339" i="1"/>
  <c r="I339" i="1"/>
  <c r="J339" i="1"/>
  <c r="K339" i="1"/>
  <c r="L339" i="1" s="1"/>
  <c r="H520" i="1"/>
  <c r="O520" i="1" s="1"/>
  <c r="I520" i="1"/>
  <c r="J520" i="1" s="1"/>
  <c r="K520" i="1" s="1"/>
  <c r="L520" i="1" s="1"/>
  <c r="H562" i="1"/>
  <c r="M562" i="1"/>
  <c r="I562" i="1"/>
  <c r="H441" i="1"/>
  <c r="O441" i="1" s="1"/>
  <c r="M441" i="1"/>
  <c r="A441" i="1"/>
  <c r="I441" i="1"/>
  <c r="J441" i="1"/>
  <c r="K441" i="1" s="1"/>
  <c r="L441" i="1" s="1"/>
  <c r="H128" i="1"/>
  <c r="O128" i="1" s="1"/>
  <c r="M128" i="1"/>
  <c r="A128" i="1"/>
  <c r="I128" i="1"/>
  <c r="H267" i="1"/>
  <c r="A267" i="1" s="1"/>
  <c r="I267" i="1"/>
  <c r="H85" i="1"/>
  <c r="O85" i="1" s="1"/>
  <c r="M85" i="1"/>
  <c r="A85" i="1"/>
  <c r="I85" i="1"/>
  <c r="J85" i="1" s="1"/>
  <c r="K85" i="1" s="1"/>
  <c r="L85" i="1"/>
  <c r="H682" i="1"/>
  <c r="I682" i="1"/>
  <c r="J682" i="1" s="1"/>
  <c r="K682" i="1" s="1"/>
  <c r="L682" i="1" s="1"/>
  <c r="H340" i="1"/>
  <c r="O340" i="1" s="1"/>
  <c r="M340" i="1"/>
  <c r="A340" i="1"/>
  <c r="I340" i="1"/>
  <c r="J340" i="1" s="1"/>
  <c r="K340" i="1"/>
  <c r="L340" i="1"/>
  <c r="H306" i="1"/>
  <c r="O306" i="1" s="1"/>
  <c r="M306" i="1"/>
  <c r="A306" i="1"/>
  <c r="I306" i="1"/>
  <c r="J306" i="1" s="1"/>
  <c r="K306" i="1" s="1"/>
  <c r="L306" i="1" s="1"/>
  <c r="H167" i="1"/>
  <c r="I167" i="1"/>
  <c r="J167" i="1"/>
  <c r="K167" i="1" s="1"/>
  <c r="L167" i="1" s="1"/>
  <c r="H442" i="1"/>
  <c r="I442" i="1"/>
  <c r="J442" i="1"/>
  <c r="K442" i="1" s="1"/>
  <c r="L442" i="1" s="1"/>
  <c r="H195" i="1"/>
  <c r="O195" i="1" s="1"/>
  <c r="M195" i="1"/>
  <c r="A195" i="1"/>
  <c r="I195" i="1"/>
  <c r="J195" i="1"/>
  <c r="K195" i="1"/>
  <c r="L195" i="1" s="1"/>
  <c r="H341" i="1"/>
  <c r="O341" i="1" s="1"/>
  <c r="M341" i="1"/>
  <c r="A341" i="1"/>
  <c r="I341" i="1"/>
  <c r="J341" i="1" s="1"/>
  <c r="K341" i="1" s="1"/>
  <c r="L341" i="1"/>
  <c r="H683" i="1"/>
  <c r="A683" i="1"/>
  <c r="I683" i="1"/>
  <c r="J683" i="1" s="1"/>
  <c r="K683" i="1" s="1"/>
  <c r="L683" i="1" s="1"/>
  <c r="H168" i="1"/>
  <c r="M168" i="1" s="1"/>
  <c r="I168" i="1"/>
  <c r="J168" i="1"/>
  <c r="K168" i="1"/>
  <c r="L168" i="1" s="1"/>
  <c r="H86" i="1"/>
  <c r="M86" i="1"/>
  <c r="I86" i="1"/>
  <c r="J86" i="1"/>
  <c r="K86" i="1"/>
  <c r="L86" i="1"/>
  <c r="H87" i="1"/>
  <c r="O87" i="1" s="1"/>
  <c r="A87" i="1"/>
  <c r="I87" i="1"/>
  <c r="J87" i="1" s="1"/>
  <c r="K87" i="1" s="1"/>
  <c r="L87" i="1" s="1"/>
  <c r="H617" i="1"/>
  <c r="O617" i="1" s="1"/>
  <c r="I617" i="1"/>
  <c r="H482" i="1"/>
  <c r="I482" i="1"/>
  <c r="J482" i="1"/>
  <c r="K482" i="1" s="1"/>
  <c r="L482" i="1" s="1"/>
  <c r="H196" i="1"/>
  <c r="M196" i="1" s="1"/>
  <c r="I196" i="1"/>
  <c r="J196" i="1"/>
  <c r="K196" i="1" s="1"/>
  <c r="L196" i="1" s="1"/>
  <c r="H521" i="1"/>
  <c r="O521" i="1" s="1"/>
  <c r="M521" i="1"/>
  <c r="A521" i="1"/>
  <c r="I521" i="1"/>
  <c r="H169" i="1"/>
  <c r="O169" i="1" s="1"/>
  <c r="M169" i="1"/>
  <c r="I169" i="1"/>
  <c r="H522" i="1"/>
  <c r="O522" i="1" s="1"/>
  <c r="M522" i="1"/>
  <c r="A522" i="1"/>
  <c r="I522" i="1"/>
  <c r="H88" i="1"/>
  <c r="O88" i="1" s="1"/>
  <c r="M88" i="1"/>
  <c r="A88" i="1"/>
  <c r="I88" i="1"/>
  <c r="J88" i="1"/>
  <c r="K88" i="1"/>
  <c r="L88" i="1" s="1"/>
  <c r="H684" i="1"/>
  <c r="O684" i="1" s="1"/>
  <c r="M684" i="1"/>
  <c r="A684" i="1"/>
  <c r="I684" i="1"/>
  <c r="J684" i="1" s="1"/>
  <c r="K684" i="1" s="1"/>
  <c r="L684" i="1" s="1"/>
  <c r="H618" i="1"/>
  <c r="A618" i="1"/>
  <c r="I618" i="1"/>
  <c r="J618" i="1"/>
  <c r="K618" i="1" s="1"/>
  <c r="L618" i="1" s="1"/>
  <c r="H342" i="1"/>
  <c r="M342" i="1"/>
  <c r="I342" i="1"/>
  <c r="J342" i="1"/>
  <c r="K342" i="1"/>
  <c r="L342" i="1" s="1"/>
  <c r="H685" i="1"/>
  <c r="I685" i="1"/>
  <c r="J685" i="1"/>
  <c r="K685" i="1"/>
  <c r="L685" i="1"/>
  <c r="H236" i="1"/>
  <c r="O236" i="1" s="1"/>
  <c r="M236" i="1"/>
  <c r="A236" i="1"/>
  <c r="I236" i="1"/>
  <c r="J236" i="1" s="1"/>
  <c r="K236" i="1" s="1"/>
  <c r="L236" i="1" s="1"/>
  <c r="H483" i="1"/>
  <c r="I483" i="1"/>
  <c r="J483" i="1"/>
  <c r="K483" i="1" s="1"/>
  <c r="L483" i="1" s="1"/>
  <c r="H268" i="1"/>
  <c r="M268" i="1" s="1"/>
  <c r="I268" i="1"/>
  <c r="J268" i="1"/>
  <c r="K268" i="1"/>
  <c r="L268" i="1" s="1"/>
  <c r="H307" i="1"/>
  <c r="O307" i="1" s="1"/>
  <c r="M307" i="1"/>
  <c r="A307" i="1"/>
  <c r="I307" i="1"/>
  <c r="J307" i="1"/>
  <c r="K307" i="1"/>
  <c r="L307" i="1"/>
  <c r="H308" i="1"/>
  <c r="O308" i="1" s="1"/>
  <c r="M308" i="1"/>
  <c r="A308" i="1"/>
  <c r="I308" i="1"/>
  <c r="H89" i="1"/>
  <c r="O89" i="1" s="1"/>
  <c r="M89" i="1"/>
  <c r="A89" i="1"/>
  <c r="I89" i="1"/>
  <c r="J89" i="1" s="1"/>
  <c r="K89" i="1" s="1"/>
  <c r="L89" i="1" s="1"/>
  <c r="H25" i="1"/>
  <c r="A25" i="1" s="1"/>
  <c r="I25" i="1"/>
  <c r="H90" i="1"/>
  <c r="I90" i="1"/>
  <c r="J90" i="1"/>
  <c r="K90" i="1" s="1"/>
  <c r="L90" i="1" s="1"/>
  <c r="H563" i="1"/>
  <c r="M563" i="1"/>
  <c r="I563" i="1"/>
  <c r="J563" i="1"/>
  <c r="K563" i="1" s="1"/>
  <c r="L563" i="1" s="1"/>
  <c r="H269" i="1"/>
  <c r="O269" i="1" s="1"/>
  <c r="M269" i="1"/>
  <c r="A269" i="1"/>
  <c r="I269" i="1"/>
  <c r="J269" i="1"/>
  <c r="K269" i="1"/>
  <c r="L269" i="1"/>
  <c r="H564" i="1"/>
  <c r="O564" i="1" s="1"/>
  <c r="M564" i="1"/>
  <c r="A564" i="1"/>
  <c r="I564" i="1"/>
  <c r="J564" i="1" s="1"/>
  <c r="K564" i="1" s="1"/>
  <c r="L564" i="1" s="1"/>
  <c r="H197" i="1"/>
  <c r="I197" i="1"/>
  <c r="J197" i="1" s="1"/>
  <c r="K197" i="1" s="1"/>
  <c r="L197" i="1" s="1"/>
  <c r="H198" i="1"/>
  <c r="M198" i="1" s="1"/>
  <c r="I198" i="1"/>
  <c r="J198" i="1"/>
  <c r="K198" i="1"/>
  <c r="L198" i="1" s="1"/>
  <c r="H270" i="1"/>
  <c r="O270" i="1" s="1"/>
  <c r="M270" i="1"/>
  <c r="A270" i="1"/>
  <c r="I270" i="1"/>
  <c r="J270" i="1"/>
  <c r="K270" i="1" s="1"/>
  <c r="L270" i="1" s="1"/>
  <c r="H199" i="1"/>
  <c r="O199" i="1" s="1"/>
  <c r="M199" i="1"/>
  <c r="A199" i="1"/>
  <c r="I199" i="1"/>
  <c r="J199" i="1" s="1"/>
  <c r="K199" i="1" s="1"/>
  <c r="L199" i="1"/>
  <c r="H619" i="1"/>
  <c r="A619" i="1"/>
  <c r="I619" i="1"/>
  <c r="J619" i="1" s="1"/>
  <c r="K619" i="1" s="1"/>
  <c r="L619" i="1" s="1"/>
  <c r="H271" i="1"/>
  <c r="M271" i="1" s="1"/>
  <c r="I271" i="1"/>
  <c r="H91" i="1"/>
  <c r="M91" i="1" s="1"/>
  <c r="I91" i="1"/>
  <c r="J91" i="1"/>
  <c r="K91" i="1"/>
  <c r="L91" i="1" s="1"/>
  <c r="H200" i="1"/>
  <c r="O200" i="1" s="1"/>
  <c r="M200" i="1"/>
  <c r="A200" i="1"/>
  <c r="I200" i="1"/>
  <c r="H484" i="1"/>
  <c r="O484" i="1" s="1"/>
  <c r="M484" i="1"/>
  <c r="A484" i="1"/>
  <c r="I484" i="1"/>
  <c r="J484" i="1"/>
  <c r="K484" i="1"/>
  <c r="L484" i="1"/>
  <c r="H686" i="1"/>
  <c r="O686" i="1" s="1"/>
  <c r="M686" i="1"/>
  <c r="A686" i="1"/>
  <c r="I686" i="1"/>
  <c r="J686" i="1" s="1"/>
  <c r="K686" i="1" s="1"/>
  <c r="L686" i="1"/>
  <c r="H485" i="1"/>
  <c r="A485" i="1" s="1"/>
  <c r="I485" i="1"/>
  <c r="J485" i="1"/>
  <c r="K485" i="1" s="1"/>
  <c r="L485" i="1" s="1"/>
  <c r="H565" i="1"/>
  <c r="M565" i="1"/>
  <c r="I565" i="1"/>
  <c r="H309" i="1"/>
  <c r="I309" i="1"/>
  <c r="J309" i="1"/>
  <c r="K309" i="1"/>
  <c r="L309" i="1" s="1"/>
  <c r="H129" i="1"/>
  <c r="O129" i="1" s="1"/>
  <c r="M129" i="1"/>
  <c r="A129" i="1"/>
  <c r="I129" i="1"/>
  <c r="J129" i="1"/>
  <c r="K129" i="1"/>
  <c r="L129" i="1"/>
  <c r="H92" i="1"/>
  <c r="O92" i="1" s="1"/>
  <c r="M92" i="1"/>
  <c r="A92" i="1"/>
  <c r="I92" i="1"/>
  <c r="J92" i="1" s="1"/>
  <c r="H93" i="1"/>
  <c r="O93" i="1" s="1"/>
  <c r="M93" i="1"/>
  <c r="A93" i="1"/>
  <c r="I93" i="1"/>
  <c r="J93" i="1" s="1"/>
  <c r="K93" i="1" s="1"/>
  <c r="L93" i="1"/>
  <c r="H26" i="1"/>
  <c r="A26" i="1"/>
  <c r="I26" i="1"/>
  <c r="J26" i="1"/>
  <c r="K26" i="1" s="1"/>
  <c r="L26" i="1" s="1"/>
  <c r="H237" i="1"/>
  <c r="M237" i="1"/>
  <c r="I237" i="1"/>
  <c r="H201" i="1"/>
  <c r="I201" i="1"/>
  <c r="H443" i="1"/>
  <c r="M443" i="1"/>
  <c r="I443" i="1"/>
  <c r="H566" i="1"/>
  <c r="M566" i="1"/>
  <c r="I566" i="1"/>
  <c r="J566" i="1"/>
  <c r="K566" i="1"/>
  <c r="L566" i="1" s="1"/>
  <c r="H94" i="1"/>
  <c r="M94" i="1" s="1"/>
  <c r="I94" i="1"/>
  <c r="J94" i="1"/>
  <c r="K94" i="1"/>
  <c r="L94" i="1" s="1"/>
  <c r="H130" i="1"/>
  <c r="O130" i="1" s="1"/>
  <c r="M130" i="1"/>
  <c r="A130" i="1"/>
  <c r="I130" i="1"/>
  <c r="H444" i="1"/>
  <c r="O444" i="1" s="1"/>
  <c r="M444" i="1"/>
  <c r="A444" i="1"/>
  <c r="I444" i="1"/>
  <c r="J444" i="1" s="1"/>
  <c r="K444" i="1" s="1"/>
  <c r="L444" i="1" s="1"/>
  <c r="H131" i="1"/>
  <c r="I131" i="1"/>
  <c r="J131" i="1" s="1"/>
  <c r="K131" i="1" s="1"/>
  <c r="L131" i="1" s="1"/>
  <c r="H620" i="1"/>
  <c r="M620" i="1"/>
  <c r="I620" i="1"/>
  <c r="J620" i="1"/>
  <c r="K620" i="1"/>
  <c r="L620" i="1" s="1"/>
  <c r="H27" i="1"/>
  <c r="O27" i="1" s="1"/>
  <c r="M27" i="1"/>
  <c r="A27" i="1"/>
  <c r="I27" i="1"/>
  <c r="H28" i="1"/>
  <c r="O28" i="1" s="1"/>
  <c r="I28" i="1"/>
  <c r="H343" i="1"/>
  <c r="O343" i="1" s="1"/>
  <c r="M343" i="1"/>
  <c r="A343" i="1"/>
  <c r="I343" i="1"/>
  <c r="H687" i="1"/>
  <c r="M687" i="1"/>
  <c r="I687" i="1"/>
  <c r="J687" i="1"/>
  <c r="K687" i="1" s="1"/>
  <c r="L687" i="1" s="1"/>
  <c r="H202" i="1"/>
  <c r="O202" i="1" s="1"/>
  <c r="M202" i="1"/>
  <c r="A202" i="1"/>
  <c r="I202" i="1"/>
  <c r="H203" i="1"/>
  <c r="O203" i="1" s="1"/>
  <c r="M203" i="1"/>
  <c r="A203" i="1"/>
  <c r="I203" i="1"/>
  <c r="J203" i="1" s="1"/>
  <c r="K203" i="1"/>
  <c r="L203" i="1"/>
  <c r="H29" i="1"/>
  <c r="I29" i="1"/>
  <c r="J29" i="1"/>
  <c r="K29" i="1" s="1"/>
  <c r="L29" i="1"/>
  <c r="H445" i="1"/>
  <c r="M445" i="1"/>
  <c r="I445" i="1"/>
  <c r="J445" i="1" s="1"/>
  <c r="K445" i="1" s="1"/>
  <c r="L445" i="1" s="1"/>
  <c r="H446" i="1"/>
  <c r="O446" i="1" s="1"/>
  <c r="M446" i="1"/>
  <c r="A446" i="1"/>
  <c r="I446" i="1"/>
  <c r="J446" i="1"/>
  <c r="K446" i="1"/>
  <c r="L446" i="1"/>
  <c r="H447" i="1"/>
  <c r="O447" i="1" s="1"/>
  <c r="M447" i="1"/>
  <c r="A447" i="1"/>
  <c r="I447" i="1"/>
  <c r="J447" i="1" s="1"/>
  <c r="K447" i="1" s="1"/>
  <c r="L447" i="1"/>
  <c r="H170" i="1"/>
  <c r="A170" i="1"/>
  <c r="I170" i="1"/>
  <c r="J170" i="1" s="1"/>
  <c r="K170" i="1" s="1"/>
  <c r="L170" i="1" s="1"/>
  <c r="H272" i="1"/>
  <c r="M272" i="1"/>
  <c r="I272" i="1"/>
  <c r="J272" i="1"/>
  <c r="K272" i="1" s="1"/>
  <c r="L272" i="1" s="1"/>
  <c r="H410" i="1"/>
  <c r="M410" i="1"/>
  <c r="I410" i="1"/>
  <c r="J410" i="1"/>
  <c r="K410" i="1" s="1"/>
  <c r="L410" i="1" s="1"/>
  <c r="H567" i="1"/>
  <c r="O567" i="1" s="1"/>
  <c r="M567" i="1"/>
  <c r="A567" i="1"/>
  <c r="I567" i="1"/>
  <c r="J567" i="1" s="1"/>
  <c r="H30" i="1"/>
  <c r="O30" i="1" s="1"/>
  <c r="M30" i="1"/>
  <c r="A30" i="1"/>
  <c r="I30" i="1"/>
  <c r="H621" i="1"/>
  <c r="O621" i="1" s="1"/>
  <c r="M621" i="1"/>
  <c r="A621" i="1"/>
  <c r="I621" i="1"/>
  <c r="H688" i="1"/>
  <c r="O688" i="1" s="1"/>
  <c r="M688" i="1"/>
  <c r="A688" i="1"/>
  <c r="I688" i="1"/>
  <c r="J688" i="1" s="1"/>
  <c r="K688" i="1"/>
  <c r="L688" i="1" s="1"/>
  <c r="H171" i="1"/>
  <c r="I171" i="1"/>
  <c r="H622" i="1"/>
  <c r="I622" i="1"/>
  <c r="J622" i="1"/>
  <c r="K622" i="1" s="1"/>
  <c r="L622" i="1"/>
  <c r="H623" i="1"/>
  <c r="I623" i="1"/>
  <c r="J623" i="1"/>
  <c r="K623" i="1"/>
  <c r="L623" i="1" s="1"/>
  <c r="H411" i="1"/>
  <c r="O411" i="1" s="1"/>
  <c r="M411" i="1"/>
  <c r="A411" i="1"/>
  <c r="I411" i="1"/>
  <c r="J411" i="1"/>
  <c r="K411" i="1"/>
  <c r="L411" i="1"/>
  <c r="H95" i="1"/>
  <c r="O95" i="1" s="1"/>
  <c r="M95" i="1"/>
  <c r="A95" i="1"/>
  <c r="I95" i="1"/>
  <c r="J95" i="1" s="1"/>
  <c r="K95" i="1" s="1"/>
  <c r="L95" i="1"/>
  <c r="H568" i="1"/>
  <c r="I568" i="1"/>
  <c r="J568" i="1"/>
  <c r="K568" i="1" s="1"/>
  <c r="L568" i="1" s="1"/>
  <c r="H96" i="1"/>
  <c r="M96" i="1"/>
  <c r="I96" i="1"/>
  <c r="J96" i="1"/>
  <c r="K96" i="1"/>
  <c r="L96" i="1" s="1"/>
  <c r="H310" i="1"/>
  <c r="O310" i="1" s="1"/>
  <c r="A310" i="1"/>
  <c r="I310" i="1"/>
  <c r="H624" i="1"/>
  <c r="O624" i="1" s="1"/>
  <c r="M624" i="1"/>
  <c r="I624" i="1"/>
  <c r="J624" i="1"/>
  <c r="K624" i="1"/>
  <c r="L624" i="1" s="1"/>
  <c r="H569" i="1"/>
  <c r="O569" i="1" s="1"/>
  <c r="M569" i="1"/>
  <c r="A569" i="1"/>
  <c r="I569" i="1"/>
  <c r="H689" i="1"/>
  <c r="O689" i="1" s="1"/>
  <c r="M689" i="1"/>
  <c r="A689" i="1"/>
  <c r="I689" i="1"/>
  <c r="H523" i="1"/>
  <c r="O523" i="1" s="1"/>
  <c r="M523" i="1"/>
  <c r="A523" i="1"/>
  <c r="I523" i="1"/>
  <c r="H570" i="1"/>
  <c r="O570" i="1" s="1"/>
  <c r="M570" i="1"/>
  <c r="A570" i="1"/>
  <c r="I570" i="1"/>
  <c r="H204" i="1"/>
  <c r="O204" i="1" s="1"/>
  <c r="M204" i="1"/>
  <c r="A204" i="1"/>
  <c r="I204" i="1"/>
  <c r="H238" i="1"/>
  <c r="O238" i="1" s="1"/>
  <c r="M238" i="1"/>
  <c r="A238" i="1"/>
  <c r="I238" i="1"/>
  <c r="J238" i="1" s="1"/>
  <c r="K238" i="1"/>
  <c r="L238" i="1" s="1"/>
  <c r="H344" i="1"/>
  <c r="A344" i="1"/>
  <c r="I344" i="1"/>
  <c r="H571" i="1"/>
  <c r="I571" i="1"/>
  <c r="J571" i="1" s="1"/>
  <c r="K571" i="1" s="1"/>
  <c r="L571" i="1" s="1"/>
  <c r="H625" i="1"/>
  <c r="M625" i="1"/>
  <c r="I625" i="1"/>
  <c r="H572" i="1"/>
  <c r="M572" i="1" s="1"/>
  <c r="I572" i="1"/>
  <c r="J572" i="1"/>
  <c r="K572" i="1" s="1"/>
  <c r="L572" i="1" s="1"/>
  <c r="H31" i="1"/>
  <c r="O31" i="1" s="1"/>
  <c r="M31" i="1"/>
  <c r="I31" i="1"/>
  <c r="H573" i="1"/>
  <c r="O573" i="1" s="1"/>
  <c r="M573" i="1"/>
  <c r="I573" i="1"/>
  <c r="H626" i="1"/>
  <c r="O626" i="1" s="1"/>
  <c r="M626" i="1"/>
  <c r="A626" i="1"/>
  <c r="I626" i="1"/>
  <c r="H448" i="1"/>
  <c r="O448" i="1" s="1"/>
  <c r="M448" i="1"/>
  <c r="I448" i="1"/>
  <c r="H132" i="1"/>
  <c r="O132" i="1" s="1"/>
  <c r="M132" i="1"/>
  <c r="I132" i="1"/>
  <c r="J132" i="1"/>
  <c r="K132" i="1"/>
  <c r="L132" i="1" s="1"/>
  <c r="H574" i="1"/>
  <c r="O574" i="1" s="1"/>
  <c r="M574" i="1"/>
  <c r="A574" i="1"/>
  <c r="I574" i="1"/>
  <c r="J574" i="1" s="1"/>
  <c r="K574" i="1"/>
  <c r="L574" i="1"/>
  <c r="H690" i="1"/>
  <c r="I690" i="1"/>
  <c r="J690" i="1"/>
  <c r="K690" i="1" s="1"/>
  <c r="L690" i="1"/>
  <c r="H273" i="1"/>
  <c r="M273" i="1" s="1"/>
  <c r="I273" i="1"/>
  <c r="J273" i="1"/>
  <c r="K273" i="1"/>
  <c r="L273" i="1" s="1"/>
  <c r="H691" i="1"/>
  <c r="O691" i="1" s="1"/>
  <c r="M691" i="1"/>
  <c r="A691" i="1"/>
  <c r="I691" i="1"/>
  <c r="H345" i="1"/>
  <c r="O345" i="1" s="1"/>
  <c r="M345" i="1"/>
  <c r="A345" i="1"/>
  <c r="I345" i="1"/>
  <c r="H32" i="1"/>
  <c r="I32" i="1"/>
  <c r="J32" i="1"/>
  <c r="K32" i="1"/>
  <c r="L32" i="1"/>
  <c r="H449" i="1"/>
  <c r="O449" i="1" s="1"/>
  <c r="M449" i="1"/>
  <c r="A449" i="1"/>
  <c r="I449" i="1"/>
  <c r="J449" i="1" s="1"/>
  <c r="K449" i="1"/>
  <c r="L449" i="1"/>
  <c r="H450" i="1"/>
  <c r="I450" i="1"/>
  <c r="H205" i="1"/>
  <c r="I205" i="1"/>
  <c r="J205" i="1"/>
  <c r="K205" i="1" s="1"/>
  <c r="L205" i="1"/>
  <c r="H412" i="1"/>
  <c r="M412" i="1"/>
  <c r="I412" i="1"/>
  <c r="J412" i="1"/>
  <c r="K412" i="1"/>
  <c r="L412" i="1" s="1"/>
  <c r="H413" i="1"/>
  <c r="O413" i="1" s="1"/>
  <c r="M413" i="1"/>
  <c r="A413" i="1"/>
  <c r="I413" i="1"/>
  <c r="H627" i="1"/>
  <c r="O627" i="1" s="1"/>
  <c r="M627" i="1"/>
  <c r="A627" i="1"/>
  <c r="I627" i="1"/>
  <c r="H451" i="1"/>
  <c r="O451" i="1" s="1"/>
  <c r="M451" i="1"/>
  <c r="A451" i="1"/>
  <c r="I451" i="1"/>
  <c r="H414" i="1"/>
  <c r="O414" i="1" s="1"/>
  <c r="M414" i="1"/>
  <c r="A414" i="1"/>
  <c r="I414" i="1"/>
  <c r="H206" i="1"/>
  <c r="O206" i="1" s="1"/>
  <c r="M206" i="1"/>
  <c r="A206" i="1"/>
  <c r="I206" i="1"/>
  <c r="J206" i="1"/>
  <c r="K206" i="1"/>
  <c r="L206" i="1" s="1"/>
  <c r="H33" i="1"/>
  <c r="O33" i="1" s="1"/>
  <c r="M33" i="1"/>
  <c r="A33" i="1"/>
  <c r="I33" i="1"/>
  <c r="H692" i="1"/>
  <c r="O692" i="1" s="1"/>
  <c r="M692" i="1"/>
  <c r="A692" i="1"/>
  <c r="I692" i="1"/>
  <c r="J692" i="1" s="1"/>
  <c r="H575" i="1"/>
  <c r="O575" i="1" s="1"/>
  <c r="M575" i="1"/>
  <c r="A575" i="1"/>
  <c r="I575" i="1"/>
  <c r="J575" i="1" s="1"/>
  <c r="K575" i="1"/>
  <c r="L575" i="1" s="1"/>
  <c r="H576" i="1"/>
  <c r="A576" i="1"/>
  <c r="I576" i="1"/>
  <c r="J576" i="1"/>
  <c r="K576" i="1" s="1"/>
  <c r="L576" i="1" s="1"/>
  <c r="H239" i="1"/>
  <c r="M239" i="1"/>
  <c r="I239" i="1"/>
  <c r="J239" i="1"/>
  <c r="K239" i="1"/>
  <c r="L239" i="1" s="1"/>
  <c r="H577" i="1"/>
  <c r="M577" i="1" s="1"/>
  <c r="I577" i="1"/>
  <c r="J577" i="1"/>
  <c r="K577" i="1"/>
  <c r="L577" i="1"/>
  <c r="H415" i="1"/>
  <c r="O415" i="1" s="1"/>
  <c r="M415" i="1"/>
  <c r="A415" i="1"/>
  <c r="I415" i="1"/>
  <c r="H274" i="1"/>
  <c r="O274" i="1" s="1"/>
  <c r="M274" i="1"/>
  <c r="A274" i="1"/>
  <c r="I274" i="1"/>
  <c r="J274" i="1" s="1"/>
  <c r="K274" i="1" s="1"/>
  <c r="L274" i="1"/>
  <c r="H578" i="1"/>
  <c r="I578" i="1"/>
  <c r="J578" i="1"/>
  <c r="K578" i="1" s="1"/>
  <c r="L578" i="1"/>
  <c r="H579" i="1"/>
  <c r="M579" i="1"/>
  <c r="I579" i="1"/>
  <c r="J579" i="1"/>
  <c r="K579" i="1"/>
  <c r="L579" i="1" s="1"/>
  <c r="H416" i="1"/>
  <c r="O416" i="1" s="1"/>
  <c r="M416" i="1"/>
  <c r="A416" i="1"/>
  <c r="I416" i="1"/>
  <c r="J416" i="1"/>
  <c r="K416" i="1"/>
  <c r="L416" i="1"/>
  <c r="H452" i="1"/>
  <c r="O452" i="1" s="1"/>
  <c r="M452" i="1"/>
  <c r="A452" i="1"/>
  <c r="I452" i="1"/>
  <c r="J452" i="1" s="1"/>
  <c r="K452" i="1"/>
  <c r="L452" i="1" s="1"/>
  <c r="H417" i="1"/>
  <c r="A417" i="1"/>
  <c r="I417" i="1"/>
  <c r="H240" i="1"/>
  <c r="I240" i="1"/>
  <c r="J240" i="1"/>
  <c r="K240" i="1" s="1"/>
  <c r="L240" i="1" s="1"/>
  <c r="H486" i="1"/>
  <c r="M486" i="1" s="1"/>
  <c r="I486" i="1"/>
  <c r="J486" i="1"/>
  <c r="K486" i="1" s="1"/>
  <c r="L486" i="1" s="1"/>
  <c r="H241" i="1"/>
  <c r="O241" i="1" s="1"/>
  <c r="M241" i="1"/>
  <c r="A241" i="1"/>
  <c r="I241" i="1"/>
  <c r="J241" i="1"/>
  <c r="K241" i="1"/>
  <c r="L241" i="1" s="1"/>
  <c r="H418" i="1"/>
  <c r="O418" i="1" s="1"/>
  <c r="M418" i="1"/>
  <c r="A418" i="1"/>
  <c r="I418" i="1"/>
  <c r="J418" i="1" s="1"/>
  <c r="K418" i="1" s="1"/>
  <c r="L418" i="1" s="1"/>
  <c r="H34" i="1"/>
  <c r="A34" i="1"/>
  <c r="I34" i="1"/>
  <c r="J34" i="1"/>
  <c r="K34" i="1" s="1"/>
  <c r="L34" i="1"/>
  <c r="H275" i="1"/>
  <c r="I275" i="1"/>
  <c r="J275" i="1"/>
  <c r="K275" i="1"/>
  <c r="L275" i="1" s="1"/>
  <c r="H693" i="1"/>
  <c r="I693" i="1"/>
  <c r="H580" i="1"/>
  <c r="O580" i="1" s="1"/>
  <c r="M580" i="1"/>
  <c r="A580" i="1"/>
  <c r="I580" i="1"/>
  <c r="H419" i="1"/>
  <c r="O419" i="1" s="1"/>
  <c r="M419" i="1"/>
  <c r="A419" i="1"/>
  <c r="I419" i="1"/>
  <c r="J419" i="1"/>
  <c r="K419" i="1" s="1"/>
  <c r="L419" i="1" s="1"/>
  <c r="H133" i="1"/>
  <c r="O133" i="1" s="1"/>
  <c r="M133" i="1"/>
  <c r="A133" i="1"/>
  <c r="I133" i="1"/>
  <c r="H420" i="1"/>
  <c r="O420" i="1" s="1"/>
  <c r="M420" i="1"/>
  <c r="A420" i="1"/>
  <c r="I420" i="1"/>
  <c r="J420" i="1" s="1"/>
  <c r="K420" i="1"/>
  <c r="L420" i="1" s="1"/>
  <c r="H421" i="1"/>
  <c r="A421" i="1"/>
  <c r="I421" i="1"/>
  <c r="J421" i="1" s="1"/>
  <c r="K421" i="1" s="1"/>
  <c r="L421" i="1" s="1"/>
  <c r="H207" i="1"/>
  <c r="I207" i="1"/>
  <c r="H172" i="1"/>
  <c r="A172" i="1"/>
  <c r="I172" i="1"/>
  <c r="H208" i="1"/>
  <c r="A208" i="1"/>
  <c r="I208" i="1"/>
  <c r="J208" i="1" s="1"/>
  <c r="K208" i="1" s="1"/>
  <c r="L208" i="1" s="1"/>
  <c r="H209" i="1"/>
  <c r="M209" i="1"/>
  <c r="I209" i="1"/>
  <c r="J209" i="1" s="1"/>
  <c r="K209" i="1" s="1"/>
  <c r="L209" i="1" s="1"/>
  <c r="H210" i="1"/>
  <c r="O210" i="1" s="1"/>
  <c r="M210" i="1"/>
  <c r="I210" i="1"/>
  <c r="H242" i="1"/>
  <c r="O242" i="1" s="1"/>
  <c r="M242" i="1"/>
  <c r="A242" i="1"/>
  <c r="I242" i="1"/>
  <c r="J242" i="1"/>
  <c r="K242" i="1"/>
  <c r="L242" i="1" s="1"/>
  <c r="H694" i="1"/>
  <c r="O694" i="1" s="1"/>
  <c r="M694" i="1"/>
  <c r="A694" i="1"/>
  <c r="I694" i="1"/>
  <c r="J694" i="1" s="1"/>
  <c r="K694" i="1"/>
  <c r="L694" i="1" s="1"/>
  <c r="H243" i="1"/>
  <c r="A243" i="1"/>
  <c r="I243" i="1"/>
  <c r="H695" i="1"/>
  <c r="A695" i="1"/>
  <c r="I695" i="1"/>
  <c r="J695" i="1"/>
  <c r="K695" i="1" s="1"/>
  <c r="L695" i="1"/>
  <c r="H581" i="1"/>
  <c r="I581" i="1"/>
  <c r="J581" i="1" s="1"/>
  <c r="K581" i="1" s="1"/>
  <c r="L581" i="1" s="1"/>
  <c r="H524" i="1"/>
  <c r="I524" i="1"/>
  <c r="J524" i="1"/>
  <c r="K524" i="1"/>
  <c r="L524" i="1"/>
  <c r="H276" i="1"/>
  <c r="O276" i="1" s="1"/>
  <c r="M276" i="1"/>
  <c r="A276" i="1"/>
  <c r="I276" i="1"/>
  <c r="J276" i="1" s="1"/>
  <c r="K276" i="1" s="1"/>
  <c r="L276" i="1" s="1"/>
  <c r="H311" i="1"/>
  <c r="A311" i="1"/>
  <c r="I311" i="1"/>
  <c r="J311" i="1" s="1"/>
  <c r="K311" i="1" s="1"/>
  <c r="L311" i="1" s="1"/>
  <c r="H97" i="1"/>
  <c r="M97" i="1"/>
  <c r="I97" i="1"/>
  <c r="J97" i="1"/>
  <c r="K97" i="1"/>
  <c r="L97" i="1" s="1"/>
  <c r="H346" i="1"/>
  <c r="M346" i="1"/>
  <c r="I346" i="1"/>
  <c r="J346" i="1"/>
  <c r="K346" i="1" s="1"/>
  <c r="L346" i="1" s="1"/>
  <c r="H312" i="1"/>
  <c r="O312" i="1" s="1"/>
  <c r="M312" i="1"/>
  <c r="A312" i="1"/>
  <c r="I312" i="1"/>
  <c r="H98" i="1"/>
  <c r="O98" i="1" s="1"/>
  <c r="M98" i="1"/>
  <c r="A98" i="1"/>
  <c r="I98" i="1"/>
  <c r="J98" i="1" s="1"/>
  <c r="K98" i="1"/>
  <c r="L98" i="1"/>
  <c r="H582" i="1"/>
  <c r="A582" i="1"/>
  <c r="I582" i="1"/>
  <c r="J582" i="1"/>
  <c r="K582" i="1" s="1"/>
  <c r="L582" i="1" s="1"/>
  <c r="H173" i="1"/>
  <c r="M173" i="1" s="1"/>
  <c r="I173" i="1"/>
  <c r="J173" i="1"/>
  <c r="K173" i="1" s="1"/>
  <c r="L173" i="1" s="1"/>
  <c r="H347" i="1"/>
  <c r="O347" i="1" s="1"/>
  <c r="M347" i="1"/>
  <c r="I347" i="1"/>
  <c r="J347" i="1"/>
  <c r="K347" i="1" s="1"/>
  <c r="L347" i="1" s="1"/>
  <c r="H244" i="1"/>
  <c r="O244" i="1" s="1"/>
  <c r="M244" i="1"/>
  <c r="A244" i="1"/>
  <c r="I244" i="1"/>
  <c r="H99" i="1"/>
  <c r="O99" i="1" s="1"/>
  <c r="M99" i="1"/>
  <c r="A99" i="1"/>
  <c r="I99" i="1"/>
  <c r="J99" i="1" s="1"/>
  <c r="K99" i="1"/>
  <c r="L99" i="1"/>
  <c r="H525" i="1"/>
  <c r="A525" i="1" s="1"/>
  <c r="I525" i="1"/>
  <c r="J525" i="1" s="1"/>
  <c r="K525" i="1" s="1"/>
  <c r="L525" i="1" s="1"/>
  <c r="H628" i="1"/>
  <c r="A628" i="1"/>
  <c r="I628" i="1"/>
  <c r="J628" i="1"/>
  <c r="K628" i="1"/>
  <c r="L628" i="1" s="1"/>
  <c r="H583" i="1"/>
  <c r="O583" i="1" s="1"/>
  <c r="M583" i="1"/>
  <c r="A583" i="1"/>
  <c r="I583" i="1"/>
  <c r="J583" i="1"/>
  <c r="K583" i="1" s="1"/>
  <c r="L583" i="1" s="1"/>
  <c r="H629" i="1"/>
  <c r="M629" i="1" s="1"/>
  <c r="I629" i="1"/>
  <c r="H100" i="1"/>
  <c r="I100" i="1"/>
  <c r="J100" i="1"/>
  <c r="K100" i="1" s="1"/>
  <c r="L100" i="1"/>
  <c r="H313" i="1"/>
  <c r="O313" i="1" s="1"/>
  <c r="M313" i="1"/>
  <c r="A313" i="1"/>
  <c r="I313" i="1"/>
  <c r="H174" i="1"/>
  <c r="O174" i="1" s="1"/>
  <c r="M174" i="1"/>
  <c r="I174" i="1"/>
  <c r="H453" i="1"/>
  <c r="M453" i="1"/>
  <c r="I453" i="1"/>
  <c r="J453" i="1" s="1"/>
  <c r="K453" i="1"/>
  <c r="L453" i="1"/>
  <c r="H584" i="1"/>
  <c r="I584" i="1"/>
  <c r="J584" i="1" s="1"/>
  <c r="K584" i="1" s="1"/>
  <c r="L584" i="1" s="1"/>
  <c r="H585" i="1"/>
  <c r="O585" i="1" s="1"/>
  <c r="M585" i="1"/>
  <c r="A585" i="1"/>
  <c r="I585" i="1"/>
  <c r="J585" i="1" s="1"/>
  <c r="K585" i="1" s="1"/>
  <c r="L585" i="1" s="1"/>
  <c r="H101" i="1"/>
  <c r="A101" i="1"/>
  <c r="I101" i="1"/>
  <c r="J101" i="1" s="1"/>
  <c r="K101" i="1" s="1"/>
  <c r="L101" i="1" s="1"/>
  <c r="H102" i="1"/>
  <c r="M102" i="1"/>
  <c r="I102" i="1"/>
  <c r="J102" i="1"/>
  <c r="K102" i="1" s="1"/>
  <c r="L102" i="1" s="1"/>
  <c r="H134" i="1"/>
  <c r="M134" i="1"/>
  <c r="I134" i="1"/>
  <c r="J134" i="1"/>
  <c r="K134" i="1" s="1"/>
  <c r="L134" i="1" s="1"/>
  <c r="H586" i="1"/>
  <c r="I586" i="1"/>
  <c r="H35" i="1"/>
  <c r="O35" i="1" s="1"/>
  <c r="M35" i="1"/>
  <c r="A35" i="1"/>
  <c r="I35" i="1"/>
  <c r="J35" i="1"/>
  <c r="K35" i="1"/>
  <c r="L35" i="1"/>
  <c r="H135" i="1"/>
  <c r="I135" i="1"/>
  <c r="J135" i="1"/>
  <c r="K135" i="1" s="1"/>
  <c r="L135" i="1" s="1"/>
  <c r="H36" i="1"/>
  <c r="A36" i="1" s="1"/>
  <c r="I36" i="1"/>
  <c r="J36" i="1"/>
  <c r="K36" i="1" s="1"/>
  <c r="L36" i="1" s="1"/>
  <c r="H696" i="1"/>
  <c r="I696" i="1"/>
  <c r="J696" i="1" s="1"/>
  <c r="H487" i="1"/>
  <c r="M487" i="1"/>
  <c r="I487" i="1"/>
  <c r="H587" i="1"/>
  <c r="A587" i="1"/>
  <c r="I587" i="1"/>
  <c r="J587" i="1"/>
  <c r="K587" i="1"/>
  <c r="L587" i="1" s="1"/>
  <c r="H588" i="1"/>
  <c r="O588" i="1" s="1"/>
  <c r="M588" i="1"/>
  <c r="I588" i="1"/>
  <c r="J588" i="1"/>
  <c r="K588" i="1" s="1"/>
  <c r="L588" i="1" s="1"/>
  <c r="H630" i="1"/>
  <c r="O630" i="1" s="1"/>
  <c r="I630" i="1"/>
  <c r="H277" i="1"/>
  <c r="O277" i="1" s="1"/>
  <c r="M277" i="1"/>
  <c r="A277" i="1"/>
  <c r="I277" i="1"/>
  <c r="H697" i="1"/>
  <c r="O697" i="1" s="1"/>
  <c r="M697" i="1"/>
  <c r="A697" i="1"/>
  <c r="I697" i="1"/>
  <c r="J697" i="1"/>
  <c r="K697" i="1" s="1"/>
  <c r="L697" i="1" s="1"/>
  <c r="H175" i="1"/>
  <c r="A175" i="1" s="1"/>
  <c r="I175" i="1"/>
  <c r="J175" i="1" s="1"/>
  <c r="K175" i="1" s="1"/>
  <c r="L175" i="1"/>
  <c r="H245" i="1"/>
  <c r="A245" i="1"/>
  <c r="I245" i="1"/>
  <c r="J245" i="1"/>
  <c r="K245" i="1" s="1"/>
  <c r="L245" i="1" s="1"/>
  <c r="H454" i="1"/>
  <c r="M454" i="1" s="1"/>
  <c r="I454" i="1"/>
  <c r="J454" i="1"/>
  <c r="K454" i="1" s="1"/>
  <c r="L454" i="1" s="1"/>
  <c r="H136" i="1"/>
  <c r="O136" i="1" s="1"/>
  <c r="M136" i="1"/>
  <c r="A136" i="1"/>
  <c r="I136" i="1"/>
  <c r="J136" i="1" s="1"/>
  <c r="K136" i="1"/>
  <c r="L136" i="1"/>
  <c r="H278" i="1"/>
  <c r="O278" i="1" s="1"/>
  <c r="A278" i="1"/>
  <c r="I278" i="1"/>
  <c r="J278" i="1" s="1"/>
  <c r="K278" i="1"/>
  <c r="L278" i="1"/>
  <c r="H103" i="1"/>
  <c r="M103" i="1"/>
  <c r="I103" i="1"/>
  <c r="J103" i="1" s="1"/>
  <c r="K103" i="1" s="1"/>
  <c r="L103" i="1" s="1"/>
  <c r="H589" i="1"/>
  <c r="M589" i="1"/>
  <c r="I589" i="1"/>
  <c r="J589" i="1" s="1"/>
  <c r="K589" i="1" s="1"/>
  <c r="L589" i="1" s="1"/>
  <c r="H104" i="1"/>
  <c r="O104" i="1" s="1"/>
  <c r="I104" i="1"/>
  <c r="H137" i="1"/>
  <c r="M137" i="1" s="1"/>
  <c r="I137" i="1"/>
  <c r="J137" i="1"/>
  <c r="K137" i="1" s="1"/>
  <c r="L137" i="1" s="1"/>
  <c r="H488" i="1"/>
  <c r="O488" i="1" s="1"/>
  <c r="M488" i="1"/>
  <c r="A488" i="1"/>
  <c r="I488" i="1"/>
  <c r="J488" i="1" s="1"/>
  <c r="K488" i="1" s="1"/>
  <c r="L488" i="1" s="1"/>
  <c r="H348" i="1"/>
  <c r="O348" i="1" s="1"/>
  <c r="M348" i="1"/>
  <c r="A348" i="1"/>
  <c r="I348" i="1"/>
  <c r="H590" i="1"/>
  <c r="O590" i="1" s="1"/>
  <c r="M590" i="1"/>
  <c r="A590" i="1"/>
  <c r="I590" i="1"/>
  <c r="J590" i="1"/>
  <c r="K590" i="1"/>
  <c r="L590" i="1"/>
  <c r="H211" i="1"/>
  <c r="I211" i="1"/>
  <c r="J211" i="1" s="1"/>
  <c r="H105" i="1"/>
  <c r="O105" i="1" s="1"/>
  <c r="A105" i="1"/>
  <c r="I105" i="1"/>
  <c r="J105" i="1" s="1"/>
  <c r="H698" i="1"/>
  <c r="O698" i="1" s="1"/>
  <c r="M698" i="1"/>
  <c r="A698" i="1"/>
  <c r="I698" i="1"/>
  <c r="J698" i="1"/>
  <c r="K698" i="1" s="1"/>
  <c r="L698" i="1"/>
  <c r="H106" i="1"/>
  <c r="I106" i="1"/>
  <c r="J106" i="1" s="1"/>
  <c r="K106" i="1" s="1"/>
  <c r="L106" i="1" s="1"/>
  <c r="H699" i="1"/>
  <c r="O699" i="1" s="1"/>
  <c r="I699" i="1"/>
  <c r="J699" i="1"/>
  <c r="K699" i="1"/>
  <c r="L699" i="1"/>
  <c r="H455" i="1"/>
  <c r="O455" i="1" s="1"/>
  <c r="M455" i="1"/>
  <c r="A455" i="1"/>
  <c r="I455" i="1"/>
  <c r="J455" i="1"/>
  <c r="K455" i="1"/>
  <c r="L455" i="1" s="1"/>
  <c r="H631" i="1"/>
  <c r="A631" i="1"/>
  <c r="I631" i="1"/>
  <c r="J631" i="1"/>
  <c r="K631" i="1" s="1"/>
  <c r="L631" i="1"/>
  <c r="H591" i="1"/>
  <c r="A591" i="1" s="1"/>
  <c r="I591" i="1"/>
  <c r="J591" i="1" s="1"/>
  <c r="K591" i="1" s="1"/>
  <c r="L591" i="1" s="1"/>
  <c r="H314" i="1"/>
  <c r="O314" i="1" s="1"/>
  <c r="I314" i="1"/>
  <c r="J314" i="1"/>
  <c r="K314" i="1"/>
  <c r="L314" i="1" s="1"/>
  <c r="H592" i="1"/>
  <c r="O592" i="1" s="1"/>
  <c r="M592" i="1"/>
  <c r="A592" i="1"/>
  <c r="I592" i="1"/>
  <c r="J592" i="1" s="1"/>
  <c r="K592" i="1" s="1"/>
  <c r="L592" i="1" s="1"/>
  <c r="H700" i="1"/>
  <c r="O700" i="1" s="1"/>
  <c r="M700" i="1"/>
  <c r="A700" i="1"/>
  <c r="I700" i="1"/>
  <c r="J700" i="1" s="1"/>
  <c r="K700" i="1"/>
  <c r="L700" i="1"/>
  <c r="H593" i="1"/>
  <c r="O593" i="1" s="1"/>
  <c r="M593" i="1"/>
  <c r="A593" i="1"/>
  <c r="I593" i="1"/>
  <c r="J593" i="1"/>
  <c r="K593" i="1" s="1"/>
  <c r="L593" i="1" s="1"/>
  <c r="H279" i="1"/>
  <c r="M279" i="1"/>
  <c r="I279" i="1"/>
  <c r="J279" i="1" s="1"/>
  <c r="K279" i="1" s="1"/>
  <c r="L279" i="1" s="1"/>
  <c r="H594" i="1"/>
  <c r="O594" i="1" s="1"/>
  <c r="A594" i="1"/>
  <c r="I594" i="1"/>
  <c r="J594" i="1"/>
  <c r="K594" i="1"/>
  <c r="L594" i="1" s="1"/>
  <c r="H315" i="1"/>
  <c r="O315" i="1" s="1"/>
  <c r="M315" i="1"/>
  <c r="A315" i="1"/>
  <c r="I315" i="1"/>
  <c r="J315" i="1"/>
  <c r="K315" i="1"/>
  <c r="L315" i="1" s="1"/>
  <c r="H138" i="1"/>
  <c r="A138" i="1"/>
  <c r="I138" i="1"/>
  <c r="J138" i="1" s="1"/>
  <c r="K138" i="1" s="1"/>
  <c r="L138" i="1" s="1"/>
  <c r="H139" i="1"/>
  <c r="I139" i="1"/>
  <c r="J139" i="1" s="1"/>
  <c r="K139" i="1"/>
  <c r="L139" i="1"/>
  <c r="H140" i="1"/>
  <c r="M140" i="1"/>
  <c r="I140" i="1"/>
  <c r="J140" i="1" s="1"/>
  <c r="K140" i="1" s="1"/>
  <c r="L140" i="1" s="1"/>
  <c r="H595" i="1"/>
  <c r="M595" i="1"/>
  <c r="I595" i="1"/>
  <c r="J595" i="1" s="1"/>
  <c r="K595" i="1" s="1"/>
  <c r="L595" i="1" s="1"/>
  <c r="H489" i="1"/>
  <c r="O489" i="1" s="1"/>
  <c r="M489" i="1"/>
  <c r="A489" i="1"/>
  <c r="I489" i="1"/>
  <c r="J489" i="1" s="1"/>
  <c r="K489" i="1" s="1"/>
  <c r="L489" i="1" s="1"/>
  <c r="H280" i="1"/>
  <c r="O280" i="1" s="1"/>
  <c r="M280" i="1"/>
  <c r="A280" i="1"/>
  <c r="I280" i="1"/>
  <c r="J280" i="1" s="1"/>
  <c r="K280" i="1" s="1"/>
  <c r="L280" i="1" s="1"/>
  <c r="H316" i="1"/>
  <c r="M316" i="1" s="1"/>
  <c r="I316" i="1"/>
  <c r="H490" i="1"/>
  <c r="A490" i="1" s="1"/>
  <c r="I490" i="1"/>
  <c r="J490" i="1"/>
  <c r="K490" i="1"/>
  <c r="L490" i="1" s="1"/>
  <c r="H349" i="1"/>
  <c r="O349" i="1" s="1"/>
  <c r="I349" i="1"/>
  <c r="J349" i="1"/>
  <c r="K349" i="1" s="1"/>
  <c r="L349" i="1" s="1"/>
  <c r="H526" i="1"/>
  <c r="O526" i="1" s="1"/>
  <c r="A526" i="1"/>
  <c r="I526" i="1"/>
  <c r="J526" i="1" s="1"/>
  <c r="K526" i="1"/>
  <c r="L526" i="1"/>
  <c r="H701" i="1"/>
  <c r="A701" i="1" s="1"/>
  <c r="I701" i="1"/>
  <c r="H491" i="1"/>
  <c r="O491" i="1" s="1"/>
  <c r="I491" i="1"/>
  <c r="H596" i="1"/>
  <c r="A596" i="1"/>
  <c r="I596" i="1"/>
  <c r="H176" i="1"/>
  <c r="A176" i="1"/>
  <c r="I176" i="1"/>
  <c r="J176" i="1" s="1"/>
  <c r="K176" i="1" s="1"/>
  <c r="L176" i="1" s="1"/>
  <c r="H141" i="1"/>
  <c r="M141" i="1"/>
  <c r="I141" i="1"/>
  <c r="J141" i="1" s="1"/>
  <c r="K141" i="1" s="1"/>
  <c r="L141" i="1" s="1"/>
  <c r="H350" i="1"/>
  <c r="O350" i="1" s="1"/>
  <c r="M350" i="1"/>
  <c r="A350" i="1"/>
  <c r="I350" i="1"/>
  <c r="J350" i="1" s="1"/>
  <c r="K350" i="1" s="1"/>
  <c r="L350" i="1" s="1"/>
  <c r="H281" i="1"/>
  <c r="O281" i="1" s="1"/>
  <c r="M281" i="1"/>
  <c r="A281" i="1"/>
  <c r="I281" i="1"/>
  <c r="J281" i="1" s="1"/>
  <c r="K281" i="1"/>
  <c r="L281" i="1"/>
  <c r="H351" i="1"/>
  <c r="O351" i="1" s="1"/>
  <c r="M351" i="1"/>
  <c r="I351" i="1"/>
  <c r="H246" i="1"/>
  <c r="A246" i="1"/>
  <c r="I246" i="1"/>
  <c r="J246" i="1" s="1"/>
  <c r="H456" i="1"/>
  <c r="A456" i="1"/>
  <c r="I456" i="1"/>
  <c r="J491" i="1"/>
  <c r="K491" i="1"/>
  <c r="L491" i="1"/>
  <c r="J316" i="1"/>
  <c r="K316" i="1" s="1"/>
  <c r="L316" i="1" s="1"/>
  <c r="J207" i="1"/>
  <c r="K207" i="1" s="1"/>
  <c r="L207" i="1" s="1"/>
  <c r="J451" i="1"/>
  <c r="K451" i="1"/>
  <c r="L451" i="1" s="1"/>
  <c r="J573" i="1"/>
  <c r="K573" i="1" s="1"/>
  <c r="L573" i="1" s="1"/>
  <c r="J625" i="1"/>
  <c r="K625" i="1"/>
  <c r="L625" i="1" s="1"/>
  <c r="J523" i="1"/>
  <c r="K523" i="1"/>
  <c r="L523" i="1" s="1"/>
  <c r="J312" i="1"/>
  <c r="K312" i="1"/>
  <c r="L312" i="1" s="1"/>
  <c r="J204" i="1"/>
  <c r="K204" i="1"/>
  <c r="L204" i="1" s="1"/>
  <c r="J310" i="1"/>
  <c r="K310" i="1"/>
  <c r="L310" i="1"/>
  <c r="J30" i="1"/>
  <c r="K30" i="1"/>
  <c r="L30" i="1"/>
  <c r="J202" i="1"/>
  <c r="K202" i="1"/>
  <c r="L202" i="1" s="1"/>
  <c r="J237" i="1"/>
  <c r="K237" i="1"/>
  <c r="L237" i="1"/>
  <c r="J169" i="1"/>
  <c r="K169" i="1"/>
  <c r="L169" i="1"/>
  <c r="J621" i="1"/>
  <c r="K621" i="1" s="1"/>
  <c r="L621" i="1" s="1"/>
  <c r="J456" i="1"/>
  <c r="K456" i="1" s="1"/>
  <c r="L456" i="1" s="1"/>
  <c r="J701" i="1"/>
  <c r="K701" i="1"/>
  <c r="L701" i="1"/>
  <c r="K696" i="1"/>
  <c r="L696" i="1" s="1"/>
  <c r="J313" i="1"/>
  <c r="K313" i="1"/>
  <c r="L313" i="1"/>
  <c r="J31" i="1"/>
  <c r="K31" i="1"/>
  <c r="L31" i="1" s="1"/>
  <c r="K246" i="1"/>
  <c r="L246" i="1"/>
  <c r="J244" i="1"/>
  <c r="K244" i="1" s="1"/>
  <c r="L244" i="1" s="1"/>
  <c r="J414" i="1"/>
  <c r="K414" i="1"/>
  <c r="L414" i="1" s="1"/>
  <c r="J450" i="1"/>
  <c r="K450" i="1"/>
  <c r="L450" i="1"/>
  <c r="J345" i="1"/>
  <c r="K345" i="1"/>
  <c r="L345" i="1"/>
  <c r="J569" i="1"/>
  <c r="K569" i="1"/>
  <c r="L569" i="1" s="1"/>
  <c r="J171" i="1"/>
  <c r="K171" i="1"/>
  <c r="L171" i="1" s="1"/>
  <c r="J617" i="1"/>
  <c r="K617" i="1" s="1"/>
  <c r="L617" i="1" s="1"/>
  <c r="K211" i="1"/>
  <c r="L211" i="1" s="1"/>
  <c r="J448" i="1"/>
  <c r="K448" i="1"/>
  <c r="L448" i="1"/>
  <c r="J596" i="1"/>
  <c r="K596" i="1" s="1"/>
  <c r="L596" i="1" s="1"/>
  <c r="J104" i="1"/>
  <c r="K104" i="1"/>
  <c r="L104" i="1"/>
  <c r="J243" i="1"/>
  <c r="K243" i="1" s="1"/>
  <c r="L243" i="1" s="1"/>
  <c r="J210" i="1"/>
  <c r="K210" i="1"/>
  <c r="L210" i="1" s="1"/>
  <c r="J172" i="1"/>
  <c r="K172" i="1" s="1"/>
  <c r="L172" i="1" s="1"/>
  <c r="K692" i="1"/>
  <c r="L692" i="1"/>
  <c r="J413" i="1"/>
  <c r="K413" i="1"/>
  <c r="L413" i="1"/>
  <c r="J626" i="1"/>
  <c r="K626" i="1"/>
  <c r="L626" i="1" s="1"/>
  <c r="J570" i="1"/>
  <c r="K570" i="1"/>
  <c r="L570" i="1"/>
  <c r="K567" i="1"/>
  <c r="L567" i="1" s="1"/>
  <c r="J27" i="1"/>
  <c r="K27" i="1"/>
  <c r="L27" i="1" s="1"/>
  <c r="J443" i="1"/>
  <c r="K443" i="1"/>
  <c r="L443" i="1" s="1"/>
  <c r="J267" i="1"/>
  <c r="K267" i="1"/>
  <c r="L267" i="1" s="1"/>
  <c r="J127" i="1"/>
  <c r="K127" i="1"/>
  <c r="L127" i="1"/>
  <c r="J250" i="1"/>
  <c r="K250" i="1"/>
  <c r="L250" i="1" s="1"/>
  <c r="J351" i="1"/>
  <c r="K351" i="1" s="1"/>
  <c r="L351" i="1" s="1"/>
  <c r="K105" i="1"/>
  <c r="L105" i="1"/>
  <c r="J487" i="1"/>
  <c r="K487" i="1" s="1"/>
  <c r="L487" i="1" s="1"/>
  <c r="J174" i="1"/>
  <c r="K174" i="1"/>
  <c r="L174" i="1" s="1"/>
  <c r="J629" i="1"/>
  <c r="K629" i="1"/>
  <c r="L629" i="1"/>
  <c r="J133" i="1"/>
  <c r="K133" i="1"/>
  <c r="L133" i="1"/>
  <c r="J693" i="1"/>
  <c r="K693" i="1" s="1"/>
  <c r="L693" i="1" s="1"/>
  <c r="J415" i="1"/>
  <c r="K415" i="1"/>
  <c r="L415" i="1" s="1"/>
  <c r="K92" i="1"/>
  <c r="L92" i="1"/>
  <c r="J565" i="1"/>
  <c r="K565" i="1"/>
  <c r="L565" i="1"/>
  <c r="J271" i="1"/>
  <c r="K271" i="1"/>
  <c r="L271" i="1" s="1"/>
  <c r="J308" i="1"/>
  <c r="K308" i="1" s="1"/>
  <c r="L308" i="1" s="1"/>
  <c r="J521" i="1"/>
  <c r="K521" i="1"/>
  <c r="L521" i="1"/>
  <c r="J337" i="1"/>
  <c r="K337" i="1" s="1"/>
  <c r="L337" i="1" s="1"/>
  <c r="J677" i="1"/>
  <c r="K677" i="1"/>
  <c r="L677" i="1" s="1"/>
  <c r="J264" i="1"/>
  <c r="K264" i="1" s="1"/>
  <c r="L264" i="1" s="1"/>
  <c r="J21" i="1"/>
  <c r="K21" i="1"/>
  <c r="L21" i="1" s="1"/>
  <c r="J477" i="1"/>
  <c r="K477" i="1"/>
  <c r="L477" i="1" s="1"/>
  <c r="J611" i="1"/>
  <c r="K611" i="1"/>
  <c r="L611" i="1" s="1"/>
  <c r="J553" i="1"/>
  <c r="K553" i="1"/>
  <c r="L553" i="1" s="1"/>
  <c r="J159" i="1"/>
  <c r="K159" i="1"/>
  <c r="L159" i="1"/>
  <c r="J19" i="1"/>
  <c r="K19" i="1"/>
  <c r="L19" i="1"/>
  <c r="J607" i="1"/>
  <c r="K607" i="1"/>
  <c r="L607" i="1" s="1"/>
  <c r="J388" i="1"/>
  <c r="K388" i="1"/>
  <c r="L388" i="1"/>
  <c r="J467" i="1"/>
  <c r="K467" i="1"/>
  <c r="L467" i="1"/>
  <c r="J14" i="1"/>
  <c r="K14" i="1" s="1"/>
  <c r="L14" i="1" s="1"/>
  <c r="J658" i="1"/>
  <c r="K658" i="1" s="1"/>
  <c r="L658" i="1" s="1"/>
  <c r="J540" i="1"/>
  <c r="K540" i="1"/>
  <c r="L540" i="1"/>
  <c r="J291" i="1"/>
  <c r="K291" i="1"/>
  <c r="L291" i="1" s="1"/>
  <c r="J378" i="1"/>
  <c r="K378" i="1"/>
  <c r="L378" i="1" s="1"/>
  <c r="J318" i="1"/>
  <c r="K318" i="1"/>
  <c r="L318" i="1" s="1"/>
  <c r="J460" i="1"/>
  <c r="K460" i="1"/>
  <c r="L460" i="1"/>
  <c r="J4" i="1"/>
  <c r="K4" i="1"/>
  <c r="L4" i="1" s="1"/>
  <c r="J357" i="1"/>
  <c r="K357" i="1"/>
  <c r="L357" i="1"/>
  <c r="J527" i="1"/>
  <c r="K527" i="1"/>
  <c r="L527" i="1" s="1"/>
  <c r="J514" i="1"/>
  <c r="K514" i="1" s="1"/>
  <c r="L514" i="1" s="1"/>
  <c r="J165" i="1"/>
  <c r="K165" i="1"/>
  <c r="L165" i="1"/>
  <c r="J18" i="1"/>
  <c r="K18" i="1" s="1"/>
  <c r="L18" i="1" s="1"/>
  <c r="J15" i="1"/>
  <c r="K15" i="1" s="1"/>
  <c r="L15" i="1" s="1"/>
  <c r="J219" i="1"/>
  <c r="K219" i="1"/>
  <c r="L219" i="1" s="1"/>
  <c r="J689" i="1"/>
  <c r="K689" i="1"/>
  <c r="L689" i="1"/>
  <c r="J343" i="1"/>
  <c r="K343" i="1" s="1"/>
  <c r="L343" i="1" s="1"/>
  <c r="J130" i="1"/>
  <c r="K130" i="1"/>
  <c r="L130" i="1" s="1"/>
  <c r="J200" i="1"/>
  <c r="K200" i="1"/>
  <c r="L200" i="1"/>
  <c r="J25" i="1"/>
  <c r="K25" i="1"/>
  <c r="L25" i="1"/>
  <c r="J522" i="1"/>
  <c r="K522" i="1"/>
  <c r="L522" i="1" s="1"/>
  <c r="J409" i="1"/>
  <c r="K409" i="1"/>
  <c r="L409" i="1" s="1"/>
  <c r="J557" i="1"/>
  <c r="K557" i="1" s="1"/>
  <c r="L557" i="1" s="1"/>
  <c r="J515" i="1"/>
  <c r="K515" i="1"/>
  <c r="L515" i="1"/>
  <c r="J402" i="1"/>
  <c r="K402" i="1"/>
  <c r="L402" i="1"/>
  <c r="J400" i="1"/>
  <c r="K400" i="1" s="1"/>
  <c r="L400" i="1" s="1"/>
  <c r="J513" i="1"/>
  <c r="K513" i="1" s="1"/>
  <c r="L513" i="1" s="1"/>
  <c r="J121" i="1"/>
  <c r="K121" i="1"/>
  <c r="L121" i="1"/>
  <c r="J189" i="1"/>
  <c r="K189" i="1"/>
  <c r="L189" i="1"/>
  <c r="J472" i="1"/>
  <c r="K472" i="1" s="1"/>
  <c r="L472" i="1" s="1"/>
  <c r="J471" i="1"/>
  <c r="K471" i="1" s="1"/>
  <c r="L471" i="1" s="1"/>
  <c r="J468" i="1"/>
  <c r="K468" i="1"/>
  <c r="L468" i="1"/>
  <c r="J548" i="1"/>
  <c r="K548" i="1" s="1"/>
  <c r="L548" i="1" s="1"/>
  <c r="J326" i="1"/>
  <c r="K326" i="1"/>
  <c r="L326" i="1" s="1"/>
  <c r="J381" i="1"/>
  <c r="K381" i="1"/>
  <c r="L381" i="1" s="1"/>
  <c r="J257" i="1"/>
  <c r="K257" i="1"/>
  <c r="L257" i="1"/>
  <c r="J538" i="1"/>
  <c r="K538" i="1" s="1"/>
  <c r="L538" i="1" s="1"/>
  <c r="J649" i="1"/>
  <c r="K649" i="1"/>
  <c r="L649" i="1" s="1"/>
  <c r="J535" i="1"/>
  <c r="K535" i="1"/>
  <c r="L535" i="1" s="1"/>
  <c r="J646" i="1"/>
  <c r="K646" i="1"/>
  <c r="L646" i="1"/>
  <c r="J373" i="1"/>
  <c r="K373" i="1" s="1"/>
  <c r="L373" i="1" s="1"/>
  <c r="J145" i="1"/>
  <c r="K145" i="1"/>
  <c r="L145" i="1" s="1"/>
  <c r="J532" i="1"/>
  <c r="K532" i="1"/>
  <c r="L532" i="1" s="1"/>
  <c r="J640" i="1"/>
  <c r="K640" i="1"/>
  <c r="L640" i="1"/>
  <c r="J45" i="1"/>
  <c r="K45" i="1" s="1"/>
  <c r="L45" i="1" s="1"/>
  <c r="J110" i="1"/>
  <c r="K110" i="1"/>
  <c r="L110" i="1" s="1"/>
  <c r="J251" i="1"/>
  <c r="K251" i="1"/>
  <c r="L251" i="1" s="1"/>
  <c r="J218" i="1"/>
  <c r="K218" i="1"/>
  <c r="L218" i="1"/>
  <c r="J283" i="1"/>
  <c r="K283" i="1" s="1"/>
  <c r="L283" i="1" s="1"/>
  <c r="J192" i="1"/>
  <c r="K192" i="1"/>
  <c r="L192" i="1" s="1"/>
  <c r="J124" i="1"/>
  <c r="K124" i="1"/>
  <c r="L124" i="1" s="1"/>
  <c r="J511" i="1"/>
  <c r="K511" i="1"/>
  <c r="L511" i="1"/>
  <c r="J397" i="1"/>
  <c r="K397" i="1" s="1"/>
  <c r="L397" i="1" s="1"/>
  <c r="J160" i="1"/>
  <c r="K160" i="1"/>
  <c r="L160" i="1" s="1"/>
  <c r="J232" i="1"/>
  <c r="K232" i="1"/>
  <c r="L232" i="1" s="1"/>
  <c r="J669" i="1"/>
  <c r="K669" i="1"/>
  <c r="L669" i="1"/>
  <c r="J390" i="1"/>
  <c r="K390" i="1" s="1"/>
  <c r="L390" i="1" s="1"/>
  <c r="J16" i="1"/>
  <c r="K16" i="1"/>
  <c r="L16" i="1" s="1"/>
  <c r="J76" i="1"/>
  <c r="K76" i="1"/>
  <c r="L76" i="1" s="1"/>
  <c r="J118" i="1"/>
  <c r="K118" i="1"/>
  <c r="L118" i="1"/>
  <c r="J667" i="1"/>
  <c r="K667" i="1" s="1"/>
  <c r="L667" i="1" s="1"/>
  <c r="J227" i="1"/>
  <c r="K227" i="1"/>
  <c r="L227" i="1" s="1"/>
  <c r="J10" i="1"/>
  <c r="K10" i="1"/>
  <c r="L10" i="1" s="1"/>
  <c r="J653" i="1"/>
  <c r="K653" i="1"/>
  <c r="L653" i="1"/>
  <c r="J375" i="1"/>
  <c r="K375" i="1" s="1"/>
  <c r="L375" i="1" s="1"/>
  <c r="J639" i="1"/>
  <c r="K639" i="1"/>
  <c r="L639" i="1" s="1"/>
  <c r="J598" i="1"/>
  <c r="K598" i="1"/>
  <c r="L598" i="1" s="1"/>
  <c r="J459" i="1"/>
  <c r="K459" i="1"/>
  <c r="L459" i="1"/>
  <c r="J364" i="1"/>
  <c r="K364" i="1" s="1"/>
  <c r="L364" i="1" s="1"/>
  <c r="J636" i="1"/>
  <c r="K636" i="1"/>
  <c r="L636" i="1" s="1"/>
  <c r="J633" i="1"/>
  <c r="K633" i="1"/>
  <c r="L633" i="1" s="1"/>
  <c r="J247" i="1"/>
  <c r="K247" i="1"/>
  <c r="L247" i="1"/>
  <c r="J632" i="1"/>
  <c r="K632" i="1" s="1"/>
  <c r="L632" i="1" s="1"/>
  <c r="J676" i="1"/>
  <c r="K676" i="1"/>
  <c r="L676" i="1" s="1"/>
  <c r="J675" i="1"/>
  <c r="K675" i="1"/>
  <c r="L675" i="1" s="1"/>
  <c r="J481" i="1"/>
  <c r="K481" i="1"/>
  <c r="L481" i="1"/>
  <c r="J395" i="1"/>
  <c r="K395" i="1" s="1"/>
  <c r="L395" i="1" s="1"/>
  <c r="J120" i="1"/>
  <c r="K120" i="1"/>
  <c r="L120" i="1" s="1"/>
  <c r="J474" i="1"/>
  <c r="K474" i="1"/>
  <c r="L474" i="1" s="1"/>
  <c r="J508" i="1"/>
  <c r="K508" i="1"/>
  <c r="L508" i="1"/>
  <c r="J550" i="1"/>
  <c r="K550" i="1" s="1"/>
  <c r="L550" i="1" s="1"/>
  <c r="J74" i="1"/>
  <c r="K74" i="1"/>
  <c r="L74" i="1" s="1"/>
  <c r="J604" i="1"/>
  <c r="K604" i="1"/>
  <c r="L604" i="1" s="1"/>
  <c r="J504" i="1"/>
  <c r="K504" i="1"/>
  <c r="L504" i="1"/>
  <c r="J57" i="1"/>
  <c r="K57" i="1" s="1"/>
  <c r="L57" i="1" s="1"/>
  <c r="J249" i="1"/>
  <c r="K249" i="1"/>
  <c r="L249" i="1" s="1"/>
  <c r="J217" i="1"/>
  <c r="K217" i="1"/>
  <c r="L217" i="1" s="1"/>
  <c r="J365" i="1"/>
  <c r="K365" i="1"/>
  <c r="L365" i="1"/>
  <c r="J28" i="1"/>
  <c r="K28" i="1" s="1"/>
  <c r="L28" i="1" s="1"/>
  <c r="J201" i="1"/>
  <c r="K201" i="1"/>
  <c r="L201" i="1" s="1"/>
  <c r="J562" i="1"/>
  <c r="K562" i="1"/>
  <c r="L562" i="1" s="1"/>
  <c r="J438" i="1"/>
  <c r="K438" i="1"/>
  <c r="L438" i="1"/>
  <c r="J235" i="1"/>
  <c r="K235" i="1" s="1"/>
  <c r="L235" i="1" s="1"/>
  <c r="J24" i="1"/>
  <c r="K24" i="1"/>
  <c r="L24" i="1" s="1"/>
  <c r="J407" i="1"/>
  <c r="K407" i="1"/>
  <c r="L407" i="1" s="1"/>
  <c r="J300" i="1"/>
  <c r="K300" i="1"/>
  <c r="L300" i="1"/>
  <c r="J396" i="1"/>
  <c r="K396" i="1" s="1"/>
  <c r="L396" i="1" s="1"/>
  <c r="J668" i="1"/>
  <c r="K668" i="1"/>
  <c r="L668" i="1" s="1"/>
  <c r="J549" i="1"/>
  <c r="K549" i="1"/>
  <c r="L549" i="1" s="1"/>
  <c r="J187" i="1"/>
  <c r="K187" i="1"/>
  <c r="L187" i="1"/>
  <c r="J666" i="1"/>
  <c r="K666" i="1" s="1"/>
  <c r="L666" i="1" s="1"/>
  <c r="J432" i="1"/>
  <c r="K432" i="1"/>
  <c r="L432" i="1" s="1"/>
  <c r="J183" i="1"/>
  <c r="K183" i="1"/>
  <c r="L183" i="1" s="1"/>
  <c r="J11" i="1"/>
  <c r="K11" i="1"/>
  <c r="L11" i="1"/>
  <c r="J655" i="1"/>
  <c r="K655" i="1" s="1"/>
  <c r="L655" i="1" s="1"/>
  <c r="J54" i="1"/>
  <c r="K54" i="1"/>
  <c r="L54" i="1" s="1"/>
  <c r="J461" i="1"/>
  <c r="K461" i="1"/>
  <c r="L461" i="1" s="1"/>
  <c r="J42" i="1"/>
  <c r="K42" i="1"/>
  <c r="L42" i="1"/>
  <c r="J366" i="1"/>
  <c r="K366" i="1" s="1"/>
  <c r="L366" i="1" s="1"/>
  <c r="J179" i="1"/>
  <c r="K179" i="1"/>
  <c r="L179" i="1" s="1"/>
  <c r="J358" i="1"/>
  <c r="K358" i="1"/>
  <c r="L358" i="1" s="1"/>
  <c r="J108" i="1"/>
  <c r="K108" i="1"/>
  <c r="L108" i="1"/>
  <c r="J213" i="1"/>
  <c r="K213" i="1" s="1"/>
  <c r="L213" i="1" s="1"/>
  <c r="J322" i="1"/>
  <c r="K322" i="1"/>
  <c r="L322" i="1" s="1"/>
  <c r="J255" i="1"/>
  <c r="K255" i="1"/>
  <c r="L255" i="1" s="1"/>
  <c r="J321" i="1"/>
  <c r="K321" i="1"/>
  <c r="L321" i="1"/>
  <c r="J51" i="1"/>
  <c r="K51" i="1" s="1"/>
  <c r="L51" i="1" s="1"/>
  <c r="J166" i="1"/>
  <c r="K166" i="1"/>
  <c r="L166" i="1" s="1"/>
  <c r="J558" i="1"/>
  <c r="K558" i="1"/>
  <c r="L558" i="1" s="1"/>
  <c r="J263" i="1"/>
  <c r="K263" i="1"/>
  <c r="L263" i="1"/>
  <c r="J230" i="1"/>
  <c r="K230" i="1" s="1"/>
  <c r="L230" i="1" s="1"/>
  <c r="J156" i="1"/>
  <c r="K156" i="1"/>
  <c r="L156" i="1" s="1"/>
  <c r="J65" i="1"/>
  <c r="K65" i="1"/>
  <c r="L65" i="1" s="1"/>
  <c r="J431" i="1"/>
  <c r="K431" i="1"/>
  <c r="L431" i="1"/>
  <c r="J654" i="1"/>
  <c r="K654" i="1" s="1"/>
  <c r="L654" i="1" s="1"/>
  <c r="J148" i="1"/>
  <c r="K148" i="1"/>
  <c r="L148" i="1" s="1"/>
  <c r="J499" i="1"/>
  <c r="K499" i="1"/>
  <c r="L499" i="1" s="1"/>
  <c r="J648" i="1"/>
  <c r="K648" i="1"/>
  <c r="L648" i="1"/>
  <c r="J643" i="1"/>
  <c r="K643" i="1" s="1"/>
  <c r="L643" i="1" s="1"/>
  <c r="J143" i="1"/>
  <c r="K143" i="1"/>
  <c r="L143" i="1" s="1"/>
  <c r="J427" i="1"/>
  <c r="K427" i="1"/>
  <c r="L427" i="1" s="1"/>
  <c r="J39" i="1"/>
  <c r="K39" i="1"/>
  <c r="L39" i="1"/>
  <c r="J282" i="1"/>
  <c r="K282" i="1" s="1"/>
  <c r="L282" i="1" s="1"/>
  <c r="J360" i="1"/>
  <c r="K360" i="1"/>
  <c r="L360" i="1" s="1"/>
  <c r="J458" i="1"/>
  <c r="K458" i="1"/>
  <c r="L458" i="1" s="1"/>
  <c r="J348" i="1"/>
  <c r="K348" i="1"/>
  <c r="L348" i="1"/>
  <c r="J33" i="1"/>
  <c r="K33" i="1" s="1"/>
  <c r="L33" i="1" s="1"/>
  <c r="J277" i="1"/>
  <c r="K277" i="1"/>
  <c r="L277" i="1" s="1"/>
  <c r="J580" i="1"/>
  <c r="K580" i="1"/>
  <c r="L580" i="1"/>
  <c r="J417" i="1"/>
  <c r="K417" i="1" s="1"/>
  <c r="L417" i="1" s="1"/>
  <c r="J691" i="1"/>
  <c r="K691" i="1"/>
  <c r="L691" i="1" s="1"/>
  <c r="J627" i="1"/>
  <c r="K627" i="1"/>
  <c r="L627" i="1"/>
  <c r="J344" i="1"/>
  <c r="K344" i="1" s="1"/>
  <c r="L344" i="1" s="1"/>
  <c r="J630" i="1"/>
  <c r="K630" i="1"/>
  <c r="L630" i="1" s="1"/>
  <c r="J586" i="1"/>
  <c r="K586" i="1"/>
  <c r="L586" i="1" s="1"/>
  <c r="J194" i="1"/>
  <c r="K194" i="1" s="1"/>
  <c r="L194" i="1" s="1"/>
  <c r="J193" i="1"/>
  <c r="K193" i="1"/>
  <c r="L193" i="1" s="1"/>
  <c r="J123" i="1"/>
  <c r="K123" i="1"/>
  <c r="L123" i="1" s="1"/>
  <c r="J262" i="1"/>
  <c r="K262" i="1"/>
  <c r="L262" i="1"/>
  <c r="J191" i="1"/>
  <c r="K191" i="1" s="1"/>
  <c r="L191" i="1" s="1"/>
  <c r="J336" i="1"/>
  <c r="K336" i="1"/>
  <c r="L336" i="1" s="1"/>
  <c r="J406" i="1"/>
  <c r="K406" i="1"/>
  <c r="L406" i="1" s="1"/>
  <c r="J128" i="1"/>
  <c r="K128" i="1"/>
  <c r="L128" i="1"/>
  <c r="J439" i="1"/>
  <c r="K439" i="1" s="1"/>
  <c r="L439" i="1" s="1"/>
  <c r="J265" i="1"/>
  <c r="K265" i="1"/>
  <c r="L265" i="1" s="1"/>
  <c r="J516" i="1"/>
  <c r="K516" i="1"/>
  <c r="L516" i="1" s="1"/>
  <c r="J226" i="1"/>
  <c r="K226" i="1"/>
  <c r="L226" i="1"/>
  <c r="J61" i="1"/>
  <c r="K61" i="1" s="1"/>
  <c r="L61" i="1" s="1"/>
  <c r="J503" i="1"/>
  <c r="K503" i="1"/>
  <c r="L503" i="1" s="1"/>
  <c r="J63" i="1"/>
  <c r="K63" i="1"/>
  <c r="L63" i="1"/>
  <c r="J60" i="1"/>
  <c r="K60" i="1" s="1"/>
  <c r="L60" i="1" s="1"/>
  <c r="J225" i="1"/>
  <c r="K225" i="1"/>
  <c r="L225" i="1" s="1"/>
  <c r="J53" i="1"/>
  <c r="K53" i="1"/>
  <c r="L53" i="1" s="1"/>
  <c r="J501" i="1"/>
  <c r="K501" i="1"/>
  <c r="L501" i="1"/>
  <c r="J374" i="1"/>
  <c r="K374" i="1" s="1"/>
  <c r="L374" i="1" s="1"/>
  <c r="J50" i="1"/>
  <c r="K50" i="1"/>
  <c r="L50" i="1" s="1"/>
  <c r="J644" i="1"/>
  <c r="K644" i="1"/>
  <c r="L644" i="1" s="1"/>
  <c r="J531" i="1"/>
  <c r="K531" i="1"/>
  <c r="L531" i="1"/>
  <c r="J288" i="1"/>
  <c r="K288" i="1" s="1"/>
  <c r="L288" i="1" s="1"/>
  <c r="J426" i="1"/>
  <c r="K426" i="1"/>
  <c r="L426" i="1" s="1"/>
  <c r="J252" i="1"/>
  <c r="K252" i="1"/>
  <c r="L252" i="1" s="1"/>
  <c r="J495" i="1"/>
  <c r="K495" i="1"/>
  <c r="L495" i="1"/>
  <c r="J185" i="1"/>
  <c r="K185" i="1" s="1"/>
  <c r="L185" i="1" s="1"/>
  <c r="J64" i="1"/>
  <c r="K64" i="1"/>
  <c r="L64" i="1" s="1"/>
  <c r="J295" i="1"/>
  <c r="K295" i="1"/>
  <c r="L295" i="1" s="1"/>
  <c r="J222" i="1"/>
  <c r="K222" i="1"/>
  <c r="L222" i="1"/>
  <c r="J114" i="1"/>
  <c r="K114" i="1" s="1"/>
  <c r="L114" i="1" s="1"/>
  <c r="J546" i="1"/>
  <c r="K546" i="1"/>
  <c r="L546" i="1" s="1"/>
  <c r="J58" i="1"/>
  <c r="K58" i="1"/>
  <c r="L58" i="1" s="1"/>
  <c r="U22" i="6"/>
  <c r="AE7" i="6"/>
  <c r="AE5" i="6"/>
  <c r="AC17" i="6"/>
  <c r="AC14" i="6"/>
  <c r="AE18" i="6"/>
  <c r="AE4" i="6"/>
  <c r="AE2" i="6"/>
  <c r="AE14" i="6"/>
  <c r="AC18" i="6"/>
  <c r="AF16" i="6"/>
  <c r="AE16" i="6"/>
  <c r="B33" i="6"/>
  <c r="AD15" i="6"/>
  <c r="AD18" i="6"/>
  <c r="B46" i="6"/>
  <c r="B48" i="6"/>
  <c r="AC15" i="6"/>
  <c r="R8" i="6"/>
  <c r="AG17" i="6"/>
  <c r="B47" i="6"/>
  <c r="B30" i="6"/>
  <c r="AF2" i="6"/>
  <c r="B31" i="6"/>
  <c r="AF4" i="6"/>
  <c r="AC13" i="6"/>
  <c r="AG18" i="6"/>
  <c r="AD14" i="6"/>
  <c r="AF3" i="6"/>
  <c r="AC16" i="6"/>
  <c r="AG16" i="6"/>
  <c r="AD16" i="6"/>
  <c r="U23" i="6"/>
  <c r="R7" i="6"/>
  <c r="AF15" i="6"/>
  <c r="AG14" i="6"/>
  <c r="AF13" i="6"/>
  <c r="AF6" i="6"/>
  <c r="AE17" i="6"/>
  <c r="AF5" i="6"/>
  <c r="U21" i="6"/>
  <c r="AG13" i="6"/>
  <c r="AG15" i="6"/>
  <c r="AD17" i="6"/>
  <c r="R6" i="6"/>
  <c r="AE3" i="6"/>
  <c r="B32" i="6"/>
  <c r="B28" i="6"/>
  <c r="B29" i="6"/>
  <c r="B49" i="6"/>
  <c r="AF18" i="6"/>
  <c r="AE6" i="6"/>
  <c r="AF17" i="6"/>
  <c r="AF7" i="6"/>
  <c r="AE15" i="6"/>
  <c r="AF14" i="6"/>
  <c r="B45" i="6"/>
  <c r="C45" i="6" l="1"/>
  <c r="C49" i="6"/>
  <c r="C48" i="6"/>
  <c r="C47" i="6"/>
  <c r="C46" i="6"/>
  <c r="C28" i="6"/>
  <c r="C33" i="6"/>
  <c r="C32" i="6"/>
  <c r="C31" i="6"/>
  <c r="C30" i="6"/>
  <c r="C29" i="6"/>
  <c r="G3" i="5" a="1"/>
  <c r="G3" i="5" s="1"/>
  <c r="H3" i="5" s="1"/>
  <c r="G2" i="5" a="1"/>
  <c r="G2" i="5" s="1"/>
  <c r="H2" i="5" s="1"/>
  <c r="O139" i="1"/>
  <c r="M139" i="1"/>
  <c r="O106" i="1"/>
  <c r="M106" i="1"/>
  <c r="A106" i="1"/>
  <c r="O211" i="1"/>
  <c r="M211" i="1"/>
  <c r="O135" i="1"/>
  <c r="A135" i="1"/>
  <c r="O693" i="1"/>
  <c r="M693" i="1"/>
  <c r="A693" i="1"/>
  <c r="O32" i="1"/>
  <c r="M32" i="1"/>
  <c r="A32" i="1"/>
  <c r="O400" i="1"/>
  <c r="A400" i="1"/>
  <c r="M400" i="1"/>
  <c r="O503" i="1"/>
  <c r="A503" i="1"/>
  <c r="M503" i="1"/>
  <c r="O651" i="1"/>
  <c r="A651" i="1"/>
  <c r="M651" i="1"/>
  <c r="O581" i="1"/>
  <c r="A581" i="1"/>
  <c r="M581" i="1"/>
  <c r="O591" i="1"/>
  <c r="M591" i="1"/>
  <c r="O568" i="1"/>
  <c r="M568" i="1"/>
  <c r="A568" i="1"/>
  <c r="O578" i="1"/>
  <c r="M578" i="1"/>
  <c r="A578" i="1"/>
  <c r="O596" i="1"/>
  <c r="M596" i="1"/>
  <c r="M526" i="1"/>
  <c r="M594" i="1"/>
  <c r="O245" i="1"/>
  <c r="M245" i="1"/>
  <c r="O584" i="1"/>
  <c r="M584" i="1"/>
  <c r="A584" i="1"/>
  <c r="O275" i="1"/>
  <c r="A275" i="1"/>
  <c r="M275" i="1"/>
  <c r="M310" i="1"/>
  <c r="O687" i="1"/>
  <c r="A687" i="1"/>
  <c r="O273" i="1"/>
  <c r="A273" i="1"/>
  <c r="O595" i="1"/>
  <c r="A595" i="1"/>
  <c r="O577" i="1"/>
  <c r="A577" i="1"/>
  <c r="O690" i="1"/>
  <c r="M690" i="1"/>
  <c r="A690" i="1"/>
  <c r="O623" i="1"/>
  <c r="A623" i="1"/>
  <c r="M623" i="1"/>
  <c r="O126" i="1"/>
  <c r="M126" i="1"/>
  <c r="A126" i="1"/>
  <c r="O23" i="1"/>
  <c r="M23" i="1"/>
  <c r="A23" i="1"/>
  <c r="O176" i="1"/>
  <c r="M176" i="1"/>
  <c r="O65" i="1"/>
  <c r="A65" i="1"/>
  <c r="M65" i="1"/>
  <c r="O84" i="1"/>
  <c r="A84" i="1"/>
  <c r="O456" i="1"/>
  <c r="M456" i="1"/>
  <c r="A491" i="1"/>
  <c r="A314" i="1"/>
  <c r="O631" i="1"/>
  <c r="M631" i="1"/>
  <c r="A699" i="1"/>
  <c r="O344" i="1"/>
  <c r="M344" i="1"/>
  <c r="O159" i="1"/>
  <c r="A159" i="1"/>
  <c r="O589" i="1"/>
  <c r="A589" i="1"/>
  <c r="O196" i="1"/>
  <c r="A196" i="1"/>
  <c r="O141" i="1"/>
  <c r="A141" i="1"/>
  <c r="M491" i="1"/>
  <c r="O140" i="1"/>
  <c r="A140" i="1"/>
  <c r="M314" i="1"/>
  <c r="M699" i="1"/>
  <c r="O103" i="1"/>
  <c r="A103" i="1"/>
  <c r="O102" i="1"/>
  <c r="A102" i="1"/>
  <c r="O97" i="1"/>
  <c r="A97" i="1"/>
  <c r="O208" i="1"/>
  <c r="M208" i="1"/>
  <c r="O685" i="1"/>
  <c r="M685" i="1"/>
  <c r="A685" i="1"/>
  <c r="O395" i="1"/>
  <c r="A395" i="1"/>
  <c r="M395" i="1"/>
  <c r="O696" i="1"/>
  <c r="M696" i="1"/>
  <c r="A696" i="1"/>
  <c r="O138" i="1"/>
  <c r="M138" i="1"/>
  <c r="O134" i="1"/>
  <c r="A134" i="1"/>
  <c r="O490" i="1"/>
  <c r="M490" i="1"/>
  <c r="O316" i="1"/>
  <c r="A316" i="1"/>
  <c r="O137" i="1"/>
  <c r="A137" i="1"/>
  <c r="O175" i="1"/>
  <c r="M175" i="1"/>
  <c r="O36" i="1"/>
  <c r="M36" i="1"/>
  <c r="O100" i="1"/>
  <c r="M100" i="1"/>
  <c r="A100" i="1"/>
  <c r="O173" i="1"/>
  <c r="A173" i="1"/>
  <c r="O201" i="1"/>
  <c r="A201" i="1"/>
  <c r="M201" i="1"/>
  <c r="O525" i="1"/>
  <c r="M525" i="1"/>
  <c r="O346" i="1"/>
  <c r="A346" i="1"/>
  <c r="A630" i="1"/>
  <c r="O587" i="1"/>
  <c r="M587" i="1"/>
  <c r="O586" i="1"/>
  <c r="M586" i="1"/>
  <c r="A586" i="1"/>
  <c r="O453" i="1"/>
  <c r="A453" i="1"/>
  <c r="O524" i="1"/>
  <c r="M524" i="1"/>
  <c r="A524" i="1"/>
  <c r="O243" i="1"/>
  <c r="M243" i="1"/>
  <c r="O622" i="1"/>
  <c r="M622" i="1"/>
  <c r="A622" i="1"/>
  <c r="O410" i="1"/>
  <c r="A410" i="1"/>
  <c r="O246" i="1"/>
  <c r="M246" i="1"/>
  <c r="A349" i="1"/>
  <c r="O279" i="1"/>
  <c r="A279" i="1"/>
  <c r="A104" i="1"/>
  <c r="M630" i="1"/>
  <c r="O628" i="1"/>
  <c r="M628" i="1"/>
  <c r="O572" i="1"/>
  <c r="A572" i="1"/>
  <c r="O94" i="1"/>
  <c r="A94" i="1"/>
  <c r="O264" i="1"/>
  <c r="M264" i="1"/>
  <c r="A264" i="1"/>
  <c r="A351" i="1"/>
  <c r="O701" i="1"/>
  <c r="M701" i="1"/>
  <c r="M349" i="1"/>
  <c r="A139" i="1"/>
  <c r="A211" i="1"/>
  <c r="M104" i="1"/>
  <c r="O454" i="1"/>
  <c r="A454" i="1"/>
  <c r="M135" i="1"/>
  <c r="O629" i="1"/>
  <c r="A629" i="1"/>
  <c r="O486" i="1"/>
  <c r="A486" i="1"/>
  <c r="O205" i="1"/>
  <c r="M205" i="1"/>
  <c r="A205" i="1"/>
  <c r="O171" i="1"/>
  <c r="M171" i="1"/>
  <c r="A171" i="1"/>
  <c r="O309" i="1"/>
  <c r="A309" i="1"/>
  <c r="M309" i="1"/>
  <c r="O197" i="1"/>
  <c r="M197" i="1"/>
  <c r="A197" i="1"/>
  <c r="O101" i="1"/>
  <c r="M101" i="1"/>
  <c r="A210" i="1"/>
  <c r="O579" i="1"/>
  <c r="A579" i="1"/>
  <c r="O412" i="1"/>
  <c r="A412" i="1"/>
  <c r="A132" i="1"/>
  <c r="A573" i="1"/>
  <c r="O445" i="1"/>
  <c r="A445" i="1"/>
  <c r="O237" i="1"/>
  <c r="A237" i="1"/>
  <c r="O619" i="1"/>
  <c r="M619" i="1"/>
  <c r="A169" i="1"/>
  <c r="O683" i="1"/>
  <c r="M683" i="1"/>
  <c r="O516" i="1"/>
  <c r="M516" i="1"/>
  <c r="A516" i="1"/>
  <c r="O679" i="1"/>
  <c r="A679" i="1"/>
  <c r="O299" i="1"/>
  <c r="M299" i="1"/>
  <c r="A299" i="1"/>
  <c r="O440" i="1"/>
  <c r="A440" i="1"/>
  <c r="O676" i="1"/>
  <c r="A676" i="1"/>
  <c r="O79" i="1"/>
  <c r="A79" i="1"/>
  <c r="O328" i="1"/>
  <c r="A328" i="1"/>
  <c r="M328" i="1"/>
  <c r="O466" i="1"/>
  <c r="M466" i="1"/>
  <c r="A466" i="1"/>
  <c r="O172" i="1"/>
  <c r="M172" i="1"/>
  <c r="O239" i="1"/>
  <c r="A239" i="1"/>
  <c r="O625" i="1"/>
  <c r="A625" i="1"/>
  <c r="O272" i="1"/>
  <c r="A272" i="1"/>
  <c r="O620" i="1"/>
  <c r="A620" i="1"/>
  <c r="O563" i="1"/>
  <c r="A563" i="1"/>
  <c r="O342" i="1"/>
  <c r="A342" i="1"/>
  <c r="O166" i="1"/>
  <c r="M166" i="1"/>
  <c r="O161" i="1"/>
  <c r="M161" i="1"/>
  <c r="A161" i="1"/>
  <c r="O118" i="1"/>
  <c r="M118" i="1"/>
  <c r="A118" i="1"/>
  <c r="O228" i="1"/>
  <c r="A228" i="1"/>
  <c r="M228" i="1"/>
  <c r="O185" i="1"/>
  <c r="M185" i="1"/>
  <c r="A185" i="1"/>
  <c r="M105" i="1"/>
  <c r="M278" i="1"/>
  <c r="O240" i="1"/>
  <c r="M240" i="1"/>
  <c r="A240" i="1"/>
  <c r="O96" i="1"/>
  <c r="A96" i="1"/>
  <c r="A28" i="1"/>
  <c r="O566" i="1"/>
  <c r="A566" i="1"/>
  <c r="O482" i="1"/>
  <c r="M482" i="1"/>
  <c r="A482" i="1"/>
  <c r="O442" i="1"/>
  <c r="M442" i="1"/>
  <c r="A442" i="1"/>
  <c r="O303" i="1"/>
  <c r="M303" i="1"/>
  <c r="A303" i="1"/>
  <c r="O560" i="1"/>
  <c r="M560" i="1"/>
  <c r="A560" i="1"/>
  <c r="O559" i="1"/>
  <c r="A559" i="1"/>
  <c r="O194" i="1"/>
  <c r="A194" i="1"/>
  <c r="O399" i="1"/>
  <c r="M399" i="1"/>
  <c r="A399" i="1"/>
  <c r="O158" i="1"/>
  <c r="M158" i="1"/>
  <c r="A158" i="1"/>
  <c r="O388" i="1"/>
  <c r="A388" i="1"/>
  <c r="M388" i="1"/>
  <c r="O469" i="1"/>
  <c r="A469" i="1"/>
  <c r="M469" i="1"/>
  <c r="A588" i="1"/>
  <c r="O487" i="1"/>
  <c r="A487" i="1"/>
  <c r="A174" i="1"/>
  <c r="A347" i="1"/>
  <c r="O582" i="1"/>
  <c r="M582" i="1"/>
  <c r="O207" i="1"/>
  <c r="M207" i="1"/>
  <c r="A207" i="1"/>
  <c r="A448" i="1"/>
  <c r="A31" i="1"/>
  <c r="A624" i="1"/>
  <c r="O29" i="1"/>
  <c r="M29" i="1"/>
  <c r="A29" i="1"/>
  <c r="M28" i="1"/>
  <c r="O26" i="1"/>
  <c r="M26" i="1"/>
  <c r="O565" i="1"/>
  <c r="A565" i="1"/>
  <c r="O86" i="1"/>
  <c r="A86" i="1"/>
  <c r="O439" i="1"/>
  <c r="A439" i="1"/>
  <c r="O125" i="1"/>
  <c r="A125" i="1"/>
  <c r="O401" i="1"/>
  <c r="A401" i="1"/>
  <c r="M401" i="1"/>
  <c r="O611" i="1"/>
  <c r="M611" i="1"/>
  <c r="A611" i="1"/>
  <c r="O91" i="1"/>
  <c r="A91" i="1"/>
  <c r="O198" i="1"/>
  <c r="A198" i="1"/>
  <c r="O90" i="1"/>
  <c r="M90" i="1"/>
  <c r="A90" i="1"/>
  <c r="O268" i="1"/>
  <c r="A268" i="1"/>
  <c r="O267" i="1"/>
  <c r="M267" i="1"/>
  <c r="O681" i="1"/>
  <c r="A681" i="1"/>
  <c r="O515" i="1"/>
  <c r="M515" i="1"/>
  <c r="A515" i="1"/>
  <c r="O193" i="1"/>
  <c r="M193" i="1"/>
  <c r="A193" i="1"/>
  <c r="O511" i="1"/>
  <c r="A511" i="1"/>
  <c r="O19" i="1"/>
  <c r="M19" i="1"/>
  <c r="A19" i="1"/>
  <c r="O231" i="1"/>
  <c r="A231" i="1"/>
  <c r="O695" i="1"/>
  <c r="M695" i="1"/>
  <c r="O34" i="1"/>
  <c r="M34" i="1"/>
  <c r="O417" i="1"/>
  <c r="M417" i="1"/>
  <c r="O576" i="1"/>
  <c r="M576" i="1"/>
  <c r="O571" i="1"/>
  <c r="M571" i="1"/>
  <c r="A571" i="1"/>
  <c r="O131" i="1"/>
  <c r="M131" i="1"/>
  <c r="A131" i="1"/>
  <c r="O443" i="1"/>
  <c r="A443" i="1"/>
  <c r="O618" i="1"/>
  <c r="M618" i="1"/>
  <c r="O562" i="1"/>
  <c r="A562" i="1"/>
  <c r="O519" i="1"/>
  <c r="A519" i="1"/>
  <c r="O550" i="1"/>
  <c r="M550" i="1"/>
  <c r="A550" i="1"/>
  <c r="O77" i="1"/>
  <c r="A77" i="1"/>
  <c r="M77" i="1"/>
  <c r="O604" i="1"/>
  <c r="M604" i="1"/>
  <c r="A604" i="1"/>
  <c r="O58" i="1"/>
  <c r="A58" i="1"/>
  <c r="O311" i="1"/>
  <c r="M311" i="1"/>
  <c r="O209" i="1"/>
  <c r="A209" i="1"/>
  <c r="O421" i="1"/>
  <c r="M421" i="1"/>
  <c r="O450" i="1"/>
  <c r="M450" i="1"/>
  <c r="A450" i="1"/>
  <c r="O170" i="1"/>
  <c r="M170" i="1"/>
  <c r="O167" i="1"/>
  <c r="M167" i="1"/>
  <c r="A167" i="1"/>
  <c r="O337" i="1"/>
  <c r="M337" i="1"/>
  <c r="A337" i="1"/>
  <c r="O437" i="1"/>
  <c r="A437" i="1"/>
  <c r="O514" i="1"/>
  <c r="A514" i="1"/>
  <c r="O124" i="1"/>
  <c r="A124" i="1"/>
  <c r="O674" i="1"/>
  <c r="A674" i="1"/>
  <c r="M674" i="1"/>
  <c r="O74" i="1"/>
  <c r="M74" i="1"/>
  <c r="A74" i="1"/>
  <c r="O378" i="1"/>
  <c r="M378" i="1"/>
  <c r="A378" i="1"/>
  <c r="O485" i="1"/>
  <c r="M485" i="1"/>
  <c r="O271" i="1"/>
  <c r="A271" i="1"/>
  <c r="O25" i="1"/>
  <c r="M25" i="1"/>
  <c r="O483" i="1"/>
  <c r="M483" i="1"/>
  <c r="A483" i="1"/>
  <c r="O675" i="1"/>
  <c r="M675" i="1"/>
  <c r="O435" i="1"/>
  <c r="A435" i="1"/>
  <c r="M435" i="1"/>
  <c r="O332" i="1"/>
  <c r="A332" i="1"/>
  <c r="O554" i="1"/>
  <c r="A554" i="1"/>
  <c r="O230" i="1"/>
  <c r="A230" i="1"/>
  <c r="M230" i="1"/>
  <c r="O168" i="1"/>
  <c r="A168" i="1"/>
  <c r="O682" i="1"/>
  <c r="A682" i="1"/>
  <c r="M682" i="1"/>
  <c r="O610" i="1"/>
  <c r="A610" i="1"/>
  <c r="M610" i="1"/>
  <c r="O120" i="1"/>
  <c r="M120" i="1"/>
  <c r="A120" i="1"/>
  <c r="O114" i="1"/>
  <c r="M114" i="1"/>
  <c r="A114" i="1"/>
  <c r="M87" i="1"/>
  <c r="M561" i="1"/>
  <c r="M409" i="1"/>
  <c r="O408" i="1"/>
  <c r="M408" i="1"/>
  <c r="O233" i="1"/>
  <c r="M233" i="1"/>
  <c r="A233" i="1"/>
  <c r="O475" i="1"/>
  <c r="M475" i="1"/>
  <c r="A475" i="1"/>
  <c r="O392" i="1"/>
  <c r="A392" i="1"/>
  <c r="O609" i="1"/>
  <c r="M609" i="1"/>
  <c r="O188" i="1"/>
  <c r="M188" i="1"/>
  <c r="O67" i="1"/>
  <c r="M67" i="1"/>
  <c r="A67" i="1"/>
  <c r="O431" i="1"/>
  <c r="M431" i="1"/>
  <c r="A431" i="1"/>
  <c r="O13" i="1"/>
  <c r="M13" i="1"/>
  <c r="A13" i="1"/>
  <c r="O321" i="1"/>
  <c r="M321" i="1"/>
  <c r="A321" i="1"/>
  <c r="O557" i="1"/>
  <c r="M557" i="1"/>
  <c r="A557" i="1"/>
  <c r="O678" i="1"/>
  <c r="M678" i="1"/>
  <c r="O555" i="1"/>
  <c r="A555" i="1"/>
  <c r="O81" i="1"/>
  <c r="M81" i="1"/>
  <c r="O404" i="1"/>
  <c r="A404" i="1"/>
  <c r="O478" i="1"/>
  <c r="A478" i="1"/>
  <c r="O156" i="1"/>
  <c r="A156" i="1"/>
  <c r="O70" i="1"/>
  <c r="M70" i="1"/>
  <c r="A70" i="1"/>
  <c r="O152" i="1"/>
  <c r="M152" i="1"/>
  <c r="A152" i="1"/>
  <c r="O56" i="1"/>
  <c r="M56" i="1"/>
  <c r="A56" i="1"/>
  <c r="O293" i="1"/>
  <c r="M293" i="1"/>
  <c r="A293" i="1"/>
  <c r="O464" i="1"/>
  <c r="M464" i="1"/>
  <c r="A464" i="1"/>
  <c r="O536" i="1"/>
  <c r="M536" i="1"/>
  <c r="A536" i="1"/>
  <c r="A617" i="1"/>
  <c r="A520" i="1"/>
  <c r="A127" i="1"/>
  <c r="A680" i="1"/>
  <c r="O24" i="1"/>
  <c r="A24" i="1"/>
  <c r="A614" i="1"/>
  <c r="O335" i="1"/>
  <c r="M335" i="1"/>
  <c r="O406" i="1"/>
  <c r="A406" i="1"/>
  <c r="O300" i="1"/>
  <c r="A300" i="1"/>
  <c r="O394" i="1"/>
  <c r="M394" i="1"/>
  <c r="A394" i="1"/>
  <c r="O434" i="1"/>
  <c r="M434" i="1"/>
  <c r="O508" i="1"/>
  <c r="M508" i="1"/>
  <c r="A508" i="1"/>
  <c r="O472" i="1"/>
  <c r="M472" i="1"/>
  <c r="A472" i="1"/>
  <c r="O76" i="1"/>
  <c r="M76" i="1"/>
  <c r="A76" i="1"/>
  <c r="O387" i="1"/>
  <c r="M387" i="1"/>
  <c r="A387" i="1"/>
  <c r="O72" i="1"/>
  <c r="M72" i="1"/>
  <c r="A72" i="1"/>
  <c r="O667" i="1"/>
  <c r="M667" i="1"/>
  <c r="A667" i="1"/>
  <c r="O468" i="1"/>
  <c r="M468" i="1"/>
  <c r="O224" i="1"/>
  <c r="M224" i="1"/>
  <c r="A224" i="1"/>
  <c r="O660" i="1"/>
  <c r="M660" i="1"/>
  <c r="A660" i="1"/>
  <c r="O543" i="1"/>
  <c r="M543" i="1"/>
  <c r="A543" i="1"/>
  <c r="O426" i="1"/>
  <c r="A426" i="1"/>
  <c r="M426" i="1"/>
  <c r="M617" i="1"/>
  <c r="M520" i="1"/>
  <c r="M127" i="1"/>
  <c r="M680" i="1"/>
  <c r="O235" i="1"/>
  <c r="A235" i="1"/>
  <c r="M614" i="1"/>
  <c r="O612" i="1"/>
  <c r="A612" i="1"/>
  <c r="O677" i="1"/>
  <c r="A677" i="1"/>
  <c r="O513" i="1"/>
  <c r="M513" i="1"/>
  <c r="A513" i="1"/>
  <c r="O470" i="1"/>
  <c r="M470" i="1"/>
  <c r="A470" i="1"/>
  <c r="O61" i="1"/>
  <c r="M61" i="1"/>
  <c r="A61" i="1"/>
  <c r="O597" i="1"/>
  <c r="A597" i="1"/>
  <c r="M597" i="1"/>
  <c r="O338" i="1"/>
  <c r="M338" i="1"/>
  <c r="O336" i="1"/>
  <c r="A336" i="1"/>
  <c r="O165" i="1"/>
  <c r="M165" i="1"/>
  <c r="A165" i="1"/>
  <c r="O436" i="1"/>
  <c r="M436" i="1"/>
  <c r="A436" i="1"/>
  <c r="O477" i="1"/>
  <c r="M477" i="1"/>
  <c r="A477" i="1"/>
  <c r="A433" i="1"/>
  <c r="O232" i="1"/>
  <c r="A232" i="1"/>
  <c r="O669" i="1"/>
  <c r="M669" i="1"/>
  <c r="A669" i="1"/>
  <c r="O473" i="1"/>
  <c r="A473" i="1"/>
  <c r="O15" i="1"/>
  <c r="A15" i="1"/>
  <c r="A383" i="1"/>
  <c r="O505" i="1"/>
  <c r="A505" i="1"/>
  <c r="M505" i="1"/>
  <c r="O381" i="1"/>
  <c r="M381" i="1"/>
  <c r="A381" i="1"/>
  <c r="O261" i="1"/>
  <c r="M261" i="1"/>
  <c r="A261" i="1"/>
  <c r="O16" i="1"/>
  <c r="M16" i="1"/>
  <c r="A16" i="1"/>
  <c r="O189" i="1"/>
  <c r="M189" i="1"/>
  <c r="A189" i="1"/>
  <c r="O549" i="1"/>
  <c r="M549" i="1"/>
  <c r="O75" i="1"/>
  <c r="M75" i="1"/>
  <c r="O116" i="1"/>
  <c r="M116" i="1"/>
  <c r="A116" i="1"/>
  <c r="O155" i="1"/>
  <c r="A155" i="1"/>
  <c r="O661" i="1"/>
  <c r="M661" i="1"/>
  <c r="A661" i="1"/>
  <c r="O150" i="1"/>
  <c r="M150" i="1"/>
  <c r="A150" i="1"/>
  <c r="O465" i="1"/>
  <c r="A465" i="1"/>
  <c r="O657" i="1"/>
  <c r="A657" i="1"/>
  <c r="M657" i="1"/>
  <c r="O82" i="1"/>
  <c r="M82" i="1"/>
  <c r="O262" i="1"/>
  <c r="A262" i="1"/>
  <c r="O20" i="1"/>
  <c r="M20" i="1"/>
  <c r="A20" i="1"/>
  <c r="O666" i="1"/>
  <c r="A666" i="1"/>
  <c r="M666" i="1"/>
  <c r="O324" i="1"/>
  <c r="A324" i="1"/>
  <c r="M324" i="1"/>
  <c r="O540" i="1"/>
  <c r="A540" i="1"/>
  <c r="O191" i="1"/>
  <c r="A191" i="1"/>
  <c r="O551" i="1"/>
  <c r="A551" i="1"/>
  <c r="O385" i="1"/>
  <c r="A385" i="1"/>
  <c r="O71" i="1"/>
  <c r="A71" i="1"/>
  <c r="O506" i="1"/>
  <c r="A506" i="1"/>
  <c r="A296" i="1"/>
  <c r="M263" i="1"/>
  <c r="M396" i="1"/>
  <c r="M18" i="1"/>
  <c r="M608" i="1"/>
  <c r="M298" i="1"/>
  <c r="M78" i="1"/>
  <c r="M389" i="1"/>
  <c r="M386" i="1"/>
  <c r="M606" i="1"/>
  <c r="M327" i="1"/>
  <c r="M68" i="1"/>
  <c r="M665" i="1"/>
  <c r="M63" i="1"/>
  <c r="M656" i="1"/>
  <c r="O11" i="1"/>
  <c r="M11" i="1"/>
  <c r="A11" i="1"/>
  <c r="A379" i="1"/>
  <c r="O252" i="1"/>
  <c r="A252" i="1"/>
  <c r="M252" i="1"/>
  <c r="M66" i="1"/>
  <c r="M260" i="1"/>
  <c r="M603" i="1"/>
  <c r="M154" i="1"/>
  <c r="O64" i="1"/>
  <c r="M64" i="1"/>
  <c r="O547" i="1"/>
  <c r="A547" i="1"/>
  <c r="M658" i="1"/>
  <c r="O294" i="1"/>
  <c r="A294" i="1"/>
  <c r="M258" i="1"/>
  <c r="O183" i="1"/>
  <c r="M183" i="1"/>
  <c r="A183" i="1"/>
  <c r="O292" i="1"/>
  <c r="A292" i="1"/>
  <c r="O54" i="1"/>
  <c r="A54" i="1"/>
  <c r="O653" i="1"/>
  <c r="M653" i="1"/>
  <c r="A653" i="1"/>
  <c r="O322" i="1"/>
  <c r="A322" i="1"/>
  <c r="O375" i="1"/>
  <c r="M375" i="1"/>
  <c r="A375" i="1"/>
  <c r="O602" i="1"/>
  <c r="A602" i="1"/>
  <c r="O634" i="1"/>
  <c r="M634" i="1"/>
  <c r="A634" i="1"/>
  <c r="A398" i="1"/>
  <c r="A480" i="1"/>
  <c r="A333" i="1"/>
  <c r="A510" i="1"/>
  <c r="A160" i="1"/>
  <c r="A121" i="1"/>
  <c r="A330" i="1"/>
  <c r="A391" i="1"/>
  <c r="A607" i="1"/>
  <c r="A73" i="1"/>
  <c r="O297" i="1"/>
  <c r="M297" i="1"/>
  <c r="A69" i="1"/>
  <c r="O187" i="1"/>
  <c r="A187" i="1"/>
  <c r="A664" i="1"/>
  <c r="M115" i="1"/>
  <c r="A432" i="1"/>
  <c r="M382" i="1"/>
  <c r="M14" i="1"/>
  <c r="N22" i="6" s="1"/>
  <c r="R22" i="6" s="1"/>
  <c r="S22" i="6" s="1"/>
  <c r="O60" i="1"/>
  <c r="A60" i="1"/>
  <c r="M430" i="1"/>
  <c r="O376" i="1"/>
  <c r="M376" i="1"/>
  <c r="A376" i="1"/>
  <c r="O253" i="1"/>
  <c r="M253" i="1"/>
  <c r="A253" i="1"/>
  <c r="M398" i="1"/>
  <c r="M480" i="1"/>
  <c r="M333" i="1"/>
  <c r="M510" i="1"/>
  <c r="M160" i="1"/>
  <c r="M121" i="1"/>
  <c r="M330" i="1"/>
  <c r="M391" i="1"/>
  <c r="M607" i="1"/>
  <c r="M73" i="1"/>
  <c r="M69" i="1"/>
  <c r="M664" i="1"/>
  <c r="M432" i="1"/>
  <c r="O259" i="1"/>
  <c r="M259" i="1"/>
  <c r="O295" i="1"/>
  <c r="M295" i="1"/>
  <c r="A295" i="1"/>
  <c r="O221" i="1"/>
  <c r="M221" i="1"/>
  <c r="A221" i="1"/>
  <c r="O112" i="1"/>
  <c r="M112" i="1"/>
  <c r="A112" i="1"/>
  <c r="O257" i="1"/>
  <c r="M257" i="1"/>
  <c r="A257" i="1"/>
  <c r="O654" i="1"/>
  <c r="A654" i="1"/>
  <c r="O46" i="1"/>
  <c r="M46" i="1"/>
  <c r="A46" i="1"/>
  <c r="O462" i="1"/>
  <c r="M462" i="1"/>
  <c r="A462" i="1"/>
  <c r="O177" i="1"/>
  <c r="A177" i="1"/>
  <c r="O362" i="1"/>
  <c r="A362" i="1"/>
  <c r="O352" i="1"/>
  <c r="M352" i="1"/>
  <c r="A352" i="1"/>
  <c r="O3" i="1"/>
  <c r="M3" i="1"/>
  <c r="M495" i="1"/>
  <c r="M528" i="1"/>
  <c r="O107" i="1"/>
  <c r="M107" i="1"/>
  <c r="M659" i="1"/>
  <c r="M223" i="1"/>
  <c r="M323" i="1"/>
  <c r="M55" i="1"/>
  <c r="A649" i="1"/>
  <c r="A535" i="1"/>
  <c r="A373" i="1"/>
  <c r="A532" i="1"/>
  <c r="A45" i="1"/>
  <c r="M530" i="1"/>
  <c r="A219" i="1"/>
  <c r="A180" i="1"/>
  <c r="A460" i="1"/>
  <c r="A215" i="1"/>
  <c r="A423" i="1"/>
  <c r="O38" i="1"/>
  <c r="A38" i="1"/>
  <c r="O108" i="1"/>
  <c r="M108" i="1"/>
  <c r="A463" i="1"/>
  <c r="A652" i="1"/>
  <c r="M649" i="1"/>
  <c r="A254" i="1"/>
  <c r="M535" i="1"/>
  <c r="A113" i="1"/>
  <c r="M373" i="1"/>
  <c r="A320" i="1"/>
  <c r="M532" i="1"/>
  <c r="A600" i="1"/>
  <c r="M45" i="1"/>
  <c r="A109" i="1"/>
  <c r="A639" i="1"/>
  <c r="M219" i="1"/>
  <c r="A529" i="1"/>
  <c r="A218" i="1"/>
  <c r="A5" i="1"/>
  <c r="M180" i="1"/>
  <c r="A284" i="1"/>
  <c r="M460" i="1"/>
  <c r="M215" i="1"/>
  <c r="M423" i="1"/>
  <c r="A356" i="1"/>
  <c r="O632" i="1"/>
  <c r="A632" i="1"/>
  <c r="O214" i="1"/>
  <c r="M214" i="1"/>
  <c r="O357" i="1"/>
  <c r="M357" i="1"/>
  <c r="M356" i="1"/>
  <c r="M255" i="1"/>
  <c r="M650" i="1"/>
  <c r="M499" i="1"/>
  <c r="M44" i="1"/>
  <c r="M638" i="1"/>
  <c r="M461" i="1"/>
  <c r="M366" i="1"/>
  <c r="M459" i="1"/>
  <c r="M637" i="1"/>
  <c r="M4" i="1"/>
  <c r="O353" i="1"/>
  <c r="A353" i="1"/>
  <c r="N21" i="6"/>
  <c r="R21" i="6" s="1"/>
  <c r="S21" i="6" s="1"/>
  <c r="M184" i="1"/>
  <c r="A537" i="1"/>
  <c r="M53" i="1"/>
  <c r="A148" i="1"/>
  <c r="M52" i="1"/>
  <c r="M50" i="1"/>
  <c r="A647" i="1"/>
  <c r="M645" i="1"/>
  <c r="M644" i="1"/>
  <c r="A48" i="1"/>
  <c r="M144" i="1"/>
  <c r="A641" i="1"/>
  <c r="A286" i="1"/>
  <c r="A42" i="1"/>
  <c r="A249" i="1"/>
  <c r="A364" i="1"/>
  <c r="A527" i="1"/>
  <c r="M647" i="1"/>
  <c r="M48" i="1"/>
  <c r="M641" i="1"/>
  <c r="M286" i="1"/>
  <c r="A496" i="1"/>
  <c r="A318" i="1"/>
  <c r="M42" i="1"/>
  <c r="A40" i="1"/>
  <c r="A39" i="1"/>
  <c r="M249" i="1"/>
  <c r="A317" i="1"/>
  <c r="A282" i="1"/>
  <c r="M364" i="1"/>
  <c r="A494" i="1"/>
  <c r="A636" i="1"/>
  <c r="A178" i="1"/>
  <c r="M527" i="1"/>
  <c r="O247" i="1"/>
  <c r="M247" i="1"/>
  <c r="A247" i="1"/>
  <c r="M496" i="1"/>
  <c r="M318" i="1"/>
  <c r="M40" i="1"/>
  <c r="M39" i="1"/>
  <c r="M317" i="1"/>
  <c r="M282" i="1"/>
  <c r="M494" i="1"/>
  <c r="M636" i="1"/>
  <c r="O360" i="1"/>
  <c r="M360" i="1"/>
  <c r="M178" i="1"/>
  <c r="O635" i="1"/>
  <c r="M635" i="1"/>
  <c r="M177" i="1"/>
  <c r="A213" i="1"/>
  <c r="M422" i="1"/>
  <c r="A212" i="1"/>
  <c r="M212" i="1"/>
  <c r="A355" i="1"/>
  <c r="A458" i="1"/>
  <c r="A2" i="1"/>
  <c r="A37" i="1"/>
  <c r="M142" i="1"/>
  <c r="AE13" i="6"/>
  <c r="AD13" i="6"/>
  <c r="G46" i="6" l="1"/>
  <c r="G47" i="6"/>
  <c r="G45" i="6"/>
  <c r="G29" i="6"/>
  <c r="G30" i="6"/>
  <c r="G28" i="6"/>
  <c r="H46" i="6" l="1"/>
  <c r="F46" i="6"/>
  <c r="H45" i="6"/>
  <c r="F45" i="6"/>
  <c r="H47" i="6"/>
  <c r="F47" i="6"/>
  <c r="F28" i="6"/>
  <c r="H28" i="6"/>
  <c r="H30" i="6"/>
  <c r="F30" i="6"/>
  <c r="H29" i="6"/>
  <c r="F29" i="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<sst xmlns="http://schemas.openxmlformats.org/spreadsheetml/2006/main" count="3070" uniqueCount="689">
  <si>
    <t>Ketentuan</t>
  </si>
  <si>
    <t>Selesaikanlah tahapan berikut ini</t>
  </si>
  <si>
    <t>-</t>
  </si>
  <si>
    <r>
      <t xml:space="preserve">Buatlah </t>
    </r>
    <r>
      <rPr>
        <b/>
        <sz val="10"/>
        <color rgb="FF000000"/>
        <rFont val="Aptos Narrow"/>
        <scheme val="minor"/>
      </rPr>
      <t>Order Code</t>
    </r>
    <r>
      <rPr>
        <sz val="10"/>
        <color rgb="FF000000"/>
        <rFont val="Aptos Narrow"/>
        <scheme val="minor"/>
      </rPr>
      <t xml:space="preserve"> dengan format sebagai berikut: ORD-(Origin Code)-(Segment Code)-(Order date)</t>
    </r>
  </si>
  <si>
    <r>
      <t xml:space="preserve">Format dari Order date pada </t>
    </r>
    <r>
      <rPr>
        <b/>
        <sz val="10"/>
        <color rgb="FF000000"/>
        <rFont val="Aptos Narrow"/>
        <scheme val="minor"/>
      </rPr>
      <t>Order Code</t>
    </r>
    <r>
      <rPr>
        <sz val="10"/>
        <color rgb="FF000000"/>
        <rFont val="Aptos Narrow"/>
        <scheme val="minor"/>
      </rPr>
      <t xml:space="preserve"> adalah yyyymmdd</t>
    </r>
  </si>
  <si>
    <t>Contoh</t>
  </si>
  <si>
    <t>: ORD-GER-GOV-20141201</t>
  </si>
  <si>
    <r>
      <t xml:space="preserve">Ekstrak informasi </t>
    </r>
    <r>
      <rPr>
        <b/>
        <sz val="10"/>
        <color rgb="FF000000"/>
        <rFont val="Aptos Narrow"/>
        <scheme val="minor"/>
      </rPr>
      <t>Order details</t>
    </r>
    <r>
      <rPr>
        <sz val="10"/>
        <color rgb="FF000000"/>
        <rFont val="Aptos Narrow"/>
        <scheme val="minor"/>
      </rPr>
      <t xml:space="preserve"> menjadi kolom-kolom individu</t>
    </r>
  </si>
  <si>
    <r>
      <t xml:space="preserve">Lakukan pemrosesan data dengan melengkapi informasi pada sheet </t>
    </r>
    <r>
      <rPr>
        <b/>
        <sz val="10"/>
        <color rgb="FF000000"/>
        <rFont val="Aptos Narrow"/>
        <scheme val="minor"/>
      </rPr>
      <t>Order raw</t>
    </r>
    <r>
      <rPr>
        <sz val="10"/>
        <color rgb="FF000000"/>
        <rFont val="Aptos Narrow"/>
        <scheme val="minor"/>
      </rPr>
      <t xml:space="preserve"> (lookup dan perhitungan) untuk memperoleh informasi berikut:</t>
    </r>
  </si>
  <si>
    <t>Total price</t>
  </si>
  <si>
    <t>: Selling price x qty</t>
  </si>
  <si>
    <t xml:space="preserve">Revenue </t>
  </si>
  <si>
    <t>: Total price - discount</t>
  </si>
  <si>
    <t>Gross profit</t>
  </si>
  <si>
    <t>: Revenue - Manufacturing cost</t>
  </si>
  <si>
    <t>Lakukan analisa terhadap data perjualan dari beberapa tahun tersebut</t>
  </si>
  <si>
    <t>Lakukan analisa lanjutan untuk melihat bagaimana performa tahunan keuangan perusahaan secara keseluruhan dengan mencari nilai berikut secara garis besar</t>
  </si>
  <si>
    <t>Operating profit</t>
  </si>
  <si>
    <t>: Gross profit - G&amp;A cost - Handling cost</t>
  </si>
  <si>
    <t>Net profit</t>
  </si>
  <si>
    <t>: Operating profit - tax</t>
  </si>
  <si>
    <t>Dari analisa yang dilakukan, tampilan insight dalam bentuk dashboard dengan minimal terdapat 4 chart dan 1 slicer (gunakan pivot table agar lebih mudah)</t>
  </si>
  <si>
    <t>Sajikan data dengan baik dan lakukan presentasi terhadap hasil dari analisa yang dilakukan</t>
  </si>
  <si>
    <t>Anda bebas menambahkan parameter lain jika memang diperlukan untuk memperoleh hasil analisa yang diinginkan</t>
  </si>
  <si>
    <t>Informasi Tambahan</t>
  </si>
  <si>
    <t>Nama negara</t>
  </si>
  <si>
    <t>Kode negara</t>
  </si>
  <si>
    <t>Canada</t>
  </si>
  <si>
    <t>CND</t>
  </si>
  <si>
    <t>Germany</t>
  </si>
  <si>
    <t>GER</t>
  </si>
  <si>
    <t>France</t>
  </si>
  <si>
    <t>FRA</t>
  </si>
  <si>
    <t>Mexico</t>
  </si>
  <si>
    <t>MXC</t>
  </si>
  <si>
    <t>United States of America</t>
  </si>
  <si>
    <t>USA</t>
  </si>
  <si>
    <t>Nama segmen</t>
  </si>
  <si>
    <t>Kode segmen</t>
  </si>
  <si>
    <t>Government</t>
  </si>
  <si>
    <t>GOV</t>
  </si>
  <si>
    <t>Midmarket</t>
  </si>
  <si>
    <t>MDM</t>
  </si>
  <si>
    <t>Channel Partners</t>
  </si>
  <si>
    <t>CPR</t>
  </si>
  <si>
    <t>Enterprise</t>
  </si>
  <si>
    <t>ENT</t>
  </si>
  <si>
    <t>Small Business</t>
  </si>
  <si>
    <t>SMB</t>
  </si>
  <si>
    <t>Definisi kolom</t>
  </si>
  <si>
    <t>Nama kolom</t>
  </si>
  <si>
    <t>Keterangan</t>
  </si>
  <si>
    <t>Order ID</t>
  </si>
  <si>
    <t>Nomor order</t>
  </si>
  <si>
    <t>Order details</t>
  </si>
  <si>
    <t>Informasi order</t>
  </si>
  <si>
    <t>Country origin</t>
  </si>
  <si>
    <t>Negara asal pembeli</t>
  </si>
  <si>
    <t>Buyer segment</t>
  </si>
  <si>
    <t>Jenis segmen pembeli</t>
  </si>
  <si>
    <t>Product name</t>
  </si>
  <si>
    <t>Nama produk</t>
  </si>
  <si>
    <t>Qty sold</t>
  </si>
  <si>
    <t>Jumlah barang terjual</t>
  </si>
  <si>
    <t>Discount %</t>
  </si>
  <si>
    <t>Besar diskon yang diberikan</t>
  </si>
  <si>
    <t>Order date</t>
  </si>
  <si>
    <t>Tanggal pesanan/order</t>
  </si>
  <si>
    <t>Selling Price</t>
  </si>
  <si>
    <t>Total Price</t>
  </si>
  <si>
    <t>Revenue</t>
  </si>
  <si>
    <t>Gross Profit</t>
  </si>
  <si>
    <t>Order Year</t>
  </si>
  <si>
    <t>Discount Tier</t>
  </si>
  <si>
    <t>{"type": "buyerDetails", "info": ["origin": "France", "segment": "Midmarket", "date": "1", "month": "9", "year": "2013", "units": "549"]}</t>
  </si>
  <si>
    <t>Paseo</t>
  </si>
  <si>
    <t>{"type": "buyerDetails", "info": ["origin": "Mexico", "segment": "Small Business", "date": "1", "month": "9", "year": "2013", "units": "788"]}</t>
  </si>
  <si>
    <t>{"type": "buyerDetails", "info": ["origin": "France", "segment": "Government", "date": "1", "month": "9", "year": "2013", "units": "1527"]}</t>
  </si>
  <si>
    <t>VTT</t>
  </si>
  <si>
    <t>{"type": "buyerDetails", "info": ["origin": "United States of America", "segment": "Enterprise", "date": "1", "month": "9", "year": "2013", "units": "330"]}</t>
  </si>
  <si>
    <t>Carretera</t>
  </si>
  <si>
    <t>{"type": "buyerDetails", "info": ["origin": "United States of America", "segment": "Small Business", "date": "1", "month": "9", "year": "2013", "units": "2498"]}</t>
  </si>
  <si>
    <t>Montana</t>
  </si>
  <si>
    <t>{"type": "buyerDetails", "info": ["origin": "United States of America", "segment": "Channel Partners", "date": "1", "month": "9", "year": "2013", "units": "1989"]}</t>
  </si>
  <si>
    <t>Amarilla</t>
  </si>
  <si>
    <t>{"type": "buyerDetails", "info": ["origin": "Germany", "segment": "Government", "date": "1", "month": "9", "year": "2013", "units": "1797"]}</t>
  </si>
  <si>
    <t>{"type": "buyerDetails", "info": ["origin": "Mexico", "segment": "Government", "date": "1", "month": "9", "year": "2013", "units": "1760"]}</t>
  </si>
  <si>
    <t>{"type": "buyerDetails", "info": ["origin": "United States of America", "segment": "Government", "date": "1", "month": "9", "year": "2013", "units": "736"]}</t>
  </si>
  <si>
    <t>Velo</t>
  </si>
  <si>
    <t>{"type": "buyerDetails", "info": ["origin": "United States of America", "segment": "Government", "date": "1", "month": "9", "year": "2013", "units": "349"]}</t>
  </si>
  <si>
    <t>{"type": "buyerDetails", "info": ["origin": "Canada", "segment": "Government", "date": "1", "month": "9", "year": "2013", "units": "2646"]}</t>
  </si>
  <si>
    <t>{"type": "buyerDetails", "info": ["origin": "Canada", "segment": "Government", "date": "1", "month": "9", "year": "2013", "units": "2349"]}</t>
  </si>
  <si>
    <t>{"type": "buyerDetails", "info": ["origin": "Mexico", "segment": "Government", "date": "1", "month": "9", "year": "2013", "units": "720"]}</t>
  </si>
  <si>
    <t>{"type": "buyerDetails", "info": ["origin": "France", "segment": "Government", "date": "1", "month": "9", "year": "2013", "units": "1031"]}</t>
  </si>
  <si>
    <t>{"type": "buyerDetails", "info": ["origin": "Mexico", "segment": "Government", "date": "1", "month": "9", "year": "2013", "units": "1834"]}</t>
  </si>
  <si>
    <t>{"type": "buyerDetails", "info": ["origin": "Germany", "segment": "Channel Partners", "date": "1", "month": "9", "year": "2013", "units": "2215"]}</t>
  </si>
  <si>
    <t>{"type": "buyerDetails", "info": ["origin": "Germany", "segment": "Small Business", "date": "1", "month": "9", "year": "2013", "units": "1123"]}</t>
  </si>
  <si>
    <t>{"type": "buyerDetails", "info": ["origin": "United States of America", "segment": "Midmarket", "date": "1", "month": "9", "year": "2013", "units": "2931"]}</t>
  </si>
  <si>
    <t>{"type": "buyerDetails", "info": ["origin": "Germany", "segment": "Enterprise", "date": "1", "month": "9", "year": "2013", "units": "994"]}</t>
  </si>
  <si>
    <t>{"type": "buyerDetails", "info": ["origin": "Canada", "segment": "Small Business", "date": "1", "month": "9", "year": "2013", "units": "1283"]}</t>
  </si>
  <si>
    <t>{"type": "buyerDetails", "info": ["origin": "Germany", "segment": "Government", "date": "1", "month": "9", "year": "2013", "units": "2409"]}</t>
  </si>
  <si>
    <t>{"type": "buyerDetails", "info": ["origin": "France", "segment": "Small Business", "date": "1", "month": "9", "year": "2013", "units": "322"]}</t>
  </si>
  <si>
    <t>{"type": "buyerDetails", "info": ["origin": "France", "segment": "Channel Partners", "date": "1", "month": "9", "year": "2013", "units": "2234"]}</t>
  </si>
  <si>
    <t>{"type": "buyerDetails", "info": ["origin": "Mexico", "segment": "Channel Partners", "date": "1", "month": "9", "year": "2013", "units": "1005"]}</t>
  </si>
  <si>
    <t>{"type": "buyerDetails", "info": ["origin": "Mexico", "segment": "Midmarket", "date": "1", "month": "9", "year": "2013", "units": "655"]}</t>
  </si>
  <si>
    <t>{"type": "buyerDetails", "info": ["origin": "Mexico", "segment": "Enterprise", "date": "1", "month": "9", "year": "2013", "units": "947"]}</t>
  </si>
  <si>
    <t>{"type": "buyerDetails", "info": ["origin": "France", "segment": "Government", "date": "1", "month": "9", "year": "2013", "units": "2805"]}</t>
  </si>
  <si>
    <t>{"type": "buyerDetails", "info": ["origin": "United States of America", "segment": "Government", "date": "1", "month": "9", "year": "2013", "units": "380"]}</t>
  </si>
  <si>
    <t>{"type": "buyerDetails", "info": ["origin": "Canada", "segment": "Government", "date": "1", "month": "9", "year": "2013", "units": "623"]}</t>
  </si>
  <si>
    <t>{"type": "buyerDetails", "info": ["origin": "Canada", "segment": "Enterprise", "date": "1", "month": "9", "year": "2013", "units": "2416"]}</t>
  </si>
  <si>
    <t>{"type": "buyerDetails", "info": ["origin": "Canada", "segment": "Channel Partners", "date": "1", "month": "9", "year": "2013", "units": "2761"]}</t>
  </si>
  <si>
    <t>{"type": "buyerDetails", "info": ["origin": "Germany", "segment": "Government", "date": "1", "month": "9", "year": "2013", "units": "442"]}</t>
  </si>
  <si>
    <t>{"type": "buyerDetails", "info": ["origin": "Germany", "segment": "Midmarket", "date": "1", "month": "9", "year": "2013", "units": "660"]}</t>
  </si>
  <si>
    <t>{"type": "buyerDetails", "info": ["origin": "France", "segment": "Enterprise", "date": "1", "month": "9", "year": "2013", "units": "1023"]}</t>
  </si>
  <si>
    <t>{"type": "buyerDetails", "info": ["origin": "Canada", "segment": "Midmarket", "date": "1", "month": "9", "year": "2013", "units": "2470"]}</t>
  </si>
  <si>
    <t>{"type": "buyerDetails", "info": ["origin": "Canada", "segment": "Enterprise", "date": "1", "month": "10", "year": "2013", "units": "345"]}</t>
  </si>
  <si>
    <t>{"type": "buyerDetails", "info": ["origin": "United States of America", "segment": "Enterprise", "date": "1", "month": "10", "year": "2013", "units": "663"]}</t>
  </si>
  <si>
    <t>{"type": "buyerDetails", "info": ["origin": "Germany", "segment": "Channel Partners", "date": "1", "month": "10", "year": "2013", "units": "766"]}</t>
  </si>
  <si>
    <t>{"type": "buyerDetails", "info": ["origin": "Mexico", "segment": "Small Business", "date": "1", "month": "10", "year": "2013", "units": "494"]}</t>
  </si>
  <si>
    <t>{"type": "buyerDetails", "info": ["origin": "Germany", "segment": "Small Business", "date": "1", "month": "10", "year": "2013", "units": "214"]}</t>
  </si>
  <si>
    <t>{"type": "buyerDetails", "info": ["origin": "Germany", "segment": "Enterprise", "date": "1", "month": "10", "year": "2013", "units": "809"]}</t>
  </si>
  <si>
    <t>{"type": "buyerDetails", "info": ["origin": "Mexico", "segment": "Enterprise", "date": "1", "month": "10", "year": "2013", "units": "2145"]}</t>
  </si>
  <si>
    <t>{"type": "buyerDetails", "info": ["origin": "Germany", "segment": "Government", "date": "1", "month": "10", "year": "2013", "units": "2966"]}</t>
  </si>
  <si>
    <t>{"type": "buyerDetails", "info": ["origin": "Germany", "segment": "Midmarket", "date": "1", "month": "10", "year": "2013", "units": "1945"]}</t>
  </si>
  <si>
    <t>{"type": "buyerDetails", "info": ["origin": "United States of America", "segment": "Midmarket", "date": "1", "month": "10", "year": "2013", "units": "671"]}</t>
  </si>
  <si>
    <t>{"type": "buyerDetails", "info": ["origin": "Mexico", "segment": "Midmarket", "date": "1", "month": "10", "year": "2013", "units": "1514"]}</t>
  </si>
  <si>
    <t>{"type": "buyerDetails", "info": ["origin": "Canada", "segment": "Government", "date": "1", "month": "10", "year": "2013", "units": "2851"]}</t>
  </si>
  <si>
    <t>{"type": "buyerDetails", "info": ["origin": "Germany", "segment": "Government", "date": "1", "month": "10", "year": "2013", "units": "1159"]}</t>
  </si>
  <si>
    <t>{"type": "buyerDetails", "info": ["origin": "France", "segment": "Enterprise", "date": "1", "month": "10", "year": "2013", "units": "704"]}</t>
  </si>
  <si>
    <t>{"type": "buyerDetails", "info": ["origin": "Canada", "segment": "Government", "date": "1", "month": "10", "year": "2013", "units": "1228"]}</t>
  </si>
  <si>
    <t>{"type": "buyerDetails", "info": ["origin": "Canada", "segment": "Government", "date": "1", "month": "10", "year": "2013", "units": "1389"]}</t>
  </si>
  <si>
    <t>{"type": "buyerDetails", "info": ["origin": "United States of America", "segment": "Government", "date": "1", "month": "10", "year": "2013", "units": "727"]}</t>
  </si>
  <si>
    <t>{"type": "buyerDetails", "info": ["origin": "France", "segment": "Government", "date": "1", "month": "10", "year": "2013", "units": "1403"]}</t>
  </si>
  <si>
    <t>{"type": "buyerDetails", "info": ["origin": "Canada", "segment": "Channel Partners", "date": "1", "month": "10", "year": "2013", "units": "2299"]}</t>
  </si>
  <si>
    <t>{"type": "buyerDetails", "info": ["origin": "France", "segment": "Small Business", "date": "1", "month": "10", "year": "2013", "units": "1221"]}</t>
  </si>
  <si>
    <t>{"type": "buyerDetails", "info": ["origin": "France", "segment": "Government", "date": "1", "month": "10", "year": "2013", "units": "2076"]}</t>
  </si>
  <si>
    <t>{"type": "buyerDetails", "info": ["origin": "France", "segment": "Government", "date": "1", "month": "10", "year": "2013", "units": "1757"]}</t>
  </si>
  <si>
    <t>{"type": "buyerDetails", "info": ["origin": "Mexico", "segment": "Channel Partners", "date": "1", "month": "10", "year": "2013", "units": "367"]}</t>
  </si>
  <si>
    <t>{"type": "buyerDetails", "info": ["origin": "United States of America", "segment": "Channel Partners", "date": "1", "month": "10", "year": "2013", "units": "386"]}</t>
  </si>
  <si>
    <t>{"type": "buyerDetails", "info": ["origin": "France", "segment": "Midmarket", "date": "1", "month": "10", "year": "2013", "units": "2167"]}</t>
  </si>
  <si>
    <t>{"type": "buyerDetails", "info": ["origin": "United States of America", "segment": "Small Business", "date": "1", "month": "10", "year": "2013", "units": "2294"]}</t>
  </si>
  <si>
    <t>{"type": "buyerDetails", "info": ["origin": "France", "segment": "Channel Partners", "date": "1", "month": "10", "year": "2013", "units": "1198"]}</t>
  </si>
  <si>
    <t>{"type": "buyerDetails", "info": ["origin": "Mexico", "segment": "Government", "date": "1", "month": "10", "year": "2013", "units": "344"]}</t>
  </si>
  <si>
    <t>{"type": "buyerDetails", "info": ["origin": "Germany", "segment": "Government", "date": "1", "month": "10", "year": "2013", "units": "2992"]}</t>
  </si>
  <si>
    <t>{"type": "buyerDetails", "info": ["origin": "Mexico", "segment": "Government", "date": "1", "month": "10", "year": "2013", "units": "1715"]}</t>
  </si>
  <si>
    <t>{"type": "buyerDetails", "info": ["origin": "United States of America", "segment": "Government", "date": "1", "month": "10", "year": "2013", "units": "2996"]}</t>
  </si>
  <si>
    <t>{"type": "buyerDetails", "info": ["origin": "Canada", "segment": "Small Business", "date": "1", "month": "10", "year": "2013", "units": "269"]}</t>
  </si>
  <si>
    <t>{"type": "buyerDetails", "info": ["origin": "Canada", "segment": "Midmarket", "date": "1", "month": "10", "year": "2013", "units": "1743"]}</t>
  </si>
  <si>
    <t>{"type": "buyerDetails", "info": ["origin": "Mexico", "segment": "Government", "date": "1", "month": "10", "year": "2013", "units": "1727"]}</t>
  </si>
  <si>
    <t>{"type": "buyerDetails", "info": ["origin": "United States of America", "segment": "Government", "date": "1", "month": "10", "year": "2013", "units": "267"]}</t>
  </si>
  <si>
    <t>{"type": "buyerDetails", "info": ["origin": "United States of America", "segment": "Channel Partners", "date": "1", "month": "11", "year": "2013", "units": "912"]}</t>
  </si>
  <si>
    <t>{"type": "buyerDetails", "info": ["origin": "Canada", "segment": "Government", "date": "1", "month": "11", "year": "2013", "units": "1725"]}</t>
  </si>
  <si>
    <t>{"type": "buyerDetails", "info": ["origin": "France", "segment": "Midmarket", "date": "1", "month": "11", "year": "2013", "units": "321"]}</t>
  </si>
  <si>
    <t>{"type": "buyerDetails", "info": ["origin": "Canada", "segment": "Government", "date": "1", "month": "11", "year": "2013", "units": "2092"]}</t>
  </si>
  <si>
    <t>{"type": "buyerDetails", "info": ["origin": "Mexico", "segment": "Enterprise", "date": "1", "month": "11", "year": "2013", "units": "1660"]}</t>
  </si>
  <si>
    <t>{"type": "buyerDetails", "info": ["origin": "France", "segment": "Channel Partners", "date": "1", "month": "11", "year": "2013", "units": "1785"]}</t>
  </si>
  <si>
    <t>{"type": "buyerDetails", "info": ["origin": "France", "segment": "Government", "date": "1", "month": "11", "year": "2013", "units": "2145"]}</t>
  </si>
  <si>
    <t>{"type": "buyerDetails", "info": ["origin": "Germany", "segment": "Government", "date": "1", "month": "11", "year": "2013", "units": "1016"]}</t>
  </si>
  <si>
    <t>{"type": "buyerDetails", "info": ["origin": "United States of America", "segment": "Government", "date": "1", "month": "11", "year": "2013", "units": "1265"]}</t>
  </si>
  <si>
    <t>{"type": "buyerDetails", "info": ["origin": "Germany", "segment": "Government", "date": "1", "month": "11", "year": "2013", "units": "2297"]}</t>
  </si>
  <si>
    <t>{"type": "buyerDetails", "info": ["origin": "United States of America", "segment": "Government", "date": "1", "month": "11", "year": "2013", "units": "263"]}</t>
  </si>
  <si>
    <t>{"type": "buyerDetails", "info": ["origin": "Mexico", "segment": "Government", "date": "1", "month": "11", "year": "2013", "units": "1123"]}</t>
  </si>
  <si>
    <t>{"type": "buyerDetails", "info": ["origin": "Canada", "segment": "Small Business", "date": "1", "month": "11", "year": "2013", "units": "1404"]}</t>
  </si>
  <si>
    <t>{"type": "buyerDetails", "info": ["origin": "Germany", "segment": "Enterprise", "date": "1", "month": "11", "year": "2013", "units": "2500"]}</t>
  </si>
  <si>
    <t>{"type": "buyerDetails", "info": ["origin": "Mexico", "segment": "Channel Partners", "date": "1", "month": "11", "year": "2013", "units": "2763"]}</t>
  </si>
  <si>
    <t>{"type": "buyerDetails", "info": ["origin": "France", "segment": "Small Business", "date": "1", "month": "11", "year": "2013", "units": "386"]}</t>
  </si>
  <si>
    <t>{"type": "buyerDetails", "info": ["origin": "Germany", "segment": "Government", "date": "1", "month": "11", "year": "2013", "units": "2146"]}</t>
  </si>
  <si>
    <t>{"type": "buyerDetails", "info": ["origin": "Germany", "segment": "Channel Partners", "date": "1", "month": "11", "year": "2013", "units": "1775"]}</t>
  </si>
  <si>
    <t>{"type": "buyerDetails", "info": ["origin": "France", "segment": "Enterprise", "date": "1", "month": "11", "year": "2013", "units": "1857"]}</t>
  </si>
  <si>
    <t>{"type": "buyerDetails", "info": ["origin": "Germany", "segment": "Midmarket", "date": "1", "month": "11", "year": "2013", "units": "970"]}</t>
  </si>
  <si>
    <t>{"type": "buyerDetails", "info": ["origin": "France", "segment": "Government", "date": "1", "month": "11", "year": "2013", "units": "2682"]}</t>
  </si>
  <si>
    <t>{"type": "buyerDetails", "info": ["origin": "United States of America", "segment": "Enterprise", "date": "1", "month": "11", "year": "2013", "units": "1804"]}</t>
  </si>
  <si>
    <t>{"type": "buyerDetails", "info": ["origin": "Canada", "segment": "Midmarket", "date": "1", "month": "11", "year": "2013", "units": "1560"]}</t>
  </si>
  <si>
    <t>{"type": "buyerDetails", "info": ["origin": "Mexico", "segment": "Government", "date": "1", "month": "11", "year": "2013", "units": "2706"]}</t>
  </si>
  <si>
    <t>{"type": "buyerDetails", "info": ["origin": "Canada", "segment": "Government", "date": "1", "month": "11", "year": "2013", "units": "2935"]}</t>
  </si>
  <si>
    <t>{"type": "buyerDetails", "info": ["origin": "United States of America", "segment": "Midmarket", "date": "1", "month": "11", "year": "2013", "units": "2548"]}</t>
  </si>
  <si>
    <t>{"type": "buyerDetails", "info": ["origin": "Mexico", "segment": "Small Business", "date": "1", "month": "11", "year": "2013", "units": "2605"]}</t>
  </si>
  <si>
    <t>{"type": "buyerDetails", "info": ["origin": "France", "segment": "Government", "date": "1", "month": "11", "year": "2013", "units": "1922"]}</t>
  </si>
  <si>
    <t>{"type": "buyerDetails", "info": ["origin": "Canada", "segment": "Channel Partners", "date": "1", "month": "11", "year": "2013", "units": "2222"]}</t>
  </si>
  <si>
    <t>{"type": "buyerDetails", "info": ["origin": "Germany", "segment": "Small Business", "date": "1", "month": "11", "year": "2013", "units": "2536"]}</t>
  </si>
  <si>
    <t>{"type": "buyerDetails", "info": ["origin": "Mexico", "segment": "Midmarket", "date": "1", "month": "11", "year": "2013", "units": "1870"]}</t>
  </si>
  <si>
    <t>{"type": "buyerDetails", "info": ["origin": "United States of America", "segment": "Government", "date": "1", "month": "11", "year": "2013", "units": "2007"]}</t>
  </si>
  <si>
    <t>{"type": "buyerDetails", "info": ["origin": "Canada", "segment": "Enterprise", "date": "1", "month": "11", "year": "2013", "units": "2954"]}</t>
  </si>
  <si>
    <t>{"type": "buyerDetails", "info": ["origin": "Mexico", "segment": "Government", "date": "1", "month": "11", "year": "2013", "units": "2151"]}</t>
  </si>
  <si>
    <t>{"type": "buyerDetails", "info": ["origin": "United States of America", "segment": "Small Business", "date": "1", "month": "11", "year": "2013", "units": "2574"]}</t>
  </si>
  <si>
    <t>{"type": "buyerDetails", "info": ["origin": "Canada", "segment": "Midmarket", "date": "1", "month": "12", "year": "2013", "units": "2152"]}</t>
  </si>
  <si>
    <t>{"type": "buyerDetails", "info": ["origin": "United States of America", "segment": "Government", "date": "1", "month": "12", "year": "2013", "units": "266"]}</t>
  </si>
  <si>
    <t>{"type": "buyerDetails", "info": ["origin": "United States of America", "segment": "Midmarket", "date": "1", "month": "12", "year": "2013", "units": "1925"]}</t>
  </si>
  <si>
    <t>{"type": "buyerDetails", "info": ["origin": "United States of America", "segment": "Government", "date": "1", "month": "12", "year": "2013", "units": "2013"]}</t>
  </si>
  <si>
    <t>{"type": "buyerDetails", "info": ["origin": "Mexico", "segment": "Government", "date": "1", "month": "12", "year": "2013", "units": "544"]}</t>
  </si>
  <si>
    <t>{"type": "buyerDetails", "info": ["origin": "Mexico", "segment": "Government", "date": "1", "month": "12", "year": "2013", "units": "1940"]}</t>
  </si>
  <si>
    <t>{"type": "buyerDetails", "info": ["origin": "Canada", "segment": "Channel Partners", "date": "1", "month": "12", "year": "2013", "units": "908"]}</t>
  </si>
  <si>
    <t>{"type": "buyerDetails", "info": ["origin": "France", "segment": "Midmarket", "date": "1", "month": "12", "year": "2013", "units": "2261"]}</t>
  </si>
  <si>
    <t>{"type": "buyerDetails", "info": ["origin": "Canada", "segment": "Government", "date": "1", "month": "12", "year": "2013", "units": "1778"]}</t>
  </si>
  <si>
    <t>{"type": "buyerDetails", "info": ["origin": "Mexico", "segment": "Small Business", "date": "1", "month": "12", "year": "2013", "units": "1100"]}</t>
  </si>
  <si>
    <t>{"type": "buyerDetails", "info": ["origin": "Canada", "segment": "Government", "date": "1", "month": "12", "year": "2013", "units": "1802"]}</t>
  </si>
  <si>
    <t>{"type": "buyerDetails", "info": ["origin": "Germany", "segment": "Midmarket", "date": "1", "month": "12", "year": "2013", "units": "2116"]}</t>
  </si>
  <si>
    <t>{"type": "buyerDetails", "info": ["origin": "France", "segment": "Government", "date": "1", "month": "12", "year": "2013", "units": "2136"]}</t>
  </si>
  <si>
    <t>{"type": "buyerDetails", "info": ["origin": "France", "segment": "Government", "date": "1", "month": "12", "year": "2013", "units": "1033"]}</t>
  </si>
  <si>
    <t>{"type": "buyerDetails", "info": ["origin": "Germany", "segment": "Enterprise", "date": "1", "month": "12", "year": "2013", "units": "887"]}</t>
  </si>
  <si>
    <t>{"type": "buyerDetails", "info": ["origin": "Canada", "segment": "Small Business", "date": "1", "month": "12", "year": "2013", "units": "2436"]}</t>
  </si>
  <si>
    <t>{"type": "buyerDetails", "info": ["origin": "Germany", "segment": "Government", "date": "1", "month": "12", "year": "2013", "units": "2125"]}</t>
  </si>
  <si>
    <t>{"type": "buyerDetails", "info": ["origin": "Germany", "segment": "Government", "date": "1", "month": "12", "year": "2013", "units": "588"]}</t>
  </si>
  <si>
    <t>{"type": "buyerDetails", "info": ["origin": "United States of America", "segment": "Government", "date": "1", "month": "12", "year": "2013", "units": "1421"]}</t>
  </si>
  <si>
    <t>{"type": "buyerDetails", "info": ["origin": "Mexico", "segment": "Government", "date": "1", "month": "12", "year": "2013", "units": "1946"]}</t>
  </si>
  <si>
    <t>{"type": "buyerDetails", "info": ["origin": "United States of America", "segment": "Small Business", "date": "1", "month": "12", "year": "2013", "units": "808"]}</t>
  </si>
  <si>
    <t>{"type": "buyerDetails", "info": ["origin": "Mexico", "segment": "Channel Partners", "date": "1", "month": "12", "year": "2013", "units": "1375"]}</t>
  </si>
  <si>
    <t>{"type": "buyerDetails", "info": ["origin": "Germany", "segment": "Small Business", "date": "1", "month": "12", "year": "2013", "units": "334"]}</t>
  </si>
  <si>
    <t>{"type": "buyerDetails", "info": ["origin": "Canada", "segment": "Government", "date": "1", "month": "12", "year": "2013", "units": "1611"]}</t>
  </si>
  <si>
    <t>{"type": "buyerDetails", "info": ["origin": "France", "segment": "Channel Partners", "date": "1", "month": "12", "year": "2013", "units": "306"]}</t>
  </si>
  <si>
    <t>{"type": "buyerDetails", "info": ["origin": "France", "segment": "Enterprise", "date": "1", "month": "12", "year": "2013", "units": "1482"]}</t>
  </si>
  <si>
    <t>{"type": "buyerDetails", "info": ["origin": "Germany", "segment": "Government", "date": "1", "month": "12", "year": "2013", "units": "1870"]}</t>
  </si>
  <si>
    <t>{"type": "buyerDetails", "info": ["origin": "Canada", "segment": "Enterprise", "date": "1", "month": "12", "year": "2013", "units": "1916"]}</t>
  </si>
  <si>
    <t>{"type": "buyerDetails", "info": ["origin": "Mexico", "segment": "Midmarket", "date": "1", "month": "12", "year": "2013", "units": "380"]}</t>
  </si>
  <si>
    <t>{"type": "buyerDetails", "info": ["origin": "France", "segment": "Small Business", "date": "1", "month": "12", "year": "2013", "units": "1186"]}</t>
  </si>
  <si>
    <t>{"type": "buyerDetails", "info": ["origin": "Germany", "segment": "Channel Partners", "date": "1", "month": "12", "year": "2013", "units": "1770"]}</t>
  </si>
  <si>
    <t>{"type": "buyerDetails", "info": ["origin": "United States of America", "segment": "Channel Partners", "date": "1", "month": "12", "year": "2013", "units": "2015"]}</t>
  </si>
  <si>
    <t>{"type": "buyerDetails", "info": ["origin": "France", "segment": "Government", "date": "1", "month": "12", "year": "2013", "units": "1281"]}</t>
  </si>
  <si>
    <t>{"type": "buyerDetails", "info": ["origin": "Mexico", "segment": "Enterprise", "date": "1", "month": "12", "year": "2013", "units": "2821"]}</t>
  </si>
  <si>
    <t>{"type": "buyerDetails", "info": ["origin": "United States of America", "segment": "Enterprise", "date": "1", "month": "12", "year": "2013", "units": "2438"]}</t>
  </si>
  <si>
    <t>{"type": "buyerDetails", "info": ["origin": "Germany", "segment": "Government", "date": "1", "month": "1", "year": "2014", "units": "1321"]}</t>
  </si>
  <si>
    <t>{"type": "buyerDetails", "info": ["origin": "Canada", "segment": "Government", "date": "1", "month": "1", "year": "2014", "units": "1618"]}</t>
  </si>
  <si>
    <t>{"type": "buyerDetails", "info": ["origin": "Mexico", "segment": "Government", "date": "1", "month": "1", "year": "2014", "units": "1493"]}</t>
  </si>
  <si>
    <t>{"type": "buyerDetails", "info": ["origin": "France", "segment": "Government", "date": "1", "month": "1", "year": "2014", "units": "3945"]}</t>
  </si>
  <si>
    <t>{"type": "buyerDetails", "info": ["origin": "Germany", "segment": "Channel Partners", "date": "1", "month": "1", "year": "2014", "units": "2479"]}</t>
  </si>
  <si>
    <t>{"type": "buyerDetails", "info": ["origin": "France", "segment": "Small Business", "date": "1", "month": "1", "year": "2014", "units": "2434"]}</t>
  </si>
  <si>
    <t>{"type": "buyerDetails", "info": ["origin": "Canada", "segment": "Government", "date": "1", "month": "1", "year": "2014", "units": "4251"]}</t>
  </si>
  <si>
    <t>{"type": "buyerDetails", "info": ["origin": "Germany", "segment": "Government", "date": "1", "month": "1", "year": "2014", "units": "1372"]}</t>
  </si>
  <si>
    <t>{"type": "buyerDetails", "info": ["origin": "United States of America", "segment": "Midmarket", "date": "1", "month": "1", "year": "2014", "units": "555"]}</t>
  </si>
  <si>
    <t>{"type": "buyerDetails", "info": ["origin": "Mexico", "segment": "Midmarket", "date": "1", "month": "1", "year": "2014", "units": "2861"]}</t>
  </si>
  <si>
    <t>{"type": "buyerDetails", "info": ["origin": "France", "segment": "Government", "date": "1", "month": "1", "year": "2014", "units": "1384"]}</t>
  </si>
  <si>
    <t>{"type": "buyerDetails", "info": ["origin": "France", "segment": "Enterprise", "date": "1", "month": "1", "year": "2014", "units": "1987"]}</t>
  </si>
  <si>
    <t>{"type": "buyerDetails", "info": ["origin": "United States of America", "segment": "Government", "date": "1", "month": "1", "year": "2014", "units": "1117"]}</t>
  </si>
  <si>
    <t>{"type": "buyerDetails", "info": ["origin": "Mexico", "segment": "Channel Partners", "date": "1", "month": "1", "year": "2014", "units": "2340"]}</t>
  </si>
  <si>
    <t>{"type": "buyerDetails", "info": ["origin": "Canada", "segment": "Channel Partners", "date": "1", "month": "1", "year": "2014", "units": "3244"]}</t>
  </si>
  <si>
    <t>{"type": "buyerDetails", "info": ["origin": "Mexico", "segment": "Government", "date": "1", "month": "1", "year": "2014", "units": "2417"]}</t>
  </si>
  <si>
    <t>{"type": "buyerDetails", "info": ["origin": "Mexico", "segment": "Small Business", "date": "1", "month": "1", "year": "2014", "units": "2565"]}</t>
  </si>
  <si>
    <t>{"type": "buyerDetails", "info": ["origin": "United States of America", "segment": "Channel Partners", "date": "1", "month": "1", "year": "2014", "units": "1956"]}</t>
  </si>
  <si>
    <t>{"type": "buyerDetails", "info": ["origin": "Germany", "segment": "Midmarket", "date": "1", "month": "1", "year": "2014", "units": "681"]}</t>
  </si>
  <si>
    <t>{"type": "buyerDetails", "info": ["origin": "United States of America", "segment": "Enterprise", "date": "1", "month": "1", "year": "2014", "units": "579"]}</t>
  </si>
  <si>
    <t>{"type": "buyerDetails", "info": ["origin": "Germany", "segment": "Government", "date": "1", "month": "1", "year": "2014", "units": "766"]}</t>
  </si>
  <si>
    <t>{"type": "buyerDetails", "info": ["origin": "Canada", "segment": "Small Business", "date": "1", "month": "1", "year": "2014", "units": "873"]}</t>
  </si>
  <si>
    <t>{"type": "buyerDetails", "info": ["origin": "Mexico", "segment": "Enterprise", "date": "1", "month": "1", "year": "2014", "units": "554"]}</t>
  </si>
  <si>
    <t>{"type": "buyerDetails", "info": ["origin": "Canada", "segment": "Midmarket", "date": "1", "month": "1", "year": "2014", "units": "384"]}</t>
  </si>
  <si>
    <t>{"type": "buyerDetails", "info": ["origin": "France", "segment": "Channel Partners", "date": "1", "month": "1", "year": "2014", "units": "1734"]}</t>
  </si>
  <si>
    <t>{"type": "buyerDetails", "info": ["origin": "Mexico", "segment": "Government", "date": "1", "month": "1", "year": "2014", "units": "2629"]}</t>
  </si>
  <si>
    <t>{"type": "buyerDetails", "info": ["origin": "Germany", "segment": "Enterprise", "date": "1", "month": "1", "year": "2014", "units": "3165"]}</t>
  </si>
  <si>
    <t>{"type": "buyerDetails", "info": ["origin": "United States of America", "segment": "Small Business", "date": "1", "month": "1", "year": "2014", "units": "3495"]}</t>
  </si>
  <si>
    <t>{"type": "buyerDetails", "info": ["origin": "France", "segment": "Government", "date": "1", "month": "1", "year": "2014", "units": "2521"]}</t>
  </si>
  <si>
    <t>{"type": "buyerDetails", "info": ["origin": "Germany", "segment": "Small Business", "date": "1", "month": "1", "year": "2014", "units": "807"]}</t>
  </si>
  <si>
    <t>{"type": "buyerDetails", "info": ["origin": "Canada", "segment": "Enterprise", "date": "1", "month": "1", "year": "2014", "units": "1659"]}</t>
  </si>
  <si>
    <t>{"type": "buyerDetails", "info": ["origin": "France", "segment": "Midmarket", "date": "1", "month": "1", "year": "2014", "units": "3997"]}</t>
  </si>
  <si>
    <t>{"type": "buyerDetails", "info": ["origin": "United States of America", "segment": "Government", "date": "1", "month": "1", "year": "2014", "units": "1438"]}</t>
  </si>
  <si>
    <t>{"type": "buyerDetails", "info": ["origin": "United States of America", "segment": "Government", "date": "1", "month": "1", "year": "2014", "units": "982"]}</t>
  </si>
  <si>
    <t>{"type": "buyerDetails", "info": ["origin": "Canada", "segment": "Government", "date": "1", "month": "1", "year": "2014", "units": "2227"]}</t>
  </si>
  <si>
    <t>{"type": "buyerDetails", "info": ["origin": "Canada", "segment": "Government", "date": "1", "month": "2", "year": "2014", "units": "292"]}</t>
  </si>
  <si>
    <t>{"type": "buyerDetails", "info": ["origin": "Mexico", "segment": "Midmarket", "date": "1", "month": "2", "year": "2014", "units": "974"]}</t>
  </si>
  <si>
    <t>{"type": "buyerDetails", "info": ["origin": "Canada", "segment": "Small Business", "date": "1", "month": "2", "year": "2014", "units": "2001"]}</t>
  </si>
  <si>
    <t>{"type": "buyerDetails", "info": ["origin": "France", "segment": "Enterprise", "date": "1", "month": "2", "year": "2014", "units": "1804"]}</t>
  </si>
  <si>
    <t>{"type": "buyerDetails", "info": ["origin": "France", "segment": "Government", "date": "1", "month": "2", "year": "2014", "units": "2750"]}</t>
  </si>
  <si>
    <t>{"type": "buyerDetails", "info": ["origin": "France", "segment": "Midmarket", "date": "1", "month": "2", "year": "2014", "units": "2296"]}</t>
  </si>
  <si>
    <t>{"type": "buyerDetails", "info": ["origin": "United States of America", "segment": "Midmarket", "date": "1", "month": "2", "year": "2014", "units": "1514"]}</t>
  </si>
  <si>
    <t>{"type": "buyerDetails", "info": ["origin": "United States of America", "segment": "Channel Partners", "date": "1", "month": "2", "year": "2014", "units": "1858"]}</t>
  </si>
  <si>
    <t>{"type": "buyerDetails", "info": ["origin": "Canada", "segment": "Midmarket", "date": "1", "month": "2", "year": "2014", "units": "2363"]}</t>
  </si>
  <si>
    <t>{"type": "buyerDetails", "info": ["origin": "Germany", "segment": "Government", "date": "1", "month": "2", "year": "2014", "units": "1958"]}</t>
  </si>
  <si>
    <t>{"type": "buyerDetails", "info": ["origin": "United States of America", "segment": "Small Business", "date": "1", "month": "2", "year": "2014", "units": "2844"]}</t>
  </si>
  <si>
    <t>{"type": "buyerDetails", "info": ["origin": "Mexico", "segment": "Government", "date": "1", "month": "2", "year": "2014", "units": "1865"]}</t>
  </si>
  <si>
    <t>{"type": "buyerDetails", "info": ["origin": "France", "segment": "Government", "date": "1", "month": "2", "year": "2014", "units": "1303"]}</t>
  </si>
  <si>
    <t>{"type": "buyerDetails", "info": ["origin": "Germany", "segment": "Channel Partners", "date": "1", "month": "2", "year": "2014", "units": "1116"]}</t>
  </si>
  <si>
    <t>{"type": "buyerDetails", "info": ["origin": "France", "segment": "Channel Partners", "date": "1", "month": "2", "year": "2014", "units": "1865"]}</t>
  </si>
  <si>
    <t>{"type": "buyerDetails", "info": ["origin": "Germany", "segment": "Enterprise", "date": "1", "month": "2", "year": "2014", "units": "807"]}</t>
  </si>
  <si>
    <t>{"type": "buyerDetails", "info": ["origin": "Germany", "segment": "Government", "date": "1", "month": "2", "year": "2014", "units": "1350"]}</t>
  </si>
  <si>
    <t>{"type": "buyerDetails", "info": ["origin": "Canada", "segment": "Enterprise", "date": "1", "month": "2", "year": "2014", "units": "952"]}</t>
  </si>
  <si>
    <t>{"type": "buyerDetails", "info": ["origin": "United States of America", "segment": "Enterprise", "date": "1", "month": "2", "year": "2014", "units": "2755"]}</t>
  </si>
  <si>
    <t>{"type": "buyerDetails", "info": ["origin": "Mexico", "segment": "Channel Partners", "date": "1", "month": "2", "year": "2014", "units": "727"]}</t>
  </si>
  <si>
    <t>{"type": "buyerDetails", "info": ["origin": "France", "segment": "Small Business", "date": "1", "month": "2", "year": "2014", "units": "959"]}</t>
  </si>
  <si>
    <t>{"type": "buyerDetails", "info": ["origin": "Mexico", "segment": "Small Business", "date": "1", "month": "2", "year": "2014", "units": "2747"]}</t>
  </si>
  <si>
    <t>{"type": "buyerDetails", "info": ["origin": "Canada", "segment": "Government", "date": "1", "month": "2", "year": "2014", "units": "488"]}</t>
  </si>
  <si>
    <t>{"type": "buyerDetails", "info": ["origin": "Germany", "segment": "Small Business", "date": "1", "month": "2", "year": "2014", "units": "2659"]}</t>
  </si>
  <si>
    <t>{"type": "buyerDetails", "info": ["origin": "Canada", "segment": "Government", "date": "1", "month": "2", "year": "2014", "units": "2240"]}</t>
  </si>
  <si>
    <t>{"type": "buyerDetails", "info": ["origin": "Canada", "segment": "Channel Partners", "date": "1", "month": "2", "year": "2014", "units": "1937"]}</t>
  </si>
  <si>
    <t>{"type": "buyerDetails", "info": ["origin": "United States of America", "segment": "Government", "date": "1", "month": "2", "year": "2014", "units": "270"]}</t>
  </si>
  <si>
    <t>{"type": "buyerDetails", "info": ["origin": "United States of America", "segment": "Government", "date": "1", "month": "2", "year": "2014", "units": "1298"]}</t>
  </si>
  <si>
    <t>{"type": "buyerDetails", "info": ["origin": "United States of America", "segment": "Government", "date": "1", "month": "2", "year": "2014", "units": "2641"]}</t>
  </si>
  <si>
    <t>{"type": "buyerDetails", "info": ["origin": "Germany", "segment": "Government", "date": "1", "month": "2", "year": "2014", "units": "2708"]}</t>
  </si>
  <si>
    <t>{"type": "buyerDetails", "info": ["origin": "Germany", "segment": "Midmarket", "date": "1", "month": "2", "year": "2014", "units": "278"]}</t>
  </si>
  <si>
    <t>{"type": "buyerDetails", "info": ["origin": "France", "segment": "Government", "date": "1", "month": "2", "year": "2014", "units": "293"]}</t>
  </si>
  <si>
    <t>{"type": "buyerDetails", "info": ["origin": "Mexico", "segment": "Government", "date": "1", "month": "2", "year": "2014", "units": "260"]}</t>
  </si>
  <si>
    <t>{"type": "buyerDetails", "info": ["origin": "Mexico", "segment": "Enterprise", "date": "1", "month": "2", "year": "2014", "units": "1575"]}</t>
  </si>
  <si>
    <t>{"type": "buyerDetails", "info": ["origin": "Mexico", "segment": "Government", "date": "1", "month": "2", "year": "2014", "units": "1368"]}</t>
  </si>
  <si>
    <t>{"type": "buyerDetails", "info": ["origin": "Germany", "segment": "Midmarket", "date": "1", "month": "3", "year": "2014", "units": "921"]}</t>
  </si>
  <si>
    <t>{"type": "buyerDetails", "info": ["origin": "Germany", "segment": "Channel Partners", "date": "1", "month": "3", "year": "2014", "units": "2161"]}</t>
  </si>
  <si>
    <t>{"type": "buyerDetails", "info": ["origin": "Canada", "segment": "Government", "date": "1", "month": "3", "year": "2014", "units": "1326"]}</t>
  </si>
  <si>
    <t>{"type": "buyerDetails", "info": ["origin": "Germany", "segment": "Government", "date": "1", "month": "3", "year": "2014", "units": "263"]}</t>
  </si>
  <si>
    <t>{"type": "buyerDetails", "info": ["origin": "Mexico", "segment": "Government", "date": "1", "month": "3", "year": "2014", "units": "1210"]}</t>
  </si>
  <si>
    <t>{"type": "buyerDetails", "info": ["origin": "Mexico", "segment": "Midmarket", "date": "1", "month": "3", "year": "2014", "units": "2214"]}</t>
  </si>
  <si>
    <t>{"type": "buyerDetails", "info": ["origin": "Germany", "segment": "Small Business", "date": "1", "month": "3", "year": "2014", "units": "259"]}</t>
  </si>
  <si>
    <t>{"type": "buyerDetails", "info": ["origin": "Mexico", "segment": "Small Business", "date": "1", "month": "3", "year": "2014", "units": "1101"]}</t>
  </si>
  <si>
    <t>{"type": "buyerDetails", "info": ["origin": "Canada", "segment": "Enterprise", "date": "1", "month": "3", "year": "2014", "units": "1774"]}</t>
  </si>
  <si>
    <t>{"type": "buyerDetails", "info": ["origin": "Germany", "segment": "Enterprise", "date": "1", "month": "3", "year": "2014", "units": "795"]}</t>
  </si>
  <si>
    <t>{"type": "buyerDetails", "info": ["origin": "Canada", "segment": "Midmarket", "date": "1", "month": "3", "year": "2014", "units": "1967"]}</t>
  </si>
  <si>
    <t>{"type": "buyerDetails", "info": ["origin": "United States of America", "segment": "Channel Partners", "date": "1", "month": "3", "year": "2014", "units": "1465"]}</t>
  </si>
  <si>
    <t>{"type": "buyerDetails", "info": ["origin": "France", "segment": "Enterprise", "date": "1", "month": "3", "year": "2014", "units": "2385"]}</t>
  </si>
  <si>
    <t>{"type": "buyerDetails", "info": ["origin": "United States of America", "segment": "Enterprise", "date": "1", "month": "3", "year": "2014", "units": "2992"]}</t>
  </si>
  <si>
    <t>{"type": "buyerDetails", "info": ["origin": "United States of America", "segment": "Government", "date": "1", "month": "3", "year": "2014", "units": "1761"]}</t>
  </si>
  <si>
    <t>{"type": "buyerDetails", "info": ["origin": "Mexico", "segment": "Enterprise", "date": "1", "month": "3", "year": "2014", "units": "1114"]}</t>
  </si>
  <si>
    <t>{"type": "buyerDetails", "info": ["origin": "France", "segment": "Midmarket", "date": "1", "month": "3", "year": "2014", "units": "2501"]}</t>
  </si>
  <si>
    <t>{"type": "buyerDetails", "info": ["origin": "Canada", "segment": "Channel Partners", "date": "1", "month": "3", "year": "2014", "units": "598"]}</t>
  </si>
  <si>
    <t>{"type": "buyerDetails", "info": ["origin": "United States of America", "segment": "Government", "date": "1", "month": "3", "year": "2014", "units": "973"]}</t>
  </si>
  <si>
    <t>{"type": "buyerDetails", "info": ["origin": "France", "segment": "Channel Partners", "date": "1", "month": "3", "year": "2014", "units": "1967"]}</t>
  </si>
  <si>
    <t>{"type": "buyerDetails", "info": ["origin": "France", "segment": "Government", "date": "1", "month": "3", "year": "2014", "units": "1954"]}</t>
  </si>
  <si>
    <t>{"type": "buyerDetails", "info": ["origin": "United States of America", "segment": "Small Business", "date": "1", "month": "3", "year": "2014", "units": "2993"]}</t>
  </si>
  <si>
    <t>{"type": "buyerDetails", "info": ["origin": "United States of America", "segment": "Government", "date": "1", "month": "3", "year": "2014", "units": "1579"]}</t>
  </si>
  <si>
    <t>{"type": "buyerDetails", "info": ["origin": "Mexico", "segment": "Government", "date": "1", "month": "3", "year": "2014", "units": "1122"]}</t>
  </si>
  <si>
    <t>{"type": "buyerDetails", "info": ["origin": "Germany", "segment": "Government", "date": "1", "month": "3", "year": "2014", "units": "792"]}</t>
  </si>
  <si>
    <t>{"type": "buyerDetails", "info": ["origin": "United States of America", "segment": "Midmarket", "date": "1", "month": "3", "year": "2014", "units": "677"]}</t>
  </si>
  <si>
    <t>{"type": "buyerDetails", "info": ["origin": "France", "segment": "Government", "date": "1", "month": "3", "year": "2014", "units": "1491"]}</t>
  </si>
  <si>
    <t>{"type": "buyerDetails", "info": ["origin": "Canada", "segment": "Government", "date": "1", "month": "3", "year": "2014", "units": "923"]}</t>
  </si>
  <si>
    <t>{"type": "buyerDetails", "info": ["origin": "France", "segment": "Government", "date": "1", "month": "3", "year": "2014", "units": "1790"]}</t>
  </si>
  <si>
    <t>{"type": "buyerDetails", "info": ["origin": "Canada", "segment": "Government", "date": "1", "month": "3", "year": "2014", "units": "2428"]}</t>
  </si>
  <si>
    <t>{"type": "buyerDetails", "info": ["origin": "Mexico", "segment": "Government", "date": "1", "month": "3", "year": "2014", "units": "2903"]}</t>
  </si>
  <si>
    <t>{"type": "buyerDetails", "info": ["origin": "Canada", "segment": "Small Business", "date": "1", "month": "3", "year": "2014", "units": "888"]}</t>
  </si>
  <si>
    <t>{"type": "buyerDetails", "info": ["origin": "Germany", "segment": "Government", "date": "1", "month": "3", "year": "2014", "units": "1158"]}</t>
  </si>
  <si>
    <t>{"type": "buyerDetails", "info": ["origin": "Mexico", "segment": "Channel Partners", "date": "1", "month": "3", "year": "2014", "units": "500"]}</t>
  </si>
  <si>
    <t>{"type": "buyerDetails", "info": ["origin": "France", "segment": "Small Business", "date": "1", "month": "3", "year": "2014", "units": "2475"]}</t>
  </si>
  <si>
    <t>{"type": "buyerDetails", "info": ["origin": "Germany", "segment": "Channel Partners", "date": "1", "month": "4", "year": "2014", "units": "2838"]}</t>
  </si>
  <si>
    <t>{"type": "buyerDetails", "info": ["origin": "United States of America", "segment": "Channel Partners", "date": "1", "month": "4", "year": "2014", "units": "1953"]}</t>
  </si>
  <si>
    <t>{"type": "buyerDetails", "info": ["origin": "Germany", "segment": "Enterprise", "date": "1", "month": "4", "year": "2014", "units": "4219"]}</t>
  </si>
  <si>
    <t>{"type": "buyerDetails", "info": ["origin": "United States of America", "segment": "Small Business", "date": "1", "month": "4", "year": "2014", "units": "2301"]}</t>
  </si>
  <si>
    <t>{"type": "buyerDetails", "info": ["origin": "France", "segment": "Government", "date": "1", "month": "4", "year": "2014", "units": "3864"]}</t>
  </si>
  <si>
    <t>{"type": "buyerDetails", "info": ["origin": "United States of America", "segment": "Government", "date": "1", "month": "4", "year": "2014", "units": "4492"]}</t>
  </si>
  <si>
    <t>{"type": "buyerDetails", "info": ["origin": "Canada", "segment": "Government", "date": "1", "month": "4", "year": "2014", "units": "943"]}</t>
  </si>
  <si>
    <t>{"type": "buyerDetails", "info": ["origin": "Canada", "segment": "Enterprise", "date": "1", "month": "4", "year": "2014", "units": "742"]}</t>
  </si>
  <si>
    <t>{"type": "buyerDetails", "info": ["origin": "Germany", "segment": "Government", "date": "1", "month": "4", "year": "2014", "units": "2580"]}</t>
  </si>
  <si>
    <t>{"type": "buyerDetails", "info": ["origin": "Mexico", "segment": "Channel Partners", "date": "1", "month": "4", "year": "2014", "units": "1916"]}</t>
  </si>
  <si>
    <t>{"type": "buyerDetails", "info": ["origin": "France", "segment": "Enterprise", "date": "1", "month": "4", "year": "2014", "units": "4243"]}</t>
  </si>
  <si>
    <t>{"type": "buyerDetails", "info": ["origin": "Canada", "segment": "Government", "date": "1", "month": "4", "year": "2014", "units": "3850"]}</t>
  </si>
  <si>
    <t>{"type": "buyerDetails", "info": ["origin": "Mexico", "segment": "Enterprise", "date": "1", "month": "4", "year": "2014", "units": "1074"]}</t>
  </si>
  <si>
    <t>{"type": "buyerDetails", "info": ["origin": "Germany", "segment": "Small Business", "date": "1", "month": "4", "year": "2014", "units": "1414"]}</t>
  </si>
  <si>
    <t>{"type": "buyerDetails", "info": ["origin": "Mexico", "segment": "Small Business", "date": "1", "month": "4", "year": "2014", "units": "1607"]}</t>
  </si>
  <si>
    <t>{"type": "buyerDetails", "info": ["origin": "Mexico", "segment": "Government", "date": "1", "month": "4", "year": "2014", "units": "980"]}</t>
  </si>
  <si>
    <t>{"type": "buyerDetails", "info": ["origin": "France", "segment": "Midmarket", "date": "1", "month": "4", "year": "2014", "units": "3801"]}</t>
  </si>
  <si>
    <t>{"type": "buyerDetails", "info": ["origin": "France", "segment": "Channel Partners", "date": "1", "month": "4", "year": "2014", "units": "1738"]}</t>
  </si>
  <si>
    <t>{"type": "buyerDetails", "info": ["origin": "Germany", "segment": "Government", "date": "1", "month": "4", "year": "2014", "units": "1259"]}</t>
  </si>
  <si>
    <t>{"type": "buyerDetails", "info": ["origin": "France", "segment": "Government", "date": "1", "month": "4", "year": "2014", "units": "574"]}</t>
  </si>
  <si>
    <t>{"type": "buyerDetails", "info": ["origin": "United States of America", "segment": "Midmarket", "date": "1", "month": "4", "year": "2014", "units": "3675"]}</t>
  </si>
  <si>
    <t>{"type": "buyerDetails", "info": ["origin": "Mexico", "segment": "Midmarket", "date": "1", "month": "4", "year": "2014", "units": "2628"]}</t>
  </si>
  <si>
    <t>{"type": "buyerDetails", "info": ["origin": "Canada", "segment": "Small Business", "date": "1", "month": "4", "year": "2014", "units": "3802"]}</t>
  </si>
  <si>
    <t>{"type": "buyerDetails", "info": ["origin": "United States of America", "segment": "Government", "date": "1", "month": "4", "year": "2014", "units": "1351"]}</t>
  </si>
  <si>
    <t>{"type": "buyerDetails", "info": ["origin": "Germany", "segment": "Midmarket", "date": "1", "month": "4", "year": "2014", "units": "510"]}</t>
  </si>
  <si>
    <t>{"type": "buyerDetails", "info": ["origin": "Canada", "segment": "Channel Partners", "date": "1", "month": "4", "year": "2014", "units": "3520"]}</t>
  </si>
  <si>
    <t>{"type": "buyerDetails", "info": ["origin": "United States of America", "segment": "Enterprise", "date": "1", "month": "4", "year": "2014", "units": "3445"]}</t>
  </si>
  <si>
    <t>{"type": "buyerDetails", "info": ["origin": "France", "segment": "Government", "date": "1", "month": "4", "year": "2014", "units": "2532"]}</t>
  </si>
  <si>
    <t>{"type": "buyerDetails", "info": ["origin": "France", "segment": "Small Business", "date": "1", "month": "4", "year": "2014", "units": "1773"]}</t>
  </si>
  <si>
    <t>{"type": "buyerDetails", "info": ["origin": "United States of America", "segment": "Government", "date": "1", "month": "4", "year": "2014", "units": "606"]}</t>
  </si>
  <si>
    <t>{"type": "buyerDetails", "info": ["origin": "Mexico", "segment": "Government", "date": "1", "month": "4", "year": "2014", "units": "2579"]}</t>
  </si>
  <si>
    <t>{"type": "buyerDetails", "info": ["origin": "Germany", "segment": "Government", "date": "1", "month": "4", "year": "2014", "units": "1199"]}</t>
  </si>
  <si>
    <t>{"type": "buyerDetails", "info": ["origin": "Canada", "segment": "Government", "date": "1", "month": "4", "year": "2014", "units": "723"]}</t>
  </si>
  <si>
    <t>{"type": "buyerDetails", "info": ["origin": "Canada", "segment": "Midmarket", "date": "1", "month": "4", "year": "2014", "units": "1614"]}</t>
  </si>
  <si>
    <t>{"type": "buyerDetails", "info": ["origin": "Mexico", "segment": "Government", "date": "1", "month": "4", "year": "2014", "units": "2535"]}</t>
  </si>
  <si>
    <t>{"type": "buyerDetails", "info": ["origin": "France", "segment": "Government", "date": "1", "month": "5", "year": "2014", "units": "1030"]}</t>
  </si>
  <si>
    <t>{"type": "buyerDetails", "info": ["origin": "Mexico", "segment": "Government", "date": "1", "month": "5", "year": "2014", "units": "362"]}</t>
  </si>
  <si>
    <t>{"type": "buyerDetails", "info": ["origin": "France", "segment": "Small Business", "date": "1", "month": "5", "year": "2014", "units": "918"]}</t>
  </si>
  <si>
    <t>{"type": "buyerDetails", "info": ["origin": "Germany", "segment": "Small Business", "date": "1", "month": "5", "year": "2014", "units": "1728"]}</t>
  </si>
  <si>
    <t>{"type": "buyerDetails", "info": ["origin": "Germany", "segment": "Enterprise", "date": "1", "month": "5", "year": "2014", "units": "2276"]}</t>
  </si>
  <si>
    <t>{"type": "buyerDetails", "info": ["origin": "Canada", "segment": "Government", "date": "1", "month": "5", "year": "2014", "units": "831"]}</t>
  </si>
  <si>
    <t>{"type": "buyerDetails", "info": ["origin": "United States of America", "segment": "Small Business", "date": "1", "month": "5", "year": "2014", "units": "2918"]}</t>
  </si>
  <si>
    <t>{"type": "buyerDetails", "info": ["origin": "France", "segment": "Channel Partners", "date": "1", "month": "5", "year": "2014", "units": "866"]}</t>
  </si>
  <si>
    <t>{"type": "buyerDetails", "info": ["origin": "United States of America", "segment": "Government", "date": "1", "month": "5", "year": "2014", "units": "2327"]}</t>
  </si>
  <si>
    <t>{"type": "buyerDetails", "info": ["origin": "France", "segment": "Government", "date": "1", "month": "5", "year": "2014", "units": "1563"]}</t>
  </si>
  <si>
    <t>{"type": "buyerDetails", "info": ["origin": "Germany", "segment": "Government", "date": "1", "month": "5", "year": "2014", "units": "1460"]}</t>
  </si>
  <si>
    <t>{"type": "buyerDetails", "info": ["origin": "Germany", "segment": "Midmarket", "date": "1", "month": "5", "year": "2014", "units": "1530"]}</t>
  </si>
  <si>
    <t>{"type": "buyerDetails", "info": ["origin": "Canada", "segment": "Midmarket", "date": "1", "month": "5", "year": "2014", "units": "1262"]}</t>
  </si>
  <si>
    <t>{"type": "buyerDetails", "info": ["origin": "Canada", "segment": "Small Business", "date": "1", "month": "5", "year": "2014", "units": "1702"]}</t>
  </si>
  <si>
    <t>{"type": "buyerDetails", "info": ["origin": "Canada", "segment": "Enterprise", "date": "1", "month": "5", "year": "2014", "units": "1645"]}</t>
  </si>
  <si>
    <t>{"type": "buyerDetails", "info": ["origin": "Canada", "segment": "Government", "date": "1", "month": "5", "year": "2014", "units": "257"]}</t>
  </si>
  <si>
    <t>{"type": "buyerDetails", "info": ["origin": "Germany", "segment": "Government", "date": "1", "month": "5", "year": "2014", "units": "1095"]}</t>
  </si>
  <si>
    <t>{"type": "buyerDetails", "info": ["origin": "Mexico", "segment": "Midmarket", "date": "1", "month": "5", "year": "2014", "units": "245"]}</t>
  </si>
  <si>
    <t>{"type": "buyerDetails", "info": ["origin": "France", "segment": "Government", "date": "1", "month": "5", "year": "2014", "units": "1666"]}</t>
  </si>
  <si>
    <t>{"type": "buyerDetails", "info": ["origin": "Germany", "segment": "Channel Partners", "date": "1", "month": "5", "year": "2014", "units": "880"]}</t>
  </si>
  <si>
    <t>{"type": "buyerDetails", "info": ["origin": "Germany", "segment": "Government", "date": "1", "month": "5", "year": "2014", "units": "663"]}</t>
  </si>
  <si>
    <t>{"type": "buyerDetails", "info": ["origin": "Mexico", "segment": "Small Business", "date": "1", "month": "5", "year": "2014", "units": "591"]}</t>
  </si>
  <si>
    <t>{"type": "buyerDetails", "info": ["origin": "Mexico", "segment": "Enterprise", "date": "1", "month": "5", "year": "2014", "units": "341"]}</t>
  </si>
  <si>
    <t>{"type": "buyerDetails", "info": ["origin": "United States of America", "segment": "Government", "date": "1", "month": "5", "year": "2014", "units": "2313"]}</t>
  </si>
  <si>
    <t>{"type": "buyerDetails", "info": ["origin": "United States of America", "segment": "Midmarket", "date": "1", "month": "5", "year": "2014", "units": "790"]}</t>
  </si>
  <si>
    <t>{"type": "buyerDetails", "info": ["origin": "Mexico", "segment": "Government", "date": "1", "month": "5", "year": "2014", "units": "2039"]}</t>
  </si>
  <si>
    <t>{"type": "buyerDetails", "info": ["origin": "France", "segment": "Enterprise", "date": "1", "month": "5", "year": "2014", "units": "1433"]}</t>
  </si>
  <si>
    <t>{"type": "buyerDetails", "info": ["origin": "Canada", "segment": "Channel Partners", "date": "1", "month": "5", "year": "2014", "units": "2109"]}</t>
  </si>
  <si>
    <t>{"type": "buyerDetails", "info": ["origin": "Mexico", "segment": "Channel Partners", "date": "1", "month": "5", "year": "2014", "units": "2661"]}</t>
  </si>
  <si>
    <t>{"type": "buyerDetails", "info": ["origin": "United States of America", "segment": "Government", "date": "1", "month": "5", "year": "2014", "units": "1743"]}</t>
  </si>
  <si>
    <t>{"type": "buyerDetails", "info": ["origin": "Canada", "segment": "Government", "date": "1", "month": "5", "year": "2014", "units": "200"]}</t>
  </si>
  <si>
    <t>{"type": "buyerDetails", "info": ["origin": "United States of America", "segment": "Enterprise", "date": "1", "month": "5", "year": "2014", "units": "2844"]}</t>
  </si>
  <si>
    <t>{"type": "buyerDetails", "info": ["origin": "Mexico", "segment": "Government", "date": "1", "month": "5", "year": "2014", "units": "2851"]}</t>
  </si>
  <si>
    <t>{"type": "buyerDetails", "info": ["origin": "France", "segment": "Midmarket", "date": "1", "month": "5", "year": "2014", "units": "2826"]}</t>
  </si>
  <si>
    <t>{"type": "buyerDetails", "info": ["origin": "United States of America", "segment": "Channel Partners", "date": "1", "month": "5", "year": "2014", "units": "1806"]}</t>
  </si>
  <si>
    <t>{"type": "buyerDetails", "info": ["origin": "Germany", "segment": "Government", "date": "1", "month": "6", "year": "2014", "units": "1006"]}</t>
  </si>
  <si>
    <t>{"type": "buyerDetails", "info": ["origin": "Germany", "segment": "Midmarket", "date": "1", "month": "6", "year": "2014", "units": "888"]}</t>
  </si>
  <si>
    <t>{"type": "buyerDetails", "info": ["origin": "Germany", "segment": "Channel Partners", "date": "1", "month": "6", "year": "2014", "units": "1545"]}</t>
  </si>
  <si>
    <t>{"type": "buyerDetails", "info": ["origin": "France", "segment": "Government", "date": "1", "month": "6", "year": "2014", "units": "1899"]}</t>
  </si>
  <si>
    <t>{"type": "buyerDetails", "info": ["origin": "Mexico", "segment": "Midmarket", "date": "1", "month": "6", "year": "2014", "units": "2470"]}</t>
  </si>
  <si>
    <t>{"type": "buyerDetails", "info": ["origin": "Canada", "segment": "Channel Partners", "date": "1", "month": "6", "year": "2014", "units": "2518"]}</t>
  </si>
  <si>
    <t>{"type": "buyerDetails", "info": ["origin": "France", "segment": "Midmarket", "date": "1", "month": "6", "year": "2014", "units": "2178"]}</t>
  </si>
  <si>
    <t>{"type": "buyerDetails", "info": ["origin": "United States of America", "segment": "Enterprise", "date": "1", "month": "6", "year": "2014", "units": "727"]}</t>
  </si>
  <si>
    <t>{"type": "buyerDetails", "info": ["origin": "France", "segment": "Enterprise", "date": "1", "month": "6", "year": "2014", "units": "787"]}</t>
  </si>
  <si>
    <t>{"type": "buyerDetails", "info": ["origin": "Mexico", "segment": "Enterprise", "date": "1", "month": "6", "year": "2014", "units": "662"]}</t>
  </si>
  <si>
    <t>{"type": "buyerDetails", "info": ["origin": "United States of America", "segment": "Channel Partners", "date": "1", "month": "6", "year": "2014", "units": "1142"]}</t>
  </si>
  <si>
    <t>{"type": "buyerDetails", "info": ["origin": "Germany", "segment": "Small Business", "date": "1", "month": "6", "year": "2014", "units": "689"]}</t>
  </si>
  <si>
    <t>{"type": "buyerDetails", "info": ["origin": "Germany", "segment": "Enterprise", "date": "1", "month": "6", "year": "2014", "units": "1570"]}</t>
  </si>
  <si>
    <t>{"type": "buyerDetails", "info": ["origin": "France", "segment": "Channel Partners", "date": "1", "month": "6", "year": "2014", "units": "1901"]}</t>
  </si>
  <si>
    <t>{"type": "buyerDetails", "info": ["origin": "United States of America", "segment": "Government", "date": "1", "month": "6", "year": "2014", "units": "602"]}</t>
  </si>
  <si>
    <t>{"type": "buyerDetails", "info": ["origin": "United States of America", "segment": "Small Business", "date": "1", "month": "6", "year": "2014", "units": "991"]}</t>
  </si>
  <si>
    <t>{"type": "buyerDetails", "info": ["origin": "France", "segment": "Government", "date": "1", "month": "6", "year": "2014", "units": "1496"]}</t>
  </si>
  <si>
    <t>{"type": "buyerDetails", "info": ["origin": "Canada", "segment": "Midmarket", "date": "1", "month": "6", "year": "2014", "units": "2844"]}</t>
  </si>
  <si>
    <t>{"type": "buyerDetails", "info": ["origin": "Mexico", "segment": "Government", "date": "1", "month": "6", "year": "2014", "units": "1498"]}</t>
  </si>
  <si>
    <t>{"type": "buyerDetails", "info": ["origin": "Canada", "segment": "Government", "date": "1", "month": "6", "year": "2014", "units": "1135"]}</t>
  </si>
  <si>
    <t>{"type": "buyerDetails", "info": ["origin": "France", "segment": "Small Business", "date": "1", "month": "6", "year": "2014", "units": "448"]}</t>
  </si>
  <si>
    <t>{"type": "buyerDetails", "info": ["origin": "United States of America", "segment": "Government", "date": "1", "month": "6", "year": "2014", "units": "1282"]}</t>
  </si>
  <si>
    <t>{"type": "buyerDetails", "info": ["origin": "Canada", "segment": "Government", "date": "1", "month": "6", "year": "2014", "units": "708"]}</t>
  </si>
  <si>
    <t>{"type": "buyerDetails", "info": ["origin": "Germany", "segment": "Government", "date": "1", "month": "6", "year": "2014", "units": "1366"]}</t>
  </si>
  <si>
    <t>{"type": "buyerDetails", "info": ["origin": "Mexico", "segment": "Small Business", "date": "1", "month": "6", "year": "2014", "units": "2460"]}</t>
  </si>
  <si>
    <t>{"type": "buyerDetails", "info": ["origin": "Germany", "segment": "Government", "date": "1", "month": "6", "year": "2014", "units": "2338"]}</t>
  </si>
  <si>
    <t>{"type": "buyerDetails", "info": ["origin": "United States of America", "segment": "Government", "date": "1", "month": "6", "year": "2014", "units": "2907"]}</t>
  </si>
  <si>
    <t>{"type": "buyerDetails", "info": ["origin": "Canada", "segment": "Small Business", "date": "1", "month": "6", "year": "2014", "units": "1094"]}</t>
  </si>
  <si>
    <t>{"type": "buyerDetails", "info": ["origin": "Mexico", "segment": "Government", "date": "1", "month": "6", "year": "2014", "units": "1038"]}</t>
  </si>
  <si>
    <t>{"type": "buyerDetails", "info": ["origin": "Mexico", "segment": "Government", "date": "1", "month": "6", "year": "2014", "units": "886"]}</t>
  </si>
  <si>
    <t>{"type": "buyerDetails", "info": ["origin": "United States of America", "segment": "Midmarket", "date": "1", "month": "6", "year": "2014", "units": "2567"]}</t>
  </si>
  <si>
    <t>{"type": "buyerDetails", "info": ["origin": "Mexico", "segment": "Channel Partners", "date": "1", "month": "6", "year": "2014", "units": "604"]}</t>
  </si>
  <si>
    <t>{"type": "buyerDetails", "info": ["origin": "Canada", "segment": "Enterprise", "date": "1", "month": "6", "year": "2014", "units": "1583"]}</t>
  </si>
  <si>
    <t>{"type": "buyerDetails", "info": ["origin": "Canada", "segment": "Government", "date": "1", "month": "6", "year": "2014", "units": "2632"]}</t>
  </si>
  <si>
    <t>{"type": "buyerDetails", "info": ["origin": "France", "segment": "Government", "date": "1", "month": "6", "year": "2014", "units": "1190"]}</t>
  </si>
  <si>
    <t>{"type": "buyerDetails", "info": ["origin": "Germany", "segment": "Channel Partners", "date": "1", "month": "7", "year": "2014", "units": "367"]}</t>
  </si>
  <si>
    <t>{"type": "buyerDetails", "info": ["origin": "Canada", "segment": "Enterprise", "date": "1", "month": "7", "year": "2014", "units": "2665"]}</t>
  </si>
  <si>
    <t>{"type": "buyerDetails", "info": ["origin": "Germany", "segment": "Government", "date": "1", "month": "7", "year": "2014", "units": "1686"]}</t>
  </si>
  <si>
    <t>{"type": "buyerDetails", "info": ["origin": "Mexico", "segment": "Enterprise", "date": "1", "month": "7", "year": "2014", "units": "1823"]}</t>
  </si>
  <si>
    <t>{"type": "buyerDetails", "info": ["origin": "United States of America", "segment": "Government", "date": "1", "month": "7", "year": "2014", "units": "2529"]}</t>
  </si>
  <si>
    <t>{"type": "buyerDetails", "info": ["origin": "France", "segment": "Government", "date": "1", "month": "7", "year": "2014", "units": "1375"]}</t>
  </si>
  <si>
    <t>{"type": "buyerDetails", "info": ["origin": "United States of America", "segment": "Channel Partners", "date": "1", "month": "7", "year": "2014", "units": "1369"]}</t>
  </si>
  <si>
    <t>{"type": "buyerDetails", "info": ["origin": "France", "segment": "Enterprise", "date": "1", "month": "7", "year": "2014", "units": "2988"]}</t>
  </si>
  <si>
    <t>{"type": "buyerDetails", "info": ["origin": "United States of America", "segment": "Government", "date": "1", "month": "7", "year": "2014", "units": "3450"]}</t>
  </si>
  <si>
    <t>{"type": "buyerDetails", "info": ["origin": "Mexico", "segment": "Government", "date": "1", "month": "7", "year": "2014", "units": "1683"]}</t>
  </si>
  <si>
    <t>{"type": "buyerDetails", "info": ["origin": "United States of America", "segment": "Enterprise", "date": "1", "month": "7", "year": "2014", "units": "3627"]}</t>
  </si>
  <si>
    <t>{"type": "buyerDetails", "info": ["origin": "Germany", "segment": "Enterprise", "date": "1", "month": "7", "year": "2014", "units": "3513"]}</t>
  </si>
  <si>
    <t>{"type": "buyerDetails", "info": ["origin": "France", "segment": "Small Business", "date": "1", "month": "7", "year": "2014", "units": "1659"]}</t>
  </si>
  <si>
    <t>{"type": "buyerDetails", "info": ["origin": "Germany", "segment": "Government", "date": "1", "month": "7", "year": "2014", "units": "645"]}</t>
  </si>
  <si>
    <t>{"type": "buyerDetails", "info": ["origin": "United States of America", "segment": "Government", "date": "1", "month": "7", "year": "2014", "units": "436"]}</t>
  </si>
  <si>
    <t>{"type": "buyerDetails", "info": ["origin": "Germany", "segment": "Government", "date": "1", "month": "7", "year": "2014", "units": "1307"]}</t>
  </si>
  <si>
    <t>{"type": "buyerDetails", "info": ["origin": "Canada", "segment": "Government", "date": "1", "month": "7", "year": "2014", "units": "819"]}</t>
  </si>
  <si>
    <t>{"type": "buyerDetails", "info": ["origin": "Canada", "segment": "Small Business", "date": "1", "month": "7", "year": "2014", "units": "3793"]}</t>
  </si>
  <si>
    <t>{"type": "buyerDetails", "info": ["origin": "Canada", "segment": "Midmarket", "date": "1", "month": "7", "year": "2014", "units": "1630"]}</t>
  </si>
  <si>
    <t>{"type": "buyerDetails", "info": ["origin": "Mexico", "segment": "Midmarket", "date": "1", "month": "7", "year": "2014", "units": "641"]}</t>
  </si>
  <si>
    <t>{"type": "buyerDetails", "info": ["origin": "France", "segment": "Government", "date": "1", "month": "7", "year": "2014", "units": "639"]}</t>
  </si>
  <si>
    <t>{"type": "buyerDetails", "info": ["origin": "Canada", "segment": "Channel Partners", "date": "1", "month": "7", "year": "2014", "units": "4026"]}</t>
  </si>
  <si>
    <t>{"type": "buyerDetails", "info": ["origin": "Germany", "segment": "Small Business", "date": "1", "month": "7", "year": "2014", "units": "2811"]}</t>
  </si>
  <si>
    <t>{"type": "buyerDetails", "info": ["origin": "United States of America", "segment": "Midmarket", "date": "1", "month": "7", "year": "2014", "units": "3199"]}</t>
  </si>
  <si>
    <t>{"type": "buyerDetails", "info": ["origin": "France", "segment": "Channel Partners", "date": "1", "month": "7", "year": "2014", "units": "2425"]}</t>
  </si>
  <si>
    <t>{"type": "buyerDetails", "info": ["origin": "Canada", "segment": "Government", "date": "1", "month": "7", "year": "2014", "units": "2104"]}</t>
  </si>
  <si>
    <t>{"type": "buyerDetails", "info": ["origin": "Mexico", "segment": "Government", "date": "1", "month": "7", "year": "2014", "units": "1395"]}</t>
  </si>
  <si>
    <t>{"type": "buyerDetails", "info": ["origin": "France", "segment": "Midmarket", "date": "1", "month": "7", "year": "2014", "units": "3874"]}</t>
  </si>
  <si>
    <t>{"type": "buyerDetails", "info": ["origin": "France", "segment": "Government", "date": "1", "month": "7", "year": "2014", "units": "3421"]}</t>
  </si>
  <si>
    <t>{"type": "buyerDetails", "info": ["origin": "Mexico", "segment": "Channel Partners", "date": "1", "month": "7", "year": "2014", "units": "571"]}</t>
  </si>
  <si>
    <t>{"type": "buyerDetails", "info": ["origin": "Mexico", "segment": "Government", "date": "1", "month": "7", "year": "2014", "units": "2255"]}</t>
  </si>
  <si>
    <t>{"type": "buyerDetails", "info": ["origin": "Mexico", "segment": "Small Business", "date": "1", "month": "7", "year": "2014", "units": "801"]}</t>
  </si>
  <si>
    <t>{"type": "buyerDetails", "info": ["origin": "United States of America", "segment": "Small Business", "date": "1", "month": "7", "year": "2014", "units": "2460"]}</t>
  </si>
  <si>
    <t>{"type": "buyerDetails", "info": ["origin": "Germany", "segment": "Midmarket", "date": "1", "month": "7", "year": "2014", "units": "492"]}</t>
  </si>
  <si>
    <t>{"type": "buyerDetails", "info": ["origin": "Canada", "segment": "Government", "date": "1", "month": "7", "year": "2014", "units": "865"]}</t>
  </si>
  <si>
    <t>{"type": "buyerDetails", "info": ["origin": "Mexico", "segment": "Government", "date": "1", "month": "8", "year": "2014", "units": "883"]}</t>
  </si>
  <si>
    <t>{"type": "buyerDetails", "info": ["origin": "Mexico", "segment": "Small Business", "date": "1", "month": "8", "year": "2014", "units": "958"]}</t>
  </si>
  <si>
    <t>{"type": "buyerDetails", "info": ["origin": "United States of America", "segment": "Enterprise", "date": "1", "month": "8", "year": "2014", "units": "2821"]}</t>
  </si>
  <si>
    <t>{"type": "buyerDetails", "info": ["origin": "United States of America", "segment": "Channel Partners", "date": "1", "month": "8", "year": "2014", "units": "2141"]}</t>
  </si>
  <si>
    <t>{"type": "buyerDetails", "info": ["origin": "Canada", "segment": "Government", "date": "1", "month": "8", "year": "2014", "units": "1830"]}</t>
  </si>
  <si>
    <t>{"type": "buyerDetails", "info": ["origin": "Canada", "segment": "Enterprise", "date": "1", "month": "8", "year": "2014", "units": "923"]}</t>
  </si>
  <si>
    <t>{"type": "buyerDetails", "info": ["origin": "Mexico", "segment": "Government", "date": "1", "month": "8", "year": "2014", "units": "1642"]}</t>
  </si>
  <si>
    <t>{"type": "buyerDetails", "info": ["origin": "Canada", "segment": "Small Business", "date": "1", "month": "8", "year": "2014", "units": "1874"]}</t>
  </si>
  <si>
    <t>{"type": "buyerDetails", "info": ["origin": "Germany", "segment": "Small Business", "date": "1", "month": "8", "year": "2014", "units": "1859"]}</t>
  </si>
  <si>
    <t>{"type": "buyerDetails", "info": ["origin": "Mexico", "segment": "Channel Partners", "date": "1", "month": "8", "year": "2014", "units": "1123"]}</t>
  </si>
  <si>
    <t>{"type": "buyerDetails", "info": ["origin": "Canada", "segment": "Government", "date": "1", "month": "8", "year": "2014", "units": "552"]}</t>
  </si>
  <si>
    <t>{"type": "buyerDetails", "info": ["origin": "France", "segment": "Government", "date": "1", "month": "8", "year": "2014", "units": "1579"]}</t>
  </si>
  <si>
    <t>{"type": "buyerDetails", "info": ["origin": "United States of America", "segment": "Government", "date": "1", "month": "8", "year": "2014", "units": "2832"]}</t>
  </si>
  <si>
    <t>{"type": "buyerDetails", "info": ["origin": "Germany", "segment": "Midmarket", "date": "1", "month": "8", "year": "2014", "units": "1743"]}</t>
  </si>
  <si>
    <t>{"type": "buyerDetails", "info": ["origin": "United States of America", "segment": "Midmarket", "date": "1", "month": "8", "year": "2014", "units": "2198"]}</t>
  </si>
  <si>
    <t>{"type": "buyerDetails", "info": ["origin": "Germany", "segment": "Government", "date": "1", "month": "8", "year": "2014", "units": "1001"]}</t>
  </si>
  <si>
    <t>{"type": "buyerDetails", "info": ["origin": "Canada", "segment": "Channel Partners", "date": "1", "month": "8", "year": "2014", "units": "1884"]}</t>
  </si>
  <si>
    <t>{"type": "buyerDetails", "info": ["origin": "France", "segment": "Midmarket", "date": "1", "month": "8", "year": "2014", "units": "2101"]}</t>
  </si>
  <si>
    <t>{"type": "buyerDetails", "info": ["origin": "Mexico", "segment": "Government", "date": "1", "month": "8", "year": "2014", "units": "609"]}</t>
  </si>
  <si>
    <t>{"type": "buyerDetails", "info": ["origin": "United States of America", "segment": "Government", "date": "1", "month": "8", "year": "2014", "units": "678"]}</t>
  </si>
  <si>
    <t>{"type": "buyerDetails", "info": ["origin": "France", "segment": "Government", "date": "1", "month": "8", "year": "2014", "units": "381"]}</t>
  </si>
  <si>
    <t>{"type": "buyerDetails", "info": ["origin": "Germany", "segment": "Government", "date": "1", "month": "8", "year": "2014", "units": "422"]}</t>
  </si>
  <si>
    <t>{"type": "buyerDetails", "info": ["origin": "Germany", "segment": "Government", "date": "1", "month": "8", "year": "2014", "units": "1598"]}</t>
  </si>
  <si>
    <t>{"type": "buyerDetails", "info": ["origin": "France", "segment": "Small Business", "date": "1", "month": "8", "year": "2014", "units": "1562"]}</t>
  </si>
  <si>
    <t>{"type": "buyerDetails", "info": ["origin": "Mexico", "segment": "Enterprise", "date": "1", "month": "8", "year": "2014", "units": "1540"]}</t>
  </si>
  <si>
    <t>{"type": "buyerDetails", "info": ["origin": "United States of America", "segment": "Government", "date": "1", "month": "8", "year": "2014", "units": "2807"]}</t>
  </si>
  <si>
    <t>{"type": "buyerDetails", "info": ["origin": "Germany", "segment": "Channel Partners", "date": "1", "month": "8", "year": "2014", "units": "2574"]}</t>
  </si>
  <si>
    <t>{"type": "buyerDetails", "info": ["origin": "Mexico", "segment": "Midmarket", "date": "1", "month": "8", "year": "2014", "units": "1984"]}</t>
  </si>
  <si>
    <t>{"type": "buyerDetails", "info": ["origin": "Canada", "segment": "Government", "date": "1", "month": "8", "year": "2014", "units": "2394"]}</t>
  </si>
  <si>
    <t>{"type": "buyerDetails", "info": ["origin": "France", "segment": "Government", "date": "1", "month": "8", "year": "2014", "units": "2696"]}</t>
  </si>
  <si>
    <t>{"type": "buyerDetails", "info": ["origin": "United States of America", "segment": "Small Business", "date": "1", "month": "8", "year": "2014", "units": "2541"]}</t>
  </si>
  <si>
    <t>{"type": "buyerDetails", "info": ["origin": "France", "segment": "Channel Partners", "date": "1", "month": "8", "year": "2014", "units": "2475"]}</t>
  </si>
  <si>
    <t>{"type": "buyerDetails", "info": ["origin": "France", "segment": "Enterprise", "date": "1", "month": "8", "year": "2014", "units": "1174"]}</t>
  </si>
  <si>
    <t>{"type": "buyerDetails", "info": ["origin": "Canada", "segment": "Midmarket", "date": "1", "month": "8", "year": "2014", "units": "2559"]}</t>
  </si>
  <si>
    <t>{"type": "buyerDetails", "info": ["origin": "Germany", "segment": "Enterprise", "date": "1", "month": "8", "year": "2014", "units": "2767"]}</t>
  </si>
  <si>
    <t>{"type": "buyerDetails", "info": ["origin": "Germany", "segment": "Government", "date": "1", "month": "9", "year": "2014", "units": "2146"]}</t>
  </si>
  <si>
    <t>{"type": "buyerDetails", "info": ["origin": "Mexico", "segment": "Midmarket", "date": "1", "month": "9", "year": "2014", "units": "2472"]}</t>
  </si>
  <si>
    <t>{"type": "buyerDetails", "info": ["origin": "France", "segment": "Small Business", "date": "1", "month": "9", "year": "2014", "units": "2151"]}</t>
  </si>
  <si>
    <t>{"type": "buyerDetails", "info": ["origin": "Germany", "segment": "Midmarket", "date": "1", "month": "9", "year": "2014", "units": "747"]}</t>
  </si>
  <si>
    <t>{"type": "buyerDetails", "info": ["origin": "Canada", "segment": "Channel Partners", "date": "1", "month": "9", "year": "2014", "units": "1445"]}</t>
  </si>
  <si>
    <t>{"type": "buyerDetails", "info": ["origin": "France", "segment": "Channel Partners", "date": "1", "month": "9", "year": "2014", "units": "2671"]}</t>
  </si>
  <si>
    <t>{"type": "buyerDetails", "info": ["origin": "Germany", "segment": "Small Business", "date": "1", "month": "9", "year": "2014", "units": "986"]}</t>
  </si>
  <si>
    <t>{"type": "buyerDetails", "info": ["origin": "France", "segment": "Government", "date": "1", "month": "9", "year": "2014", "units": "544"]}</t>
  </si>
  <si>
    <t>{"type": "buyerDetails", "info": ["origin": "United States of America", "segment": "Channel Partners", "date": "1", "month": "9", "year": "2014", "units": "1947"]}</t>
  </si>
  <si>
    <t>{"type": "buyerDetails", "info": ["origin": "Canada", "segment": "Midmarket", "date": "1", "month": "9", "year": "2014", "units": "218"]}</t>
  </si>
  <si>
    <t>{"type": "buyerDetails", "info": ["origin": "United States of America", "segment": "Government", "date": "1", "month": "9", "year": "2014", "units": "1056"]}</t>
  </si>
  <si>
    <t>{"type": "buyerDetails", "info": ["origin": "Canada", "segment": "Government", "date": "1", "month": "9", "year": "2014", "units": "2074"]}</t>
  </si>
  <si>
    <t>{"type": "buyerDetails", "info": ["origin": "Germany", "segment": "Government", "date": "1", "month": "9", "year": "2014", "units": "1907"]}</t>
  </si>
  <si>
    <t>{"type": "buyerDetails", "info": ["origin": "France", "segment": "Midmarket", "date": "1", "month": "9", "year": "2014", "units": "2620"]}</t>
  </si>
  <si>
    <t>{"type": "buyerDetails", "info": ["origin": "Mexico", "segment": "Channel Partners", "date": "1", "month": "9", "year": "2014", "units": "562"]}</t>
  </si>
  <si>
    <t>{"type": "buyerDetails", "info": ["origin": "Mexico", "segment": "Government", "date": "1", "month": "9", "year": "2014", "units": "1679"]}</t>
  </si>
  <si>
    <t>{"type": "buyerDetails", "info": ["origin": "France", "segment": "Government", "date": "1", "month": "9", "year": "2014", "units": "1535"]}</t>
  </si>
  <si>
    <t>{"type": "buyerDetails", "info": ["origin": "Germany", "segment": "Enterprise", "date": "1", "month": "9", "year": "2014", "units": "2087"]}</t>
  </si>
  <si>
    <t>{"type": "buyerDetails", "info": ["origin": "France", "segment": "Government", "date": "1", "month": "9", "year": "2014", "units": "2876"]}</t>
  </si>
  <si>
    <t>{"type": "buyerDetails", "info": ["origin": "Germany", "segment": "Government", "date": "1", "month": "9", "year": "2014", "units": "1934"]}</t>
  </si>
  <si>
    <t>{"type": "buyerDetails", "info": ["origin": "Mexico", "segment": "Government", "date": "1", "month": "9", "year": "2014", "units": "2993"]}</t>
  </si>
  <si>
    <t>{"type": "buyerDetails", "info": ["origin": "Canada", "segment": "Small Business", "date": "1", "month": "9", "year": "2014", "units": "2134"]}</t>
  </si>
  <si>
    <t>{"type": "buyerDetails", "info": ["origin": "Canada", "segment": "Enterprise", "date": "1", "month": "9", "year": "2014", "units": "567"]}</t>
  </si>
  <si>
    <t>{"type": "buyerDetails", "info": ["origin": "United States of America", "segment": "Small Business", "date": "1", "month": "9", "year": "2014", "units": "1867"]}</t>
  </si>
  <si>
    <t>{"type": "buyerDetails", "info": ["origin": "Mexico", "segment": "Enterprise", "date": "1", "month": "9", "year": "2014", "units": "2110"]}</t>
  </si>
  <si>
    <t>{"type": "buyerDetails", "info": ["origin": "United States of America", "segment": "Government", "date": "1", "month": "9", "year": "2014", "units": "2071"]}</t>
  </si>
  <si>
    <t>{"type": "buyerDetails", "info": ["origin": "Germany", "segment": "Channel Partners", "date": "1", "month": "9", "year": "2014", "units": "1580"]}</t>
  </si>
  <si>
    <t>{"type": "buyerDetails", "info": ["origin": "United States of America", "segment": "Government", "date": "1", "month": "9", "year": "2014", "units": "2328"]}</t>
  </si>
  <si>
    <t>{"type": "buyerDetails", "info": ["origin": "Mexico", "segment": "Small Business", "date": "1", "month": "9", "year": "2014", "units": "432"]}</t>
  </si>
  <si>
    <t>{"type": "buyerDetails", "info": ["origin": "United States of America", "segment": "Enterprise", "date": "1", "month": "9", "year": "2014", "units": "1596"]}</t>
  </si>
  <si>
    <t>{"type": "buyerDetails", "info": ["origin": "Canada", "segment": "Government", "date": "1", "month": "9", "year": "2014", "units": "707"]}</t>
  </si>
  <si>
    <t>{"type": "buyerDetails", "info": ["origin": "Mexico", "segment": "Government", "date": "1", "month": "9", "year": "2014", "units": "2420"]}</t>
  </si>
  <si>
    <t>{"type": "buyerDetails", "info": ["origin": "United States of America", "segment": "Midmarket", "date": "1", "month": "9", "year": "2014", "units": "1767"]}</t>
  </si>
  <si>
    <t>{"type": "buyerDetails", "info": ["origin": "Canada", "segment": "Government", "date": "1", "month": "9", "year": "2014", "units": "388"]}</t>
  </si>
  <si>
    <t>{"type": "buyerDetails", "info": ["origin": "France", "segment": "Enterprise", "date": "1", "month": "9", "year": "2014", "units": "663"]}</t>
  </si>
  <si>
    <t>{"type": "buyerDetails", "info": ["origin": "United States of America", "segment": "Government", "date": "1", "month": "10", "year": "2014", "units": "1143"]}</t>
  </si>
  <si>
    <t>{"type": "buyerDetails", "info": ["origin": "Mexico", "segment": "Government", "date": "1", "month": "10", "year": "2014", "units": "1397"]}</t>
  </si>
  <si>
    <t>{"type": "buyerDetails", "info": ["origin": "Canada", "segment": "Channel Partners", "date": "1", "month": "10", "year": "2014", "units": "1295"]}</t>
  </si>
  <si>
    <t>{"type": "buyerDetails", "info": ["origin": "United States of America", "segment": "Government", "date": "1", "month": "10", "year": "2014", "units": "1566"]}</t>
  </si>
  <si>
    <t>{"type": "buyerDetails", "info": ["origin": "Germany", "segment": "Government", "date": "1", "month": "10", "year": "2014", "units": "2877"]}</t>
  </si>
  <si>
    <t>{"type": "buyerDetails", "info": ["origin": "Canada", "segment": "Enterprise", "date": "1", "month": "10", "year": "2014", "units": "2009"]}</t>
  </si>
  <si>
    <t>{"type": "buyerDetails", "info": ["origin": "Mexico", "segment": "Midmarket", "date": "1", "month": "10", "year": "2014", "units": "2031"]}</t>
  </si>
  <si>
    <t>{"type": "buyerDetails", "info": ["origin": "Germany", "segment": "Small Business", "date": "1", "month": "10", "year": "2014", "units": "2021"]}</t>
  </si>
  <si>
    <t>{"type": "buyerDetails", "info": ["origin": "France", "segment": "Government", "date": "1", "month": "10", "year": "2014", "units": "2177"]}</t>
  </si>
  <si>
    <t>{"type": "buyerDetails", "info": ["origin": "Mexico", "segment": "Government", "date": "1", "month": "10", "year": "2014", "units": "2689"]}</t>
  </si>
  <si>
    <t>{"type": "buyerDetails", "info": ["origin": "United States of America", "segment": "Enterprise", "date": "1", "month": "10", "year": "2014", "units": "861"]}</t>
  </si>
  <si>
    <t>{"type": "buyerDetails", "info": ["origin": "United States of America", "segment": "Midmarket", "date": "1", "month": "10", "year": "2014", "units": "1153"]}</t>
  </si>
  <si>
    <t>{"type": "buyerDetails", "info": ["origin": "France", "segment": "Government", "date": "1", "month": "10", "year": "2014", "units": "1976"]}</t>
  </si>
  <si>
    <t>{"type": "buyerDetails", "info": ["origin": "France", "segment": "Small Business", "date": "1", "month": "10", "year": "2014", "units": "2181"]}</t>
  </si>
  <si>
    <t>{"type": "buyerDetails", "info": ["origin": "France", "segment": "Midmarket", "date": "1", "month": "10", "year": "2014", "units": "1227"]}</t>
  </si>
  <si>
    <t>{"type": "buyerDetails", "info": ["origin": "Canada", "segment": "Government", "date": "1", "month": "10", "year": "2014", "units": "1269"]}</t>
  </si>
  <si>
    <t>{"type": "buyerDetails", "info": ["origin": "Germany", "segment": "Government", "date": "1", "month": "10", "year": "2014", "units": "360"]}</t>
  </si>
  <si>
    <t>{"type": "buyerDetails", "info": ["origin": "Germany", "segment": "Government", "date": "1", "month": "10", "year": "2014", "units": "241"]}</t>
  </si>
  <si>
    <t>{"type": "buyerDetails", "info": ["origin": "Germany", "segment": "Channel Partners", "date": "1", "month": "10", "year": "2014", "units": "472"]}</t>
  </si>
  <si>
    <t>{"type": "buyerDetails", "info": ["origin": "France", "segment": "Enterprise", "date": "1", "month": "10", "year": "2014", "units": "2441"]}</t>
  </si>
  <si>
    <t>{"type": "buyerDetails", "info": ["origin": "Mexico", "segment": "Government", "date": "1", "month": "10", "year": "2014", "units": "905"]}</t>
  </si>
  <si>
    <t>{"type": "buyerDetails", "info": ["origin": "United States of America", "segment": "Government", "date": "1", "month": "10", "year": "2014", "units": "986"]}</t>
  </si>
  <si>
    <t>{"type": "buyerDetails", "info": ["origin": "Mexico", "segment": "Enterprise", "date": "1", "month": "10", "year": "2014", "units": "2156"]}</t>
  </si>
  <si>
    <t>{"type": "buyerDetails", "info": ["origin": "Canada", "segment": "Government", "date": "1", "month": "10", "year": "2014", "units": "2734"]}</t>
  </si>
  <si>
    <t>{"type": "buyerDetails", "info": ["origin": "Canada", "segment": "Government", "date": "1", "month": "10", "year": "2014", "units": "1249"]}</t>
  </si>
  <si>
    <t>{"type": "buyerDetails", "info": ["origin": "Canada", "segment": "Midmarket", "date": "1", "month": "10", "year": "2014", "units": "1565"]}</t>
  </si>
  <si>
    <t>{"type": "buyerDetails", "info": ["origin": "Mexico", "segment": "Channel Partners", "date": "1", "month": "10", "year": "2014", "units": "410"]}</t>
  </si>
  <si>
    <t>{"type": "buyerDetails", "info": ["origin": "France", "segment": "Channel Partners", "date": "1", "month": "10", "year": "2014", "units": "1393"]}</t>
  </si>
  <si>
    <t>{"type": "buyerDetails", "info": ["origin": "United States of America", "segment": "Small Business", "date": "1", "month": "10", "year": "2014", "units": "1010"]}</t>
  </si>
  <si>
    <t>{"type": "buyerDetails", "info": ["origin": "Canada", "segment": "Small Business", "date": "1", "month": "10", "year": "2014", "units": "1496"]}</t>
  </si>
  <si>
    <t>{"type": "buyerDetails", "info": ["origin": "France", "segment": "Government", "date": "1", "month": "10", "year": "2014", "units": "1731"]}</t>
  </si>
  <si>
    <t>{"type": "buyerDetails", "info": ["origin": "United States of America", "segment": "Channel Partners", "date": "1", "month": "10", "year": "2014", "units": "2914"]}</t>
  </si>
  <si>
    <t>{"type": "buyerDetails", "info": ["origin": "Mexico", "segment": "Small Business", "date": "1", "month": "10", "year": "2014", "units": "546"]}</t>
  </si>
  <si>
    <t>{"type": "buyerDetails", "info": ["origin": "Germany", "segment": "Midmarket", "date": "1", "month": "10", "year": "2014", "units": "1175"]}</t>
  </si>
  <si>
    <t>{"type": "buyerDetails", "info": ["origin": "Germany", "segment": "Enterprise", "date": "1", "month": "10", "year": "2014", "units": "1085"]}</t>
  </si>
  <si>
    <t>{"type": "buyerDetails", "info": ["origin": "France", "segment": "Government", "date": "1", "month": "11", "year": "2014", "units": "639"]}</t>
  </si>
  <si>
    <t>{"type": "buyerDetails", "info": ["origin": "United States of America", "segment": "Small Business", "date": "1", "month": "11", "year": "2014", "units": "2905"]}</t>
  </si>
  <si>
    <t>{"type": "buyerDetails", "info": ["origin": "France", "segment": "Enterprise", "date": "1", "month": "11", "year": "2014", "units": "1744"]}</t>
  </si>
  <si>
    <t>{"type": "buyerDetails", "info": ["origin": "Mexico", "segment": "Channel Partners", "date": "1", "month": "11", "year": "2014", "units": "690"]}</t>
  </si>
  <si>
    <t>{"type": "buyerDetails", "info": ["origin": "France", "segment": "Government", "date": "1", "month": "11", "year": "2014", "units": "941"]}</t>
  </si>
  <si>
    <t>{"type": "buyerDetails", "info": ["origin": "United States of America", "segment": "Government", "date": "1", "month": "11", "year": "2014", "units": "1236"]}</t>
  </si>
  <si>
    <t>{"type": "buyerDetails", "info": ["origin": "Germany", "segment": "Channel Partners", "date": "1", "month": "11", "year": "2014", "units": "2342"]}</t>
  </si>
  <si>
    <t>{"type": "buyerDetails", "info": ["origin": "Mexico", "segment": "Midmarket", "date": "1", "month": "11", "year": "2014", "units": "2791"]}</t>
  </si>
  <si>
    <t>{"type": "buyerDetails", "info": ["origin": "United States of America", "segment": "Channel Partners", "date": "1", "month": "11", "year": "2014", "units": "2723"]}</t>
  </si>
  <si>
    <t>{"type": "buyerDetails", "info": ["origin": "United States of America", "segment": "Midmarket", "date": "1", "month": "11", "year": "2014", "units": "2030"]}</t>
  </si>
  <si>
    <t>{"type": "buyerDetails", "info": ["origin": "Mexico", "segment": "Government", "date": "1", "month": "11", "year": "2014", "units": "1333"]}</t>
  </si>
  <si>
    <t>{"type": "buyerDetails", "info": ["origin": "France", "segment": "Channel Partners", "date": "1", "month": "11", "year": "2014", "units": "2342"]}</t>
  </si>
  <si>
    <t>{"type": "buyerDetails", "info": ["origin": "United States of America", "segment": "Government", "date": "1", "month": "11", "year": "2014", "units": "547"]}</t>
  </si>
  <si>
    <t>{"type": "buyerDetails", "info": ["origin": "Canada", "segment": "Government", "date": "1", "month": "11", "year": "2014", "units": "1118"]}</t>
  </si>
  <si>
    <t>{"type": "buyerDetails", "info": ["origin": "France", "segment": "Midmarket", "date": "1", "month": "11", "year": "2014", "units": "490"]}</t>
  </si>
  <si>
    <t>{"type": "buyerDetails", "info": ["origin": "Germany", "segment": "Government", "date": "1", "month": "11", "year": "2014", "units": "1520"]}</t>
  </si>
  <si>
    <t>{"type": "buyerDetails", "info": ["origin": "France", "segment": "Small Business", "date": "1", "month": "11", "year": "2014", "units": "1324"]}</t>
  </si>
  <si>
    <t>{"type": "buyerDetails", "info": ["origin": "Canada", "segment": "Channel Partners", "date": "1", "month": "11", "year": "2014", "units": "2321"]}</t>
  </si>
  <si>
    <t>{"type": "buyerDetails", "info": ["origin": "Mexico", "segment": "Enterprise", "date": "1", "month": "11", "year": "2014", "units": "877"]}</t>
  </si>
  <si>
    <t>{"type": "buyerDetails", "info": ["origin": "Mexico", "segment": "Government", "date": "1", "month": "11", "year": "2014", "units": "1694"]}</t>
  </si>
  <si>
    <t>{"type": "buyerDetails", "info": ["origin": "Canada", "segment": "Enterprise", "date": "1", "month": "11", "year": "2014", "units": "2529"]}</t>
  </si>
  <si>
    <t>{"type": "buyerDetails", "info": ["origin": "Germany", "segment": "Government", "date": "1", "month": "11", "year": "2014", "units": "2665"]}</t>
  </si>
  <si>
    <t>{"type": "buyerDetails", "info": ["origin": "Canada", "segment": "Small Business", "date": "1", "month": "11", "year": "2014", "units": "1366"]}</t>
  </si>
  <si>
    <t>{"type": "buyerDetails", "info": ["origin": "Canada", "segment": "Government", "date": "1", "month": "11", "year": "2014", "units": "1808"]}</t>
  </si>
  <si>
    <t>{"type": "buyerDetails", "info": ["origin": "Mexico", "segment": "Government", "date": "1", "month": "11", "year": "2014", "units": "1197"]}</t>
  </si>
  <si>
    <t>{"type": "buyerDetails", "info": ["origin": "Germany", "segment": "Small Business", "date": "1", "month": "11", "year": "2014", "units": "1359"]}</t>
  </si>
  <si>
    <t>{"type": "buyerDetails", "info": ["origin": "France", "segment": "Government", "date": "1", "month": "11", "year": "2014", "units": "1594"]}</t>
  </si>
  <si>
    <t>{"type": "buyerDetails", "info": ["origin": "Mexico", "segment": "Small Business", "date": "1", "month": "11", "year": "2014", "units": "2150"]}</t>
  </si>
  <si>
    <t>{"type": "buyerDetails", "info": ["origin": "United States of America", "segment": "Enterprise", "date": "1", "month": "11", "year": "2014", "units": "2387"]}</t>
  </si>
  <si>
    <t>{"type": "buyerDetails", "info": ["origin": "Canada", "segment": "Midmarket", "date": "1", "month": "11", "year": "2014", "units": "2689"]}</t>
  </si>
  <si>
    <t>{"type": "buyerDetails", "info": ["origin": "Germany", "segment": "Government", "date": "1", "month": "11", "year": "2014", "units": "357"]}</t>
  </si>
  <si>
    <t>{"type": "buyerDetails", "info": ["origin": "Canada", "segment": "Government", "date": "1", "month": "11", "year": "2014", "units": "700"]}</t>
  </si>
  <si>
    <t>{"type": "buyerDetails", "info": ["origin": "United States of America", "segment": "Government", "date": "1", "month": "11", "year": "2014", "units": "1177"]}</t>
  </si>
  <si>
    <t>{"type": "buyerDetails", "info": ["origin": "Germany", "segment": "Midmarket", "date": "1", "month": "11", "year": "2014", "units": "1513"]}</t>
  </si>
  <si>
    <t>{"type": "buyerDetails", "info": ["origin": "Germany", "segment": "Enterprise", "date": "1", "month": "11", "year": "2014", "units": "552"]}</t>
  </si>
  <si>
    <t>{"type": "buyerDetails", "info": ["origin": "United States of America", "segment": "Midmarket", "date": "1", "month": "12", "year": "2014", "units": "615"]}</t>
  </si>
  <si>
    <t>{"type": "buyerDetails", "info": ["origin": "Germany", "segment": "Government", "date": "1", "month": "12", "year": "2014", "units": "1513"]}</t>
  </si>
  <si>
    <t>{"type": "buyerDetails", "info": ["origin": "Canada", "segment": "Government", "date": "1", "month": "12", "year": "2014", "units": "1817"]}</t>
  </si>
  <si>
    <t>{"type": "buyerDetails", "info": ["origin": "France", "segment": "Government", "date": "1", "month": "12", "year": "2014", "units": "2155"]}</t>
  </si>
  <si>
    <t>{"type": "buyerDetails", "info": ["origin": "France", "segment": "Channel Partners", "date": "1", "month": "12", "year": "2014", "units": "1055"]}</t>
  </si>
  <si>
    <t>{"type": "buyerDetails", "info": ["origin": "Mexico", "segment": "Channel Partners", "date": "1", "month": "12", "year": "2014", "units": "1084"]}</t>
  </si>
  <si>
    <t>{"type": "buyerDetails", "info": ["origin": "Canada", "segment": "Small Business", "date": "1", "month": "12", "year": "2014", "units": "1916"]}</t>
  </si>
  <si>
    <t>{"type": "buyerDetails", "info": ["origin": "Canada", "segment": "Enterprise", "date": "1", "month": "12", "year": "2014", "units": "2729"]}</t>
  </si>
  <si>
    <t>{"type": "buyerDetails", "info": ["origin": "Canada", "segment": "Government", "date": "1", "month": "12", "year": "2014", "units": "2852"]}</t>
  </si>
  <si>
    <t>{"type": "buyerDetails", "info": ["origin": "France", "segment": "Enterprise", "date": "1", "month": "12", "year": "2014", "units": "1287"]}</t>
  </si>
  <si>
    <t>{"type": "buyerDetails", "info": ["origin": "Germany", "segment": "Enterprise", "date": "1", "month": "12", "year": "2014", "units": "1706"]}</t>
  </si>
  <si>
    <t>{"type": "buyerDetails", "info": ["origin": "United States of America", "segment": "Government", "date": "1", "month": "12", "year": "2014", "units": "274"]}</t>
  </si>
  <si>
    <t>{"type": "buyerDetails", "info": ["origin": "Mexico", "segment": "Enterprise", "date": "1", "month": "12", "year": "2014", "units": "1138"]}</t>
  </si>
  <si>
    <t>{"type": "buyerDetails", "info": ["origin": "Canada", "segment": "Channel Partners", "date": "1", "month": "12", "year": "2014", "units": "2431"]}</t>
  </si>
  <si>
    <t>{"type": "buyerDetails", "info": ["origin": "United States of America", "segment": "Government", "date": "1", "month": "12", "year": "2014", "units": "570"]}</t>
  </si>
  <si>
    <t>{"type": "buyerDetails", "info": ["origin": "United States of America", "segment": "Government", "date": "1", "month": "12", "year": "2014", "units": "2663"]}</t>
  </si>
  <si>
    <t>{"type": "buyerDetails", "info": ["origin": "France", "segment": "Government", "date": "1", "month": "12", "year": "2014", "units": "2487"]}</t>
  </si>
  <si>
    <t>{"type": "buyerDetails", "info": ["origin": "Germany", "segment": "Small Business", "date": "1", "month": "12", "year": "2014", "units": "1250"]}</t>
  </si>
  <si>
    <t>{"type": "buyerDetails", "info": ["origin": "Canada", "segment": "Government", "date": "1", "month": "12", "year": "2014", "units": "1582"]}</t>
  </si>
  <si>
    <t>{"type": "buyerDetails", "info": ["origin": "United States of America", "segment": "Small Business", "date": "1", "month": "12", "year": "2014", "units": "1372"]}</t>
  </si>
  <si>
    <t>{"type": "buyerDetails", "info": ["origin": "Germany", "segment": "Midmarket", "date": "1", "month": "12", "year": "2014", "units": "711"]}</t>
  </si>
  <si>
    <t>{"type": "buyerDetails", "info": ["origin": "Mexico", "segment": "Government", "date": "1", "month": "12", "year": "2014", "units": "1362"]}</t>
  </si>
  <si>
    <t>{"type": "buyerDetails", "info": ["origin": "Mexico", "segment": "Small Business", "date": "1", "month": "12", "year": "2014", "units": "635"]}</t>
  </si>
  <si>
    <t>{"type": "buyerDetails", "info": ["origin": "United States of America", "segment": "Enterprise", "date": "1", "month": "12", "year": "2014", "units": "2797"]}</t>
  </si>
  <si>
    <t>{"type": "buyerDetails", "info": ["origin": "Mexico", "segment": "Government", "date": "1", "month": "12", "year": "2014", "units": "521"]}</t>
  </si>
  <si>
    <t>{"type": "buyerDetails", "info": ["origin": "France", "segment": "Midmarket", "date": "1", "month": "12", "year": "2014", "units": "2072"]}</t>
  </si>
  <si>
    <t>{"type": "buyerDetails", "info": ["origin": "France", "segment": "Small Business", "date": "1", "month": "12", "year": "2014", "units": "853"]}</t>
  </si>
  <si>
    <t>{"type": "buyerDetails", "info": ["origin": "Mexico", "segment": "Midmarket", "date": "1", "month": "12", "year": "2014", "units": "2157"]}</t>
  </si>
  <si>
    <t>{"type": "buyerDetails", "info": ["origin": "Mexico", "segment": "Government", "date": "1", "month": "12", "year": "2014", "units": "1233"]}</t>
  </si>
  <si>
    <t>{"type": "buyerDetails", "info": ["origin": "Germany", "segment": "Government", "date": "1", "month": "12", "year": "2014", "units": "1531"]}</t>
  </si>
  <si>
    <t>{"type": "buyerDetails", "info": ["origin": "Germany", "segment": "Channel Partners", "date": "1", "month": "12", "year": "2014", "units": "1013"]}</t>
  </si>
  <si>
    <t>{"type": "buyerDetails", "info": ["origin": "Germany", "segment": "Government", "date": "1", "month": "12", "year": "2014", "units": "280"]}</t>
  </si>
  <si>
    <t>{"type": "buyerDetails", "info": ["origin": "Canada", "segment": "Midmarket", "date": "1", "month": "12", "year": "2014", "units": "2300"]}</t>
  </si>
  <si>
    <t>{"type": "buyerDetails", "info": ["origin": "France", "segment": "Government", "date": "1", "month": "12", "year": "2014", "units": "293"]}</t>
  </si>
  <si>
    <t>{"type": "buyerDetails", "info": ["origin": "United States of America", "segment": "Channel Partners", "date": "1", "month": "12", "year": "2014", "units": "914"]}</t>
  </si>
  <si>
    <t>Discount type</t>
  </si>
  <si>
    <t>Discount range</t>
  </si>
  <si>
    <t>Low</t>
  </si>
  <si>
    <t>1% - 4%</t>
  </si>
  <si>
    <t>Medium</t>
  </si>
  <si>
    <t>5% - 9%</t>
  </si>
  <si>
    <t>High</t>
  </si>
  <si>
    <t>10% - 15%</t>
  </si>
  <si>
    <t>Product</t>
  </si>
  <si>
    <t>Manufacturing cost</t>
  </si>
  <si>
    <t>Selling price</t>
  </si>
  <si>
    <t>Name</t>
  </si>
  <si>
    <t>Definition</t>
  </si>
  <si>
    <t>Value</t>
  </si>
  <si>
    <t>Year</t>
  </si>
  <si>
    <t>Operating Cost</t>
  </si>
  <si>
    <t>Net Profit</t>
  </si>
  <si>
    <t>G&amp;A Cost</t>
  </si>
  <si>
    <t>General expenses &amp; administrative expenses</t>
  </si>
  <si>
    <t>Handling cost</t>
  </si>
  <si>
    <t>Cost for handling orders</t>
  </si>
  <si>
    <t>Tax</t>
  </si>
  <si>
    <t>Taxes charged to the company</t>
  </si>
  <si>
    <t>Projected revenue</t>
  </si>
  <si>
    <t>Projected net profit</t>
  </si>
  <si>
    <t>Sum of Revenue</t>
  </si>
  <si>
    <t>Sum of Gross Profit</t>
  </si>
  <si>
    <t>Count of Order ID</t>
  </si>
  <si>
    <t>Sum of Total Price</t>
  </si>
  <si>
    <t>No Discount</t>
  </si>
  <si>
    <t>Sum of Operating Profit</t>
  </si>
  <si>
    <t>Sum of Net Profit</t>
  </si>
  <si>
    <t>Handling Cost</t>
  </si>
  <si>
    <t>Operating Profit</t>
  </si>
  <si>
    <t>Grand Total</t>
  </si>
  <si>
    <t>Total Order</t>
  </si>
  <si>
    <t>Product Name</t>
  </si>
  <si>
    <t>Column1</t>
  </si>
  <si>
    <t>Rank value</t>
  </si>
  <si>
    <t>Rank</t>
  </si>
  <si>
    <t>Bar</t>
  </si>
  <si>
    <t>Segment</t>
  </si>
  <si>
    <t>Revenue Growth by Product</t>
  </si>
  <si>
    <t>Revenue by Country</t>
  </si>
  <si>
    <t>Profitability Breakdown by Year</t>
  </si>
  <si>
    <t>Revenue &amp; Gross Profit by Discount Tier</t>
  </si>
  <si>
    <t>Top Product</t>
  </si>
  <si>
    <t>Top Segment</t>
  </si>
  <si>
    <t>KPI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</si>
</sst>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164" formatCode="_(&quot;$&quot;* #,##0_);_(&quot;$&quot;* \(#,##0\);_(&quot;$&quot;* &quot;-&quot;_);_(@_)"/>
    <numFmt numFmtId="165" formatCode="_(* #,##0_);_(* \(#,##0\);_(* &quot;-&quot;_);_(@_)"/>
    <numFmt numFmtId="166" formatCode="_(* #,##0.00_);_(* \(#,##0.00\);_(* &quot;-&quot;_);_(@_)"/>
    <numFmt numFmtId="167" formatCode="[$$-409]#,##0"/>
    <numFmt numFmtId="168" formatCode="[$$-409]#,##0.00"/>
    <numFmt numFmtId="169" formatCode="&quot;Rp&quot;#,##0.00"/>
    <numFmt numFmtId="170" formatCode="mmmm\ yyyy"/>
    <numFmt numFmtId="171" formatCode="[$$-540A]#,##0"/>
    <numFmt numFmtId="172" formatCode="mmm\ yyyy"/>
  </numFmts>
  <fonts count="7" x14ac:knownFonts="1">
    <font>
      <sz val="10"/>
      <color rgb="FF000000"/>
      <name val="Aptos Narrow"/>
      <scheme val="minor"/>
    </font>
    <font>
      <sz val="10"/>
      <color theme="1"/>
      <name val="Aptos Narrow"/>
      <family val="2"/>
      <scheme val="minor"/>
    </font>
    <font>
      <sz val="10"/>
      <color rgb="FF000000"/>
      <name val="Aptos Narrow"/>
      <family val="2"/>
      <scheme val="minor"/>
    </font>
    <font>
      <b/>
      <sz val="10"/>
      <color rgb="FF000000"/>
      <name val="Aptos Narrow"/>
      <scheme val="minor"/>
    </font>
    <font>
      <b/>
      <sz val="10"/>
      <color theme="1"/>
      <name val="Aptos Narrow"/>
      <scheme val="minor"/>
    </font>
    <font>
      <b/>
      <sz val="10"/>
      <color rgb="FF000000"/>
      <name val="Aptos Narrow"/>
      <family val="2"/>
      <scheme val="minor"/>
    </font>
    <font>
      <sz val="10"/>
      <color rgb="FF000000"/>
      <name val="Aptos Narrow"/>
      <scheme val="minor"/>
    </font>
  </fonts>
  <fills count="7">
    <fill>
      <patternFill patternType="none"/>
    </fill>
    <fill>
      <patternFill patternType="gray125"/>
    </fill>
    <fill>
      <patternFill patternType="solid">
        <fgColor theme="5" tint="0.7999816888943144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rgb="FFC0E6F5"/>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000000"/>
      </left>
      <right style="thin">
        <color rgb="FF000000"/>
      </right>
      <top style="thin">
        <color rgb="FF000000"/>
      </top>
      <bottom style="thin">
        <color rgb="FF000000"/>
      </bottom>
      <diagonal/>
    </border>
  </borders>
  <cellStyleXfs count="3">
    <xf numFmtId="0" fontId="0" fillId="0" borderId="0"/>
    <xf numFmtId="165" fontId="2" fillId="0" borderId="0" applyFont="0" applyFill="0" applyBorder="0" applyAlignment="0" applyProtection="0"/>
    <xf numFmtId="9" fontId="6" fillId="0" borderId="0" applyFont="0" applyFill="0" applyBorder="0" applyAlignment="0" applyProtection="0"/>
  </cellStyleXfs>
  <cellXfs count="40">
    <xf numFmtId="0" fontId="0" fillId="0" borderId="0" xfId="0"/>
    <xf numFmtId="0" fontId="1" fillId="0" borderId="0" xfId="0" applyFont="1"/>
    <xf numFmtId="165" fontId="1" fillId="0" borderId="0" xfId="1" applyFont="1"/>
    <xf numFmtId="14" fontId="1" fillId="0" borderId="0" xfId="0" applyNumberFormat="1" applyFont="1"/>
    <xf numFmtId="166" fontId="1" fillId="0" borderId="0" xfId="1" applyNumberFormat="1" applyFont="1"/>
    <xf numFmtId="14" fontId="0" fillId="0" borderId="0" xfId="0" applyNumberFormat="1"/>
    <xf numFmtId="0" fontId="3" fillId="0" borderId="0" xfId="0" applyFont="1"/>
    <xf numFmtId="0" fontId="0" fillId="0" borderId="0" xfId="0" applyAlignment="1">
      <alignment horizontal="right"/>
    </xf>
    <xf numFmtId="0" fontId="2" fillId="0" borderId="1" xfId="0" applyFont="1" applyBorder="1"/>
    <xf numFmtId="0" fontId="3" fillId="2" borderId="1" xfId="0" applyFont="1" applyFill="1" applyBorder="1"/>
    <xf numFmtId="0" fontId="3" fillId="3" borderId="1" xfId="0" applyFont="1" applyFill="1" applyBorder="1"/>
    <xf numFmtId="0" fontId="0" fillId="0" borderId="1" xfId="0" applyBorder="1"/>
    <xf numFmtId="167" fontId="0" fillId="0" borderId="1" xfId="0" applyNumberFormat="1" applyBorder="1"/>
    <xf numFmtId="0" fontId="4" fillId="0" borderId="0" xfId="0" applyFont="1"/>
    <xf numFmtId="165" fontId="4" fillId="0" borderId="0" xfId="1" applyFont="1"/>
    <xf numFmtId="14" fontId="4" fillId="0" borderId="0" xfId="0" applyNumberFormat="1" applyFont="1"/>
    <xf numFmtId="0" fontId="3" fillId="0" borderId="2" xfId="0" applyFont="1" applyBorder="1" applyAlignment="1">
      <alignment horizontal="left"/>
    </xf>
    <xf numFmtId="0" fontId="0" fillId="0" borderId="2" xfId="0" applyBorder="1"/>
    <xf numFmtId="0" fontId="3" fillId="4" borderId="1" xfId="0" applyFont="1" applyFill="1" applyBorder="1"/>
    <xf numFmtId="0" fontId="3" fillId="5" borderId="1" xfId="0" applyFont="1" applyFill="1" applyBorder="1"/>
    <xf numFmtId="168" fontId="0" fillId="0" borderId="0" xfId="0" applyNumberFormat="1"/>
    <xf numFmtId="167" fontId="3" fillId="0" borderId="0" xfId="0" applyNumberFormat="1" applyFont="1"/>
    <xf numFmtId="167" fontId="0" fillId="0" borderId="0" xfId="0" applyNumberFormat="1"/>
    <xf numFmtId="169" fontId="0" fillId="0" borderId="1" xfId="0" applyNumberFormat="1" applyBorder="1"/>
    <xf numFmtId="0" fontId="0" fillId="0" borderId="0" xfId="0" pivotButton="1"/>
    <xf numFmtId="0" fontId="0" fillId="0" borderId="3" xfId="0" applyBorder="1"/>
    <xf numFmtId="167" fontId="0" fillId="0" borderId="3" xfId="0" applyNumberFormat="1" applyBorder="1"/>
    <xf numFmtId="164" fontId="0" fillId="0" borderId="3" xfId="0" applyNumberFormat="1" applyBorder="1"/>
    <xf numFmtId="0" fontId="3" fillId="6" borderId="3" xfId="0" applyFont="1" applyFill="1" applyBorder="1"/>
    <xf numFmtId="170" fontId="0" fillId="0" borderId="0" xfId="0" pivotButton="1" applyNumberFormat="1"/>
    <xf numFmtId="170" fontId="0" fillId="0" borderId="0" xfId="0" applyNumberFormat="1"/>
    <xf numFmtId="171" fontId="0" fillId="0" borderId="0" xfId="0" applyNumberFormat="1"/>
    <xf numFmtId="0" fontId="2" fillId="0" borderId="0" xfId="0" applyFont="1"/>
    <xf numFmtId="167" fontId="2" fillId="0" borderId="0" xfId="0" applyNumberFormat="1" applyFont="1"/>
    <xf numFmtId="167" fontId="5" fillId="0" borderId="0" xfId="0" applyNumberFormat="1" applyFont="1"/>
    <xf numFmtId="9" fontId="0" fillId="0" borderId="0" xfId="0" applyNumberFormat="1"/>
    <xf numFmtId="10" fontId="0" fillId="0" borderId="0" xfId="2" applyNumberFormat="1" applyFont="1"/>
    <xf numFmtId="0" fontId="5" fillId="0" borderId="0" xfId="0" applyFont="1"/>
    <xf numFmtId="170" fontId="5" fillId="0" borderId="0" xfId="0" applyNumberFormat="1" applyFont="1"/>
    <xf numFmtId="0" fontId="0" fillId="0" borderId="0" xfId="0" applyNumberFormat="1"/>
  </cellXfs>
  <cellStyles count="3">
    <cellStyle name="Comma [0]" xfId="1" builtinId="6"/>
    <cellStyle name="Normal" xfId="0" builtinId="0"/>
    <cellStyle name="Percent" xfId="2" builtinId="5"/>
  </cellStyles>
  <dxfs count="28">
    <dxf>
      <numFmt numFmtId="173" formatCode="&quot;$&quot;#,##0.00"/>
    </dxf>
    <dxf>
      <numFmt numFmtId="170" formatCode="mmmm\ yyyy"/>
    </dxf>
    <dxf>
      <numFmt numFmtId="170" formatCode="mmmm\ yyyy"/>
    </dxf>
    <dxf>
      <numFmt numFmtId="170" formatCode="mmmm\ yyyy"/>
    </dxf>
    <dxf>
      <numFmt numFmtId="168" formatCode="[$$-409]#,##0.00"/>
    </dxf>
    <dxf>
      <numFmt numFmtId="173" formatCode="&quot;$&quot;#,##0.00"/>
    </dxf>
    <dxf>
      <numFmt numFmtId="168" formatCode="[$$-409]#,##0.00"/>
    </dxf>
    <dxf>
      <numFmt numFmtId="170" formatCode="mmmm\ yyyy"/>
    </dxf>
    <dxf>
      <numFmt numFmtId="170" formatCode="mmmm\ yyyy"/>
    </dxf>
    <dxf>
      <numFmt numFmtId="170" formatCode="mmmm\ yyyy"/>
    </dxf>
    <dxf>
      <numFmt numFmtId="167" formatCode="[$$-409]#,##0"/>
    </dxf>
    <dxf>
      <numFmt numFmtId="167" formatCode="[$$-409]#,##0"/>
    </dxf>
    <dxf>
      <numFmt numFmtId="0" formatCode="General"/>
    </dxf>
    <dxf>
      <numFmt numFmtId="167" formatCode="[$$-409]#,##0"/>
    </dxf>
    <dxf>
      <numFmt numFmtId="167" formatCode="[$$-409]#,##0"/>
    </dxf>
    <dxf>
      <numFmt numFmtId="167" formatCode="[$$-409]#,##0"/>
    </dxf>
    <dxf>
      <font>
        <b val="0"/>
        <i val="0"/>
        <strike val="0"/>
        <condense val="0"/>
        <extend val="0"/>
        <outline val="0"/>
        <shadow val="0"/>
        <u val="none"/>
        <vertAlign val="baseline"/>
        <sz val="10"/>
        <color theme="1"/>
        <name val="Aptos Narrow"/>
        <family val="2"/>
        <scheme val="minor"/>
      </font>
    </dxf>
    <dxf>
      <font>
        <b val="0"/>
        <i val="0"/>
        <strike val="0"/>
        <condense val="0"/>
        <extend val="0"/>
        <outline val="0"/>
        <shadow val="0"/>
        <u val="none"/>
        <vertAlign val="baseline"/>
        <sz val="10"/>
        <color theme="1"/>
        <name val="Aptos Narrow"/>
        <family val="2"/>
        <scheme val="minor"/>
      </font>
      <numFmt numFmtId="19" formatCode="dd/mm/yyyy"/>
    </dxf>
    <dxf>
      <font>
        <b val="0"/>
        <i val="0"/>
        <strike val="0"/>
        <condense val="0"/>
        <extend val="0"/>
        <outline val="0"/>
        <shadow val="0"/>
        <u val="none"/>
        <vertAlign val="baseline"/>
        <sz val="10"/>
        <color theme="1"/>
        <name val="Aptos Narrow"/>
        <family val="2"/>
        <scheme val="minor"/>
      </font>
      <numFmt numFmtId="166" formatCode="_(* #,##0.00_);_(* \(#,##0.00\);_(* &quot;-&quot;_);_(@_)"/>
    </dxf>
    <dxf>
      <font>
        <b val="0"/>
        <i val="0"/>
        <strike val="0"/>
        <condense val="0"/>
        <extend val="0"/>
        <outline val="0"/>
        <shadow val="0"/>
        <u val="none"/>
        <vertAlign val="baseline"/>
        <sz val="10"/>
        <color theme="1"/>
        <name val="Aptos Narrow"/>
        <family val="2"/>
        <scheme val="minor"/>
      </font>
    </dxf>
    <dxf>
      <font>
        <b val="0"/>
        <i val="0"/>
        <strike val="0"/>
        <condense val="0"/>
        <extend val="0"/>
        <outline val="0"/>
        <shadow val="0"/>
        <u val="none"/>
        <vertAlign val="baseline"/>
        <sz val="10"/>
        <color theme="1"/>
        <name val="Aptos Narrow"/>
        <family val="2"/>
        <scheme val="minor"/>
      </font>
    </dxf>
    <dxf>
      <font>
        <b val="0"/>
        <i val="0"/>
        <strike val="0"/>
        <condense val="0"/>
        <extend val="0"/>
        <outline val="0"/>
        <shadow val="0"/>
        <u val="none"/>
        <vertAlign val="baseline"/>
        <sz val="10"/>
        <color theme="1"/>
        <name val="Aptos Narrow"/>
        <family val="2"/>
        <scheme val="minor"/>
      </font>
    </dxf>
    <dxf>
      <font>
        <b val="0"/>
        <i val="0"/>
        <strike val="0"/>
        <condense val="0"/>
        <extend val="0"/>
        <outline val="0"/>
        <shadow val="0"/>
        <u val="none"/>
        <vertAlign val="baseline"/>
        <sz val="10"/>
        <color theme="1"/>
        <name val="Aptos Narrow"/>
        <family val="2"/>
        <scheme val="minor"/>
      </font>
    </dxf>
    <dxf>
      <font>
        <b val="0"/>
        <i val="0"/>
        <strike val="0"/>
        <condense val="0"/>
        <extend val="0"/>
        <outline val="0"/>
        <shadow val="0"/>
        <u val="none"/>
        <vertAlign val="baseline"/>
        <sz val="10"/>
        <color theme="1"/>
        <name val="Aptos Narrow"/>
        <family val="2"/>
        <scheme val="minor"/>
      </font>
    </dxf>
    <dxf>
      <font>
        <b val="0"/>
        <i val="0"/>
        <strike val="0"/>
        <condense val="0"/>
        <extend val="0"/>
        <outline val="0"/>
        <shadow val="0"/>
        <u val="none"/>
        <vertAlign val="baseline"/>
        <sz val="10"/>
        <color theme="1"/>
        <name val="Aptos Narrow"/>
        <family val="2"/>
        <scheme val="minor"/>
      </font>
    </dxf>
    <dxf>
      <font>
        <b/>
        <i val="0"/>
        <strike val="0"/>
        <condense val="0"/>
        <extend val="0"/>
        <outline val="0"/>
        <shadow val="0"/>
        <u val="none"/>
        <vertAlign val="baseline"/>
        <sz val="10"/>
        <color rgb="FF000000"/>
        <name val="Aptos Narrow"/>
        <scheme val="minor"/>
      </font>
      <numFmt numFmtId="167" formatCode="[$$-409]#,##0"/>
    </dxf>
    <dxf>
      <font>
        <b val="0"/>
        <i val="0"/>
        <sz val="10"/>
        <color rgb="FFF2F2F2"/>
        <name val="Segoe UI"/>
        <family val="2"/>
        <scheme val="none"/>
      </font>
      <border>
        <bottom style="thin">
          <color theme="0" tint="-0.34998626667073579"/>
        </bottom>
        <vertical/>
        <horizontal/>
      </border>
    </dxf>
    <dxf>
      <font>
        <color theme="1"/>
      </font>
      <fill>
        <patternFill>
          <bgColor rgb="FF1E2328"/>
        </patternFill>
      </fill>
      <border diagonalUp="0" diagonalDown="0">
        <left/>
        <right/>
        <top/>
        <bottom/>
        <vertical/>
        <horizontal/>
      </border>
    </dxf>
  </dxfs>
  <tableStyles count="1" defaultTableStyle="TableStyleMedium2" defaultPivotStyle="PivotStyleLight16">
    <tableStyle name="SlicerStyleOther1 2" pivot="0" table="0" count="10" xr9:uid="{75D11CFF-AC1C-4490-B150-C38A1A0985BC}">
      <tableStyleElement type="wholeTable" dxfId="27"/>
      <tableStyleElement type="headerRow" dxfId="26"/>
    </tableStyle>
  </tableStyles>
  <colors>
    <mruColors>
      <color rgb="FFF2F2F2"/>
      <color rgb="FF9AA0A6"/>
      <color rgb="FF1E5F46"/>
      <color rgb="FF173B2E"/>
      <color rgb="FF278C64"/>
      <color rgb="FF34D399"/>
      <color rgb="FF1E2328"/>
      <color rgb="FF2E3438"/>
      <color rgb="FFC2F5DE"/>
      <color rgb="FF7FE6BC"/>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i val="0"/>
            <sz val="10"/>
            <color rgb="FF121417"/>
            <name val="Segoe UI"/>
            <family val="2"/>
          </font>
          <fill>
            <patternFill patternType="solid">
              <fgColor theme="0" tint="-0.14996795556505021"/>
              <bgColor rgb="FF34D399"/>
            </patternFill>
          </fill>
          <border>
            <left style="thin">
              <color rgb="FFCCCCCC"/>
            </left>
            <right style="thin">
              <color rgb="FFCCCCCC"/>
            </right>
            <top style="thin">
              <color rgb="FFCCCCCC"/>
            </top>
            <bottom style="thin">
              <color rgb="FFCCCCCC"/>
            </bottom>
            <vertical/>
            <horizontal/>
          </border>
        </dxf>
        <dxf>
          <font>
            <b/>
            <i val="0"/>
            <sz val="10"/>
            <color rgb="FF121417"/>
            <name val="Segoe UI"/>
            <family val="2"/>
            <scheme val="none"/>
          </font>
          <fill>
            <patternFill patternType="solid">
              <fgColor theme="0" tint="-0.249977111117893"/>
              <bgColor rgb="FF34D399"/>
            </patternFill>
          </fill>
          <border>
            <left style="thin">
              <color rgb="FF999999"/>
            </left>
            <right style="thin">
              <color rgb="FF999999"/>
            </right>
            <top style="thin">
              <color rgb="FF999999"/>
            </top>
            <bottom style="thin">
              <color rgb="FF999999"/>
            </bottom>
            <vertical/>
            <horizontal/>
          </border>
        </dxf>
        <dxf>
          <font>
            <b/>
            <i val="0"/>
            <sz val="10"/>
            <color rgb="FF121417"/>
            <name val="Segoe UI"/>
            <family val="2"/>
          </font>
          <fill>
            <patternFill patternType="solid">
              <fgColor theme="0"/>
              <bgColor rgb="FF34D399"/>
            </patternFill>
          </fill>
          <border>
            <left style="thin">
              <color rgb="FFE0E0E0"/>
            </left>
            <right style="thin">
              <color rgb="FFE0E0E0"/>
            </right>
            <top style="thin">
              <color rgb="FFE0E0E0"/>
            </top>
            <bottom style="thin">
              <color rgb="FFE0E0E0"/>
            </bottom>
            <vertical/>
            <horizontal/>
          </border>
        </dxf>
        <dxf>
          <font>
            <sz val="10"/>
            <color rgb="FFF2F2F2"/>
            <name val="Segoe UI"/>
            <family val="2"/>
            <scheme val="none"/>
          </font>
          <fill>
            <patternFill patternType="solid">
              <fgColor theme="0"/>
              <bgColor rgb="FF1E2328"/>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Other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Finance.xlsx]Pivot!PivotTable10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Operating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7C7AC"/>
          </a:solidFill>
          <a:ln w="19050">
            <a:solidFill>
              <a:schemeClr val="lt1"/>
            </a:solidFill>
          </a:ln>
          <a:effectLst/>
        </c:spPr>
        <c:marker>
          <c:symbol val="circle"/>
          <c:size val="5"/>
        </c:marker>
      </c:pivotFmt>
      <c:pivotFmt>
        <c:idx val="1"/>
        <c:spPr>
          <a:solidFill>
            <a:srgbClr val="F1A983"/>
          </a:solidFill>
          <a:ln w="19050">
            <a:solidFill>
              <a:schemeClr val="lt1"/>
            </a:solidFill>
          </a:ln>
          <a:effectLst/>
        </c:spPr>
      </c:pivotFmt>
      <c:pivotFmt>
        <c:idx val="2"/>
        <c:spPr>
          <a:solidFill>
            <a:srgbClr val="D86DCD"/>
          </a:solidFill>
          <a:ln w="19050">
            <a:solidFill>
              <a:schemeClr val="lt1"/>
            </a:solidFill>
          </a:ln>
          <a:effectLst/>
        </c:spPr>
      </c:pivotFmt>
      <c:pivotFmt>
        <c:idx val="3"/>
        <c:spPr>
          <a:solidFill>
            <a:srgbClr val="F7C7AC"/>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D86DCD"/>
          </a:solidFill>
          <a:ln w="19050">
            <a:solidFill>
              <a:schemeClr val="lt1"/>
            </a:solidFill>
          </a:ln>
          <a:effectLst/>
        </c:spPr>
      </c:pivotFmt>
      <c:pivotFmt>
        <c:idx val="5"/>
        <c:spPr>
          <a:solidFill>
            <a:srgbClr val="F1A983"/>
          </a:solidFill>
          <a:ln w="19050">
            <a:solidFill>
              <a:schemeClr val="lt1"/>
            </a:solidFill>
          </a:ln>
          <a:effectLst/>
        </c:spPr>
      </c:pivotFmt>
      <c:pivotFmt>
        <c:idx val="6"/>
        <c:spPr>
          <a:solidFill>
            <a:srgbClr val="F7C7AC"/>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D86DCD"/>
          </a:solidFill>
          <a:ln w="19050">
            <a:solidFill>
              <a:schemeClr val="lt1"/>
            </a:solidFill>
          </a:ln>
          <a:effectLst/>
        </c:spPr>
      </c:pivotFmt>
      <c:pivotFmt>
        <c:idx val="8"/>
        <c:spPr>
          <a:solidFill>
            <a:srgbClr val="F1A983"/>
          </a:solidFill>
          <a:ln w="19050">
            <a:solidFill>
              <a:schemeClr val="lt1"/>
            </a:solidFill>
          </a:ln>
          <a:effectLst/>
        </c:spPr>
      </c:pivotFmt>
      <c:pivotFmt>
        <c:idx val="9"/>
        <c:spPr>
          <a:solidFill>
            <a:srgbClr val="F7C7AC"/>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D86DCD"/>
          </a:solidFill>
          <a:ln w="19050">
            <a:solidFill>
              <a:schemeClr val="lt1"/>
            </a:solidFill>
          </a:ln>
          <a:effectLst/>
        </c:spPr>
      </c:pivotFmt>
      <c:pivotFmt>
        <c:idx val="11"/>
        <c:spPr>
          <a:solidFill>
            <a:srgbClr val="F1A983"/>
          </a:solidFill>
          <a:ln w="19050">
            <a:solidFill>
              <a:schemeClr val="lt1"/>
            </a:solidFill>
          </a:ln>
          <a:effectLst/>
        </c:spPr>
      </c:pivotFmt>
    </c:pivotFmts>
    <c:plotArea>
      <c:layout/>
      <c:pieChart>
        <c:varyColors val="1"/>
        <c:ser>
          <c:idx val="0"/>
          <c:order val="0"/>
          <c:tx>
            <c:strRef>
              <c:f>Pivot!$AL$14</c:f>
              <c:strCache>
                <c:ptCount val="1"/>
                <c:pt idx="0">
                  <c:v>Total</c:v>
                </c:pt>
              </c:strCache>
            </c:strRef>
          </c:tx>
          <c:spPr>
            <a:solidFill>
              <a:srgbClr val="F7C7AC"/>
            </a:solidFill>
          </c:spPr>
          <c:dPt>
            <c:idx val="0"/>
            <c:bubble3D val="0"/>
            <c:spPr>
              <a:solidFill>
                <a:srgbClr val="D86DCD"/>
              </a:solidFill>
              <a:ln w="19050">
                <a:solidFill>
                  <a:schemeClr val="lt1"/>
                </a:solidFill>
              </a:ln>
              <a:effectLst/>
            </c:spPr>
            <c:extLst>
              <c:ext xmlns:c16="http://schemas.microsoft.com/office/drawing/2014/chart" uri="{C3380CC4-5D6E-409C-BE32-E72D297353CC}">
                <c16:uniqueId val="{00000004-0323-4A24-9564-87316174AD85}"/>
              </c:ext>
            </c:extLst>
          </c:dPt>
          <c:dPt>
            <c:idx val="1"/>
            <c:bubble3D val="0"/>
            <c:spPr>
              <a:solidFill>
                <a:srgbClr val="F1A983"/>
              </a:solidFill>
              <a:ln w="19050">
                <a:solidFill>
                  <a:schemeClr val="lt1"/>
                </a:solidFill>
              </a:ln>
              <a:effectLst/>
            </c:spPr>
            <c:extLst>
              <c:ext xmlns:c16="http://schemas.microsoft.com/office/drawing/2014/chart" uri="{C3380CC4-5D6E-409C-BE32-E72D297353CC}">
                <c16:uniqueId val="{00000003-0323-4A24-9564-87316174AD85}"/>
              </c:ext>
            </c:extLst>
          </c:dPt>
          <c:cat>
            <c:strRef>
              <c:f>Pivot!$AK$15:$AK$16</c:f>
              <c:strCache>
                <c:ptCount val="2"/>
                <c:pt idx="0">
                  <c:v>2013</c:v>
                </c:pt>
                <c:pt idx="1">
                  <c:v>2014</c:v>
                </c:pt>
              </c:strCache>
            </c:strRef>
          </c:cat>
          <c:val>
            <c:numRef>
              <c:f>Pivot!$AL$15:$AL$16</c:f>
              <c:numCache>
                <c:formatCode>[$$-409]#,##0</c:formatCode>
                <c:ptCount val="2"/>
                <c:pt idx="0">
                  <c:v>4715804.450000003</c:v>
                </c:pt>
                <c:pt idx="1">
                  <c:v>16634970.57729524</c:v>
                </c:pt>
              </c:numCache>
            </c:numRef>
          </c:val>
          <c:extLst>
            <c:ext xmlns:c16="http://schemas.microsoft.com/office/drawing/2014/chart" uri="{C3380CC4-5D6E-409C-BE32-E72D297353CC}">
              <c16:uniqueId val="{00000000-0323-4A24-9564-87316174AD85}"/>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Finance.xlsx]Pivot!PivotTable12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Net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050"/>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rgbClr val="00B050"/>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rgbClr val="00B050"/>
          </a:solidFill>
          <a:ln w="19050">
            <a:solidFill>
              <a:schemeClr val="lt1"/>
            </a:solidFill>
          </a:ln>
          <a:effectLst/>
        </c:spPr>
      </c:pivotFmt>
    </c:pivotFmts>
    <c:plotArea>
      <c:layout/>
      <c:pieChart>
        <c:varyColors val="1"/>
        <c:ser>
          <c:idx val="0"/>
          <c:order val="0"/>
          <c:tx>
            <c:strRef>
              <c:f>Pivot!$AO$14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3E5-4273-9106-5DAC7D05FBC4}"/>
              </c:ext>
            </c:extLst>
          </c:dPt>
          <c:dPt>
            <c:idx val="1"/>
            <c:bubble3D val="0"/>
            <c:spPr>
              <a:solidFill>
                <a:srgbClr val="00B050"/>
              </a:solidFill>
              <a:ln w="19050">
                <a:solidFill>
                  <a:schemeClr val="lt1"/>
                </a:solidFill>
              </a:ln>
              <a:effectLst/>
            </c:spPr>
            <c:extLst>
              <c:ext xmlns:c16="http://schemas.microsoft.com/office/drawing/2014/chart" uri="{C3380CC4-5D6E-409C-BE32-E72D297353CC}">
                <c16:uniqueId val="{00000003-C8D8-4644-8A0F-ED7C8B4DDEC1}"/>
              </c:ext>
            </c:extLst>
          </c:dPt>
          <c:cat>
            <c:strRef>
              <c:f>Pivot!$AN$15:$AN$16</c:f>
              <c:strCache>
                <c:ptCount val="2"/>
                <c:pt idx="0">
                  <c:v>2013</c:v>
                </c:pt>
                <c:pt idx="1">
                  <c:v>2014</c:v>
                </c:pt>
              </c:strCache>
            </c:strRef>
          </c:cat>
          <c:val>
            <c:numRef>
              <c:f>Pivot!$AO$15:$AO$16</c:f>
              <c:numCache>
                <c:formatCode>[$$-409]#,##0</c:formatCode>
                <c:ptCount val="2"/>
                <c:pt idx="0">
                  <c:v>3678328.450000003</c:v>
                </c:pt>
                <c:pt idx="1">
                  <c:v>12975277.57729524</c:v>
                </c:pt>
              </c:numCache>
            </c:numRef>
          </c:val>
          <c:extLst>
            <c:ext xmlns:c16="http://schemas.microsoft.com/office/drawing/2014/chart" uri="{C3380CC4-5D6E-409C-BE32-E72D297353CC}">
              <c16:uniqueId val="{00000000-C8D8-4644-8A0F-ED7C8B4DDEC1}"/>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Finance.xlsx]Pivot!Monthly Profit Trend</c:name>
    <c:fmtId val="18"/>
  </c:pivotSource>
  <c:chart>
    <c:title>
      <c:tx>
        <c:rich>
          <a:bodyPr rot="0" spcFirstLastPara="1" vertOverflow="ellipsis" vert="horz" wrap="square" anchor="ctr" anchorCtr="1"/>
          <a:lstStyle/>
          <a:p>
            <a:pPr algn="ctr">
              <a:defRPr sz="1400" b="0" i="0" u="none" strike="noStrike" kern="1200" spc="0" baseline="0">
                <a:solidFill>
                  <a:srgbClr val="F2F2F2"/>
                </a:solidFill>
                <a:latin typeface="Segoe UI Semibold" panose="020B0702040204020203" pitchFamily="34" charset="0"/>
                <a:ea typeface="+mn-ea"/>
                <a:cs typeface="Segoe UI Semibold" panose="020B0702040204020203" pitchFamily="34" charset="0"/>
              </a:defRPr>
            </a:pPr>
            <a:r>
              <a:rPr lang="en-US" b="1">
                <a:solidFill>
                  <a:srgbClr val="F2F2F2"/>
                </a:solidFill>
                <a:latin typeface="Segoe UI" panose="020B0502040204020203" pitchFamily="34" charset="0"/>
                <a:cs typeface="Segoe UI" panose="020B0502040204020203" pitchFamily="34" charset="0"/>
              </a:rPr>
              <a:t>	Revenue &amp; Gross Profit Trend</a:t>
            </a:r>
          </a:p>
        </c:rich>
      </c:tx>
      <c:overlay val="0"/>
      <c:spPr>
        <a:noFill/>
        <a:ln w="25400">
          <a:noFill/>
        </a:ln>
        <a:effectLst/>
      </c:spPr>
      <c:txPr>
        <a:bodyPr rot="0" spcFirstLastPara="1" vertOverflow="ellipsis" vert="horz" wrap="square" anchor="ctr" anchorCtr="1"/>
        <a:lstStyle/>
        <a:p>
          <a:pPr algn="ctr">
            <a:defRPr sz="1400" b="0" i="0" u="none" strike="noStrike" kern="1200" spc="0" baseline="0">
              <a:solidFill>
                <a:srgbClr val="F2F2F2"/>
              </a:solidFill>
              <a:latin typeface="Segoe UI Semibold" panose="020B0702040204020203" pitchFamily="34" charset="0"/>
              <a:ea typeface="+mn-ea"/>
              <a:cs typeface="Segoe UI Semibold" panose="020B0702040204020203" pitchFamily="34" charset="0"/>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34D399"/>
            </a:solidFill>
            <a:round/>
          </a:ln>
          <a:effectLst/>
        </c:spPr>
        <c:marker>
          <c:symbol val="circle"/>
          <c:size val="5"/>
          <c:spPr>
            <a:solidFill>
              <a:srgbClr val="34D399"/>
            </a:solidFill>
            <a:ln w="9525">
              <a:solidFill>
                <a:srgbClr val="34D399"/>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rgbClr val="9AA0A6"/>
            </a:solidFill>
            <a:round/>
          </a:ln>
          <a:effectLst/>
        </c:spPr>
        <c:marker>
          <c:symbol val="circle"/>
          <c:size val="5"/>
          <c:spPr>
            <a:solidFill>
              <a:srgbClr val="9AA0A6"/>
            </a:solidFill>
            <a:ln w="9525">
              <a:solidFill>
                <a:srgbClr val="9AA0A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rgbClr val="34D399"/>
            </a:solidFill>
            <a:round/>
          </a:ln>
          <a:effectLst/>
        </c:spPr>
        <c:marker>
          <c:symbol val="circle"/>
          <c:size val="5"/>
          <c:spPr>
            <a:solidFill>
              <a:srgbClr val="34D399"/>
            </a:solidFill>
            <a:ln w="9525">
              <a:solidFill>
                <a:srgbClr val="34D399"/>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rgbClr val="9AA0A6"/>
            </a:solidFill>
            <a:round/>
          </a:ln>
          <a:effectLst/>
        </c:spPr>
        <c:marker>
          <c:symbol val="circle"/>
          <c:size val="5"/>
          <c:spPr>
            <a:solidFill>
              <a:srgbClr val="9AA0A6"/>
            </a:solidFill>
            <a:ln w="9525">
              <a:solidFill>
                <a:srgbClr val="9AA0A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rgbClr val="34D399"/>
            </a:solidFill>
            <a:round/>
          </a:ln>
          <a:effectLst/>
        </c:spPr>
        <c:marker>
          <c:symbol val="circle"/>
          <c:size val="5"/>
          <c:spPr>
            <a:solidFill>
              <a:srgbClr val="34D399"/>
            </a:solidFill>
            <a:ln w="9525">
              <a:solidFill>
                <a:srgbClr val="34D399"/>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rgbClr val="9AA0A6"/>
            </a:solidFill>
            <a:round/>
          </a:ln>
          <a:effectLst/>
        </c:spPr>
        <c:marker>
          <c:symbol val="circle"/>
          <c:size val="5"/>
          <c:spPr>
            <a:solidFill>
              <a:srgbClr val="9AA0A6"/>
            </a:solidFill>
            <a:ln w="9525">
              <a:solidFill>
                <a:srgbClr val="9AA0A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rgbClr val="34D399"/>
            </a:solidFill>
            <a:round/>
          </a:ln>
          <a:effectLst/>
        </c:spPr>
        <c:marker>
          <c:symbol val="circle"/>
          <c:size val="5"/>
          <c:spPr>
            <a:solidFill>
              <a:srgbClr val="34D399"/>
            </a:solidFill>
            <a:ln w="9525">
              <a:solidFill>
                <a:srgbClr val="34D399"/>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rgbClr val="9AA0A6"/>
            </a:solidFill>
            <a:round/>
          </a:ln>
          <a:effectLst/>
        </c:spPr>
        <c:marker>
          <c:symbol val="circle"/>
          <c:size val="5"/>
          <c:spPr>
            <a:solidFill>
              <a:srgbClr val="9AA0A6"/>
            </a:solidFill>
            <a:ln w="9525">
              <a:solidFill>
                <a:srgbClr val="9AA0A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rgbClr val="34D399"/>
            </a:solidFill>
            <a:round/>
          </a:ln>
          <a:effectLst/>
        </c:spPr>
        <c:marker>
          <c:symbol val="circle"/>
          <c:size val="5"/>
          <c:spPr>
            <a:solidFill>
              <a:srgbClr val="34D399"/>
            </a:solidFill>
            <a:ln w="9525">
              <a:solidFill>
                <a:srgbClr val="34D399"/>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rgbClr val="9AA0A6"/>
            </a:solidFill>
            <a:round/>
          </a:ln>
          <a:effectLst/>
        </c:spPr>
        <c:marker>
          <c:symbol val="circle"/>
          <c:size val="5"/>
          <c:spPr>
            <a:solidFill>
              <a:srgbClr val="9AA0A6"/>
            </a:solidFill>
            <a:ln w="9525">
              <a:solidFill>
                <a:srgbClr val="9AA0A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rgbClr val="34D399"/>
            </a:solidFill>
            <a:round/>
          </a:ln>
          <a:effectLst/>
        </c:spPr>
        <c:marker>
          <c:symbol val="circle"/>
          <c:size val="5"/>
          <c:spPr>
            <a:solidFill>
              <a:srgbClr val="34D399"/>
            </a:solidFill>
            <a:ln w="9525">
              <a:solidFill>
                <a:srgbClr val="34D399"/>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rgbClr val="9AA0A6"/>
            </a:solidFill>
            <a:round/>
          </a:ln>
          <a:effectLst/>
        </c:spPr>
        <c:marker>
          <c:symbol val="circle"/>
          <c:size val="5"/>
          <c:spPr>
            <a:solidFill>
              <a:srgbClr val="9AA0A6"/>
            </a:solidFill>
            <a:ln w="9525">
              <a:solidFill>
                <a:srgbClr val="9AA0A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rgbClr val="34D399"/>
            </a:solidFill>
            <a:round/>
          </a:ln>
          <a:effectLst/>
        </c:spPr>
        <c:marker>
          <c:symbol val="circle"/>
          <c:size val="5"/>
          <c:spPr>
            <a:solidFill>
              <a:srgbClr val="34D399"/>
            </a:solidFill>
            <a:ln w="9525">
              <a:solidFill>
                <a:srgbClr val="34D399"/>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rgbClr val="9AA0A6"/>
            </a:solidFill>
            <a:round/>
          </a:ln>
          <a:effectLst/>
        </c:spPr>
        <c:marker>
          <c:symbol val="circle"/>
          <c:size val="5"/>
          <c:spPr>
            <a:solidFill>
              <a:srgbClr val="9AA0A6"/>
            </a:solidFill>
            <a:ln w="9525">
              <a:solidFill>
                <a:srgbClr val="9AA0A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rgbClr val="34D399"/>
            </a:solidFill>
            <a:round/>
          </a:ln>
          <a:effectLst/>
        </c:spPr>
        <c:marker>
          <c:symbol val="circle"/>
          <c:size val="5"/>
          <c:spPr>
            <a:solidFill>
              <a:srgbClr val="34D399"/>
            </a:solidFill>
            <a:ln w="9525">
              <a:solidFill>
                <a:srgbClr val="34D399"/>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rgbClr val="9AA0A6"/>
            </a:solidFill>
            <a:round/>
          </a:ln>
          <a:effectLst/>
        </c:spPr>
        <c:marker>
          <c:symbol val="circle"/>
          <c:size val="5"/>
          <c:spPr>
            <a:solidFill>
              <a:srgbClr val="9AA0A6"/>
            </a:solidFill>
            <a:ln w="9525">
              <a:solidFill>
                <a:srgbClr val="9AA0A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rgbClr val="34D399"/>
            </a:solidFill>
            <a:round/>
          </a:ln>
          <a:effectLst/>
        </c:spPr>
        <c:marker>
          <c:symbol val="circle"/>
          <c:size val="5"/>
          <c:spPr>
            <a:solidFill>
              <a:srgbClr val="34D399"/>
            </a:solidFill>
            <a:ln w="9525">
              <a:solidFill>
                <a:srgbClr val="34D399"/>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rgbClr val="9AA0A6"/>
            </a:solidFill>
            <a:round/>
          </a:ln>
          <a:effectLst/>
        </c:spPr>
        <c:marker>
          <c:symbol val="circle"/>
          <c:size val="5"/>
          <c:spPr>
            <a:solidFill>
              <a:srgbClr val="9AA0A6"/>
            </a:solidFill>
            <a:ln w="9525">
              <a:solidFill>
                <a:srgbClr val="9AA0A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Pivot!$N$1</c:f>
              <c:strCache>
                <c:ptCount val="1"/>
                <c:pt idx="0">
                  <c:v>Revenue</c:v>
                </c:pt>
              </c:strCache>
            </c:strRef>
          </c:tx>
          <c:spPr>
            <a:ln w="28575" cap="rnd">
              <a:solidFill>
                <a:srgbClr val="34D399"/>
              </a:solidFill>
              <a:round/>
            </a:ln>
            <a:effectLst/>
          </c:spPr>
          <c:marker>
            <c:symbol val="circle"/>
            <c:size val="5"/>
            <c:spPr>
              <a:solidFill>
                <a:srgbClr val="34D399"/>
              </a:solidFill>
              <a:ln w="9525">
                <a:solidFill>
                  <a:srgbClr val="34D399"/>
                </a:solidFill>
              </a:ln>
              <a:effectLst/>
            </c:spPr>
          </c:marker>
          <c:cat>
            <c:strRef>
              <c:f>Pivot!$M$2:$M$17</c:f>
              <c:strCache>
                <c:ptCount val="16"/>
                <c:pt idx="0">
                  <c:v>Sep 2013</c:v>
                </c:pt>
                <c:pt idx="1">
                  <c:v>Oct 2013</c:v>
                </c:pt>
                <c:pt idx="2">
                  <c:v>Nov 2013</c:v>
                </c:pt>
                <c:pt idx="3">
                  <c:v>Dec 2013</c:v>
                </c:pt>
                <c:pt idx="4">
                  <c:v>Jan 2014</c:v>
                </c:pt>
                <c:pt idx="5">
                  <c:v>Feb 2014</c:v>
                </c:pt>
                <c:pt idx="6">
                  <c:v>Mar 2014</c:v>
                </c:pt>
                <c:pt idx="7">
                  <c:v>Apr 2014</c:v>
                </c:pt>
                <c:pt idx="8">
                  <c:v>May 2014</c:v>
                </c:pt>
                <c:pt idx="9">
                  <c:v>Jun 2014</c:v>
                </c:pt>
                <c:pt idx="10">
                  <c:v>Jul 2014</c:v>
                </c:pt>
                <c:pt idx="11">
                  <c:v>Aug 2014</c:v>
                </c:pt>
                <c:pt idx="12">
                  <c:v>Sep 2014</c:v>
                </c:pt>
                <c:pt idx="13">
                  <c:v>Oct 2014</c:v>
                </c:pt>
                <c:pt idx="14">
                  <c:v>Nov 2014</c:v>
                </c:pt>
                <c:pt idx="15">
                  <c:v>Dec 2014</c:v>
                </c:pt>
              </c:strCache>
            </c:strRef>
          </c:cat>
          <c:val>
            <c:numRef>
              <c:f>Pivot!$N$2:$N$17</c:f>
              <c:numCache>
                <c:formatCode>[$$-409]#,##0</c:formatCode>
                <c:ptCount val="16"/>
                <c:pt idx="0">
                  <c:v>6117183.9499999983</c:v>
                </c:pt>
                <c:pt idx="1">
                  <c:v>11188753.5</c:v>
                </c:pt>
                <c:pt idx="2">
                  <c:v>7630026.9500000002</c:v>
                </c:pt>
                <c:pt idx="3">
                  <c:v>6497387.0500000007</c:v>
                </c:pt>
                <c:pt idx="4">
                  <c:v>8236148.2257142859</c:v>
                </c:pt>
                <c:pt idx="5">
                  <c:v>7837279.5000000009</c:v>
                </c:pt>
                <c:pt idx="6">
                  <c:v>6131979.2000000002</c:v>
                </c:pt>
                <c:pt idx="7">
                  <c:v>9126710.0599142853</c:v>
                </c:pt>
                <c:pt idx="8">
                  <c:v>6483235.5999999996</c:v>
                </c:pt>
                <c:pt idx="9">
                  <c:v>13302620.449999999</c:v>
                </c:pt>
                <c:pt idx="10">
                  <c:v>7899817.2416666662</c:v>
                </c:pt>
                <c:pt idx="11">
                  <c:v>7779475.6000000006</c:v>
                </c:pt>
                <c:pt idx="12">
                  <c:v>6907868.9000000004</c:v>
                </c:pt>
                <c:pt idx="13">
                  <c:v>12611631.199999999</c:v>
                </c:pt>
                <c:pt idx="14">
                  <c:v>6078227.9500000002</c:v>
                </c:pt>
                <c:pt idx="15">
                  <c:v>11359852.649999999</c:v>
                </c:pt>
              </c:numCache>
            </c:numRef>
          </c:val>
          <c:smooth val="0"/>
          <c:extLst>
            <c:ext xmlns:c16="http://schemas.microsoft.com/office/drawing/2014/chart" uri="{C3380CC4-5D6E-409C-BE32-E72D297353CC}">
              <c16:uniqueId val="{00000000-02C4-437A-BA58-B5E912E83ED7}"/>
            </c:ext>
          </c:extLst>
        </c:ser>
        <c:ser>
          <c:idx val="1"/>
          <c:order val="1"/>
          <c:tx>
            <c:strRef>
              <c:f>Pivot!$O$1</c:f>
              <c:strCache>
                <c:ptCount val="1"/>
                <c:pt idx="0">
                  <c:v>Gross Profit</c:v>
                </c:pt>
              </c:strCache>
            </c:strRef>
          </c:tx>
          <c:spPr>
            <a:ln w="28575" cap="rnd">
              <a:solidFill>
                <a:srgbClr val="9AA0A6"/>
              </a:solidFill>
              <a:round/>
            </a:ln>
            <a:effectLst/>
          </c:spPr>
          <c:marker>
            <c:symbol val="circle"/>
            <c:size val="5"/>
            <c:spPr>
              <a:solidFill>
                <a:srgbClr val="9AA0A6"/>
              </a:solidFill>
              <a:ln w="9525">
                <a:solidFill>
                  <a:srgbClr val="9AA0A6"/>
                </a:solidFill>
              </a:ln>
              <a:effectLst/>
            </c:spPr>
          </c:marker>
          <c:cat>
            <c:strRef>
              <c:f>Pivot!$M$2:$M$17</c:f>
              <c:strCache>
                <c:ptCount val="16"/>
                <c:pt idx="0">
                  <c:v>Sep 2013</c:v>
                </c:pt>
                <c:pt idx="1">
                  <c:v>Oct 2013</c:v>
                </c:pt>
                <c:pt idx="2">
                  <c:v>Nov 2013</c:v>
                </c:pt>
                <c:pt idx="3">
                  <c:v>Dec 2013</c:v>
                </c:pt>
                <c:pt idx="4">
                  <c:v>Jan 2014</c:v>
                </c:pt>
                <c:pt idx="5">
                  <c:v>Feb 2014</c:v>
                </c:pt>
                <c:pt idx="6">
                  <c:v>Mar 2014</c:v>
                </c:pt>
                <c:pt idx="7">
                  <c:v>Apr 2014</c:v>
                </c:pt>
                <c:pt idx="8">
                  <c:v>May 2014</c:v>
                </c:pt>
                <c:pt idx="9">
                  <c:v>Jun 2014</c:v>
                </c:pt>
                <c:pt idx="10">
                  <c:v>Jul 2014</c:v>
                </c:pt>
                <c:pt idx="11">
                  <c:v>Aug 2014</c:v>
                </c:pt>
                <c:pt idx="12">
                  <c:v>Sep 2014</c:v>
                </c:pt>
                <c:pt idx="13">
                  <c:v>Oct 2014</c:v>
                </c:pt>
                <c:pt idx="14">
                  <c:v>Nov 2014</c:v>
                </c:pt>
                <c:pt idx="15">
                  <c:v>Dec 2014</c:v>
                </c:pt>
              </c:strCache>
            </c:strRef>
          </c:cat>
          <c:val>
            <c:numRef>
              <c:f>Pivot!$O$2:$O$17</c:f>
              <c:numCache>
                <c:formatCode>[$$-409]#,##0</c:formatCode>
                <c:ptCount val="16"/>
                <c:pt idx="0">
                  <c:v>1681358.9500000004</c:v>
                </c:pt>
                <c:pt idx="1">
                  <c:v>3385490.5</c:v>
                </c:pt>
                <c:pt idx="2">
                  <c:v>1680771.95</c:v>
                </c:pt>
                <c:pt idx="3">
                  <c:v>1717528.0499999998</c:v>
                </c:pt>
                <c:pt idx="4">
                  <c:v>2249882.2257142854</c:v>
                </c:pt>
                <c:pt idx="5">
                  <c:v>2196795.5000000005</c:v>
                </c:pt>
                <c:pt idx="6">
                  <c:v>1667581.2000000002</c:v>
                </c:pt>
                <c:pt idx="7">
                  <c:v>2930988.0599142858</c:v>
                </c:pt>
                <c:pt idx="8">
                  <c:v>1883465.6</c:v>
                </c:pt>
                <c:pt idx="9">
                  <c:v>3689270.4499999997</c:v>
                </c:pt>
                <c:pt idx="10">
                  <c:v>2348582.2416666667</c:v>
                </c:pt>
                <c:pt idx="11">
                  <c:v>2176445.5999999996</c:v>
                </c:pt>
                <c:pt idx="12">
                  <c:v>2086703.9</c:v>
                </c:pt>
                <c:pt idx="13">
                  <c:v>3258355.2</c:v>
                </c:pt>
                <c:pt idx="14">
                  <c:v>1693218.9499999997</c:v>
                </c:pt>
                <c:pt idx="15">
                  <c:v>3199985.6500000004</c:v>
                </c:pt>
              </c:numCache>
            </c:numRef>
          </c:val>
          <c:smooth val="0"/>
          <c:extLst>
            <c:ext xmlns:c16="http://schemas.microsoft.com/office/drawing/2014/chart" uri="{C3380CC4-5D6E-409C-BE32-E72D297353CC}">
              <c16:uniqueId val="{00000001-02C4-437A-BA58-B5E912E83ED7}"/>
            </c:ext>
          </c:extLst>
        </c:ser>
        <c:dLbls>
          <c:showLegendKey val="0"/>
          <c:showVal val="0"/>
          <c:showCatName val="0"/>
          <c:showSerName val="0"/>
          <c:showPercent val="0"/>
          <c:showBubbleSize val="0"/>
        </c:dLbls>
        <c:marker val="1"/>
        <c:smooth val="0"/>
        <c:axId val="1137857544"/>
        <c:axId val="1137859592"/>
      </c:lineChart>
      <c:catAx>
        <c:axId val="1137857544"/>
        <c:scaling>
          <c:orientation val="minMax"/>
        </c:scaling>
        <c:delete val="0"/>
        <c:axPos val="b"/>
        <c:numFmt formatCode="mmm\ 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9AA0A6"/>
                </a:solidFill>
                <a:latin typeface="Segoe UI" panose="020B0502040204020203" pitchFamily="34" charset="0"/>
                <a:ea typeface="+mn-ea"/>
                <a:cs typeface="Segoe UI" panose="020B0502040204020203" pitchFamily="34" charset="0"/>
              </a:defRPr>
            </a:pPr>
            <a:endParaRPr lang="en-US"/>
          </a:p>
        </c:txPr>
        <c:crossAx val="1137859592"/>
        <c:crosses val="autoZero"/>
        <c:auto val="1"/>
        <c:lblAlgn val="ctr"/>
        <c:lblOffset val="100"/>
        <c:noMultiLvlLbl val="0"/>
      </c:catAx>
      <c:valAx>
        <c:axId val="1137859592"/>
        <c:scaling>
          <c:orientation val="minMax"/>
        </c:scaling>
        <c:delete val="0"/>
        <c:axPos val="l"/>
        <c:majorGridlines>
          <c:spPr>
            <a:ln w="9525" cap="flat" cmpd="sng" algn="ctr">
              <a:solidFill>
                <a:srgbClr val="2E3438"/>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9AA0A6"/>
                </a:solidFill>
                <a:latin typeface="Segoe UI" panose="020B0502040204020203" pitchFamily="34" charset="0"/>
                <a:ea typeface="+mn-ea"/>
                <a:cs typeface="Segoe UI" panose="020B0502040204020203" pitchFamily="34" charset="0"/>
              </a:defRPr>
            </a:pPr>
            <a:endParaRPr lang="en-US"/>
          </a:p>
        </c:txPr>
        <c:crossAx val="11378575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rgbClr val="9AA0A6"/>
              </a:solidFill>
              <a:latin typeface="Segoe UI" panose="020B0502040204020203" pitchFamily="34" charset="0"/>
              <a:ea typeface="+mn-ea"/>
              <a:cs typeface="Segoe UI" panose="020B0502040204020203" pitchFamily="34" charset="0"/>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Finance.xlsx]Pivot!Revenue by Country</c:name>
    <c:fmtId val="29"/>
  </c:pivotSource>
  <c:chart>
    <c:title>
      <c:tx>
        <c:rich>
          <a:bodyPr rot="0" spcFirstLastPara="1" vertOverflow="ellipsis" vert="horz" wrap="square" anchor="ctr" anchorCtr="1"/>
          <a:lstStyle/>
          <a:p>
            <a:pPr>
              <a:defRPr sz="1200" b="0" i="0" u="none" strike="noStrike" kern="1200" spc="0" baseline="0">
                <a:solidFill>
                  <a:srgbClr val="F2F2F2"/>
                </a:solidFill>
                <a:latin typeface="+mn-lt"/>
                <a:ea typeface="+mn-ea"/>
                <a:cs typeface="+mn-cs"/>
              </a:defRPr>
            </a:pPr>
            <a:r>
              <a:rPr lang="en-US" sz="1200">
                <a:solidFill>
                  <a:srgbClr val="F2F2F2"/>
                </a:solidFill>
                <a:latin typeface="Segoe UI Semibold" panose="020B0702040204020203" pitchFamily="34" charset="0"/>
                <a:cs typeface="Segoe UI Semibold" panose="020B0702040204020203" pitchFamily="34" charset="0"/>
              </a:rPr>
              <a:t>Revenue by Country</a:t>
            </a:r>
          </a:p>
        </c:rich>
      </c:tx>
      <c:overlay val="0"/>
      <c:spPr>
        <a:noFill/>
        <a:ln>
          <a:noFill/>
        </a:ln>
        <a:effectLst/>
      </c:spPr>
      <c:txPr>
        <a:bodyPr rot="0" spcFirstLastPara="1" vertOverflow="ellipsis" vert="horz" wrap="square" anchor="ctr" anchorCtr="1"/>
        <a:lstStyle/>
        <a:p>
          <a:pPr>
            <a:defRPr sz="1200" b="0" i="0" u="none" strike="noStrike" kern="1200" spc="0" baseline="0">
              <a:solidFill>
                <a:srgbClr val="F2F2F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34D3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9AA0A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9AA0A6"/>
          </a:solidFill>
          <a:ln>
            <a:noFill/>
          </a:ln>
          <a:effectLst/>
        </c:spPr>
      </c:pivotFmt>
      <c:pivotFmt>
        <c:idx val="10"/>
        <c:spPr>
          <a:solidFill>
            <a:srgbClr val="34D3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9AA0A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34D3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9AA0A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34D3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rgbClr val="9AA0A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rgbClr val="34D3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rgbClr val="9AA0A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rgbClr val="34D3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rgbClr val="9AA0A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rgbClr val="34D3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9AA0A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rgbClr val="34D3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rgbClr val="9AA0A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rgbClr val="34D3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rgbClr val="9AA0A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678034850333227"/>
          <c:y val="0.24873649697979081"/>
          <c:w val="0.56501596096376561"/>
          <c:h val="0.44281827048337602"/>
        </c:manualLayout>
      </c:layout>
      <c:barChart>
        <c:barDir val="bar"/>
        <c:grouping val="clustered"/>
        <c:varyColors val="0"/>
        <c:ser>
          <c:idx val="0"/>
          <c:order val="0"/>
          <c:tx>
            <c:strRef>
              <c:f>Pivot!$B$1</c:f>
              <c:strCache>
                <c:ptCount val="1"/>
                <c:pt idx="0">
                  <c:v>Revenue</c:v>
                </c:pt>
              </c:strCache>
            </c:strRef>
          </c:tx>
          <c:spPr>
            <a:solidFill>
              <a:srgbClr val="34D399"/>
            </a:solidFill>
            <a:ln>
              <a:noFill/>
            </a:ln>
            <a:effectLst/>
          </c:spPr>
          <c:invertIfNegative val="0"/>
          <c:cat>
            <c:strRef>
              <c:f>Pivot!$A$2:$A$6</c:f>
              <c:strCache>
                <c:ptCount val="5"/>
                <c:pt idx="0">
                  <c:v>Canada</c:v>
                </c:pt>
                <c:pt idx="1">
                  <c:v>France</c:v>
                </c:pt>
                <c:pt idx="2">
                  <c:v>Germany</c:v>
                </c:pt>
                <c:pt idx="3">
                  <c:v>Mexico</c:v>
                </c:pt>
                <c:pt idx="4">
                  <c:v>United States of America</c:v>
                </c:pt>
              </c:strCache>
            </c:strRef>
          </c:cat>
          <c:val>
            <c:numRef>
              <c:f>Pivot!$B$2:$B$6</c:f>
              <c:numCache>
                <c:formatCode>[$$-409]#,##0</c:formatCode>
                <c:ptCount val="5"/>
                <c:pt idx="0">
                  <c:v>28710422.458333343</c:v>
                </c:pt>
                <c:pt idx="1">
                  <c:v>28612738.93920001</c:v>
                </c:pt>
                <c:pt idx="2">
                  <c:v>26042559.500000004</c:v>
                </c:pt>
                <c:pt idx="3">
                  <c:v>22895567.700000003</c:v>
                </c:pt>
                <c:pt idx="4">
                  <c:v>28926909.429761901</c:v>
                </c:pt>
              </c:numCache>
            </c:numRef>
          </c:val>
          <c:extLst>
            <c:ext xmlns:c16="http://schemas.microsoft.com/office/drawing/2014/chart" uri="{C3380CC4-5D6E-409C-BE32-E72D297353CC}">
              <c16:uniqueId val="{00000000-E36F-4BF6-BA04-938A595A3153}"/>
            </c:ext>
          </c:extLst>
        </c:ser>
        <c:ser>
          <c:idx val="1"/>
          <c:order val="1"/>
          <c:tx>
            <c:strRef>
              <c:f>Pivot!$C$1</c:f>
              <c:strCache>
                <c:ptCount val="1"/>
                <c:pt idx="0">
                  <c:v>Gross Profit</c:v>
                </c:pt>
              </c:strCache>
            </c:strRef>
          </c:tx>
          <c:spPr>
            <a:solidFill>
              <a:srgbClr val="9AA0A6"/>
            </a:solidFill>
            <a:ln>
              <a:noFill/>
            </a:ln>
            <a:effectLst/>
          </c:spPr>
          <c:invertIfNegative val="0"/>
          <c:cat>
            <c:strRef>
              <c:f>Pivot!$A$2:$A$6</c:f>
              <c:strCache>
                <c:ptCount val="5"/>
                <c:pt idx="0">
                  <c:v>Canada</c:v>
                </c:pt>
                <c:pt idx="1">
                  <c:v>France</c:v>
                </c:pt>
                <c:pt idx="2">
                  <c:v>Germany</c:v>
                </c:pt>
                <c:pt idx="3">
                  <c:v>Mexico</c:v>
                </c:pt>
                <c:pt idx="4">
                  <c:v>United States of America</c:v>
                </c:pt>
              </c:strCache>
            </c:strRef>
          </c:cat>
          <c:val>
            <c:numRef>
              <c:f>Pivot!$C$2:$C$6</c:f>
              <c:numCache>
                <c:formatCode>[$$-409]#,##0</c:formatCode>
                <c:ptCount val="5"/>
                <c:pt idx="0">
                  <c:v>7613158.4583333321</c:v>
                </c:pt>
                <c:pt idx="1">
                  <c:v>7981388.9391999971</c:v>
                </c:pt>
                <c:pt idx="2">
                  <c:v>7638942.4999999981</c:v>
                </c:pt>
                <c:pt idx="3">
                  <c:v>6626055.7000000002</c:v>
                </c:pt>
                <c:pt idx="4">
                  <c:v>7986878.4297619062</c:v>
                </c:pt>
              </c:numCache>
            </c:numRef>
          </c:val>
          <c:extLst>
            <c:ext xmlns:c16="http://schemas.microsoft.com/office/drawing/2014/chart" uri="{C3380CC4-5D6E-409C-BE32-E72D297353CC}">
              <c16:uniqueId val="{00000001-E36F-4BF6-BA04-938A595A3153}"/>
            </c:ext>
          </c:extLst>
        </c:ser>
        <c:dLbls>
          <c:showLegendKey val="0"/>
          <c:showVal val="0"/>
          <c:showCatName val="0"/>
          <c:showSerName val="0"/>
          <c:showPercent val="0"/>
          <c:showBubbleSize val="0"/>
        </c:dLbls>
        <c:gapWidth val="150"/>
        <c:axId val="1231569928"/>
        <c:axId val="1231571976"/>
      </c:barChart>
      <c:catAx>
        <c:axId val="1231569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9AA0A6"/>
                </a:solidFill>
                <a:latin typeface="Segoe UI" panose="020B0502040204020203" pitchFamily="34" charset="0"/>
                <a:ea typeface="+mn-ea"/>
                <a:cs typeface="Segoe UI" panose="020B0502040204020203" pitchFamily="34" charset="0"/>
              </a:defRPr>
            </a:pPr>
            <a:endParaRPr lang="en-US"/>
          </a:p>
        </c:txPr>
        <c:crossAx val="1231571976"/>
        <c:crosses val="autoZero"/>
        <c:auto val="1"/>
        <c:lblAlgn val="ctr"/>
        <c:lblOffset val="100"/>
        <c:noMultiLvlLbl val="0"/>
      </c:catAx>
      <c:valAx>
        <c:axId val="1231571976"/>
        <c:scaling>
          <c:orientation val="minMax"/>
        </c:scaling>
        <c:delete val="0"/>
        <c:axPos val="b"/>
        <c:majorGridlines>
          <c:spPr>
            <a:ln w="9525" cap="flat" cmpd="sng" algn="ctr">
              <a:solidFill>
                <a:srgbClr val="2E3438"/>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9AA0A6"/>
                </a:solidFill>
                <a:latin typeface="Segoe UI" panose="020B0502040204020203" pitchFamily="34" charset="0"/>
                <a:ea typeface="+mn-ea"/>
                <a:cs typeface="Segoe UI" panose="020B0502040204020203" pitchFamily="34" charset="0"/>
              </a:defRPr>
            </a:pPr>
            <a:endParaRPr lang="en-US"/>
          </a:p>
        </c:txPr>
        <c:crossAx val="12315699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rgbClr val="9AA0A6"/>
              </a:solidFill>
              <a:latin typeface="Segoe UI" panose="020B0502040204020203" pitchFamily="34" charset="0"/>
              <a:ea typeface="+mn-ea"/>
              <a:cs typeface="Segoe UI" panose="020B0502040204020203" pitchFamily="34" charset="0"/>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Finance.xlsx]Pivot!Discount Tier</c:name>
    <c:fmtId val="17"/>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a:solidFill>
                  <a:srgbClr val="F2F2F2"/>
                </a:solidFill>
                <a:latin typeface="Segoe UI Semibold" panose="020B0702040204020203" pitchFamily="34" charset="0"/>
                <a:cs typeface="Segoe UI Semibold" panose="020B0702040204020203" pitchFamily="34" charset="0"/>
              </a:rPr>
              <a:t>Revenue &amp; Gross Profit by Discount Tier</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34D3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9AA0A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34D3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9AA0A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34D3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9AA0A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34D3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9AA0A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34D3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9AA0A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34D3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rgbClr val="9AA0A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rgbClr val="34D3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rgbClr val="9AA0A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rgbClr val="34D3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rgbClr val="9AA0A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rgbClr val="34D3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9AA0A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75418872996147"/>
          <c:y val="0.25540601151388453"/>
          <c:w val="0.75474138664179935"/>
          <c:h val="0.46054084162983988"/>
        </c:manualLayout>
      </c:layout>
      <c:barChart>
        <c:barDir val="col"/>
        <c:grouping val="clustered"/>
        <c:varyColors val="0"/>
        <c:ser>
          <c:idx val="0"/>
          <c:order val="0"/>
          <c:tx>
            <c:strRef>
              <c:f>Pivot!$B$10</c:f>
              <c:strCache>
                <c:ptCount val="1"/>
                <c:pt idx="0">
                  <c:v>Revenue</c:v>
                </c:pt>
              </c:strCache>
            </c:strRef>
          </c:tx>
          <c:spPr>
            <a:solidFill>
              <a:srgbClr val="34D399"/>
            </a:solidFill>
            <a:ln>
              <a:noFill/>
            </a:ln>
            <a:effectLst/>
          </c:spPr>
          <c:invertIfNegative val="0"/>
          <c:cat>
            <c:strRef>
              <c:f>Pivot!$A$11:$A$14</c:f>
              <c:strCache>
                <c:ptCount val="4"/>
                <c:pt idx="0">
                  <c:v>No Discount</c:v>
                </c:pt>
                <c:pt idx="1">
                  <c:v>Low</c:v>
                </c:pt>
                <c:pt idx="2">
                  <c:v>Medium</c:v>
                </c:pt>
                <c:pt idx="3">
                  <c:v>High</c:v>
                </c:pt>
              </c:strCache>
            </c:strRef>
          </c:cat>
          <c:val>
            <c:numRef>
              <c:f>Pivot!$B$11:$B$14</c:f>
              <c:numCache>
                <c:formatCode>[$$-409]#,##0</c:formatCode>
                <c:ptCount val="4"/>
                <c:pt idx="0">
                  <c:v>12596810</c:v>
                </c:pt>
                <c:pt idx="1">
                  <c:v>26821186.709914301</c:v>
                </c:pt>
                <c:pt idx="2">
                  <c:v>46478505.733333334</c:v>
                </c:pt>
                <c:pt idx="3">
                  <c:v>49291695.584047623</c:v>
                </c:pt>
              </c:numCache>
            </c:numRef>
          </c:val>
          <c:extLst>
            <c:ext xmlns:c16="http://schemas.microsoft.com/office/drawing/2014/chart" uri="{C3380CC4-5D6E-409C-BE32-E72D297353CC}">
              <c16:uniqueId val="{00000000-941F-4C10-ADE5-430138141668}"/>
            </c:ext>
          </c:extLst>
        </c:ser>
        <c:ser>
          <c:idx val="1"/>
          <c:order val="1"/>
          <c:tx>
            <c:strRef>
              <c:f>Pivot!$C$10</c:f>
              <c:strCache>
                <c:ptCount val="1"/>
                <c:pt idx="0">
                  <c:v>Gross Profit</c:v>
                </c:pt>
              </c:strCache>
            </c:strRef>
          </c:tx>
          <c:spPr>
            <a:solidFill>
              <a:srgbClr val="9AA0A6"/>
            </a:solidFill>
            <a:ln>
              <a:noFill/>
            </a:ln>
            <a:effectLst/>
          </c:spPr>
          <c:invertIfNegative val="0"/>
          <c:cat>
            <c:strRef>
              <c:f>Pivot!$A$11:$A$14</c:f>
              <c:strCache>
                <c:ptCount val="4"/>
                <c:pt idx="0">
                  <c:v>No Discount</c:v>
                </c:pt>
                <c:pt idx="1">
                  <c:v>Low</c:v>
                </c:pt>
                <c:pt idx="2">
                  <c:v>Medium</c:v>
                </c:pt>
                <c:pt idx="3">
                  <c:v>High</c:v>
                </c:pt>
              </c:strCache>
            </c:strRef>
          </c:cat>
          <c:val>
            <c:numRef>
              <c:f>Pivot!$C$11:$C$14</c:f>
              <c:numCache>
                <c:formatCode>[$$-409]#,##0</c:formatCode>
                <c:ptCount val="4"/>
                <c:pt idx="0">
                  <c:v>4323126</c:v>
                </c:pt>
                <c:pt idx="1">
                  <c:v>8240410.7099142829</c:v>
                </c:pt>
                <c:pt idx="2">
                  <c:v>12803259.733333332</c:v>
                </c:pt>
                <c:pt idx="3">
                  <c:v>12479627.584047616</c:v>
                </c:pt>
              </c:numCache>
            </c:numRef>
          </c:val>
          <c:extLst>
            <c:ext xmlns:c16="http://schemas.microsoft.com/office/drawing/2014/chart" uri="{C3380CC4-5D6E-409C-BE32-E72D297353CC}">
              <c16:uniqueId val="{00000001-941F-4C10-ADE5-430138141668}"/>
            </c:ext>
          </c:extLst>
        </c:ser>
        <c:dLbls>
          <c:showLegendKey val="0"/>
          <c:showVal val="0"/>
          <c:showCatName val="0"/>
          <c:showSerName val="0"/>
          <c:showPercent val="0"/>
          <c:showBubbleSize val="0"/>
        </c:dLbls>
        <c:gapWidth val="219"/>
        <c:overlap val="-27"/>
        <c:axId val="1987788808"/>
        <c:axId val="1987794440"/>
      </c:barChart>
      <c:catAx>
        <c:axId val="1987788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9AA0A6"/>
                </a:solidFill>
                <a:latin typeface="Segoe UI" panose="020B0502040204020203" pitchFamily="34" charset="0"/>
                <a:ea typeface="+mn-ea"/>
                <a:cs typeface="Segoe UI" panose="020B0502040204020203" pitchFamily="34" charset="0"/>
              </a:defRPr>
            </a:pPr>
            <a:endParaRPr lang="en-US"/>
          </a:p>
        </c:txPr>
        <c:crossAx val="1987794440"/>
        <c:crosses val="autoZero"/>
        <c:auto val="1"/>
        <c:lblAlgn val="ctr"/>
        <c:lblOffset val="100"/>
        <c:noMultiLvlLbl val="0"/>
      </c:catAx>
      <c:valAx>
        <c:axId val="1987794440"/>
        <c:scaling>
          <c:orientation val="minMax"/>
        </c:scaling>
        <c:delete val="0"/>
        <c:axPos val="l"/>
        <c:majorGridlines>
          <c:spPr>
            <a:ln w="9525" cap="flat" cmpd="sng" algn="ctr">
              <a:solidFill>
                <a:srgbClr val="2E3438"/>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9AA0A6"/>
                </a:solidFill>
                <a:latin typeface="Segoe UI" panose="020B0502040204020203" pitchFamily="34" charset="0"/>
                <a:ea typeface="+mn-ea"/>
                <a:cs typeface="Segoe UI" panose="020B0502040204020203" pitchFamily="34" charset="0"/>
              </a:defRPr>
            </a:pPr>
            <a:endParaRPr lang="en-US"/>
          </a:p>
        </c:txPr>
        <c:crossAx val="19877888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rgbClr val="9AA0A6"/>
              </a:solidFill>
              <a:latin typeface="Segoe UI" panose="020B0502040204020203" pitchFamily="34" charset="0"/>
              <a:ea typeface="+mn-ea"/>
              <a:cs typeface="Segoe UI" panose="020B0502040204020203" pitchFamily="34" charset="0"/>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sz="1200" b="0" i="0" u="none" strike="noStrike" baseline="0">
                <a:solidFill>
                  <a:srgbClr val="F2F2F2"/>
                </a:solidFill>
                <a:latin typeface="Segoe UI Semibold" panose="020B0702040204020203" pitchFamily="34" charset="0"/>
                <a:cs typeface="Segoe UI Semibold" panose="020B0702040204020203" pitchFamily="34" charset="0"/>
              </a:rPr>
              <a:t>Profitability Breakdown by Year</a:t>
            </a:r>
            <a:endParaRPr lang="en-ID" sz="1200">
              <a:solidFill>
                <a:srgbClr val="F2F2F2"/>
              </a:solidFill>
              <a:latin typeface="Segoe UI Semibold" panose="020B0702040204020203" pitchFamily="34" charset="0"/>
              <a:cs typeface="Segoe UI Semibold" panose="020B07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D"/>
        </a:p>
      </c:txPr>
    </c:title>
    <c:autoTitleDeleted val="0"/>
    <c:plotArea>
      <c:layout/>
      <c:barChart>
        <c:barDir val="col"/>
        <c:grouping val="clustered"/>
        <c:varyColors val="0"/>
        <c:ser>
          <c:idx val="0"/>
          <c:order val="0"/>
          <c:tx>
            <c:strRef>
              <c:f>Pivot!$M$21</c:f>
              <c:strCache>
                <c:ptCount val="1"/>
                <c:pt idx="0">
                  <c:v>2013</c:v>
                </c:pt>
              </c:strCache>
            </c:strRef>
          </c:tx>
          <c:spPr>
            <a:solidFill>
              <a:srgbClr val="9AA0A6"/>
            </a:solidFill>
            <a:ln>
              <a:noFill/>
            </a:ln>
            <a:effectLst/>
          </c:spPr>
          <c:invertIfNegative val="0"/>
          <c:cat>
            <c:strRef>
              <c:f>Pivot!$N$20:$S$20</c:f>
              <c:strCache>
                <c:ptCount val="6"/>
                <c:pt idx="0">
                  <c:v>Gross Profit</c:v>
                </c:pt>
                <c:pt idx="1">
                  <c:v>G&amp;A Cost</c:v>
                </c:pt>
                <c:pt idx="2">
                  <c:v>Handling Cost</c:v>
                </c:pt>
                <c:pt idx="3">
                  <c:v>Tax</c:v>
                </c:pt>
                <c:pt idx="4">
                  <c:v>Operating Profit</c:v>
                </c:pt>
                <c:pt idx="5">
                  <c:v>Net Profit</c:v>
                </c:pt>
              </c:strCache>
            </c:strRef>
          </c:cat>
          <c:val>
            <c:numRef>
              <c:f>Pivot!$N$21:$S$21</c:f>
              <c:numCache>
                <c:formatCode>_("$"* #,##0_);_("$"* \(#,##0\);_("$"* "-"_);_(@_)</c:formatCode>
                <c:ptCount val="6"/>
                <c:pt idx="0" formatCode="[$$-409]#,##0">
                  <c:v>8465149.450000003</c:v>
                </c:pt>
                <c:pt idx="1">
                  <c:v>854023</c:v>
                </c:pt>
                <c:pt idx="2">
                  <c:v>2895322</c:v>
                </c:pt>
                <c:pt idx="3">
                  <c:v>1037476</c:v>
                </c:pt>
                <c:pt idx="4" formatCode="[$$-409]#,##0">
                  <c:v>4715804.450000003</c:v>
                </c:pt>
                <c:pt idx="5" formatCode="[$$-409]#,##0">
                  <c:v>3678328.450000003</c:v>
                </c:pt>
              </c:numCache>
            </c:numRef>
          </c:val>
          <c:extLst>
            <c:ext xmlns:c16="http://schemas.microsoft.com/office/drawing/2014/chart" uri="{C3380CC4-5D6E-409C-BE32-E72D297353CC}">
              <c16:uniqueId val="{00000000-026B-4CE4-A207-2306D7E3B675}"/>
            </c:ext>
          </c:extLst>
        </c:ser>
        <c:ser>
          <c:idx val="1"/>
          <c:order val="1"/>
          <c:tx>
            <c:strRef>
              <c:f>Pivot!$M$22</c:f>
              <c:strCache>
                <c:ptCount val="1"/>
                <c:pt idx="0">
                  <c:v>2014</c:v>
                </c:pt>
              </c:strCache>
            </c:strRef>
          </c:tx>
          <c:spPr>
            <a:solidFill>
              <a:srgbClr val="34D399"/>
            </a:solidFill>
            <a:ln>
              <a:noFill/>
            </a:ln>
            <a:effectLst/>
          </c:spPr>
          <c:invertIfNegative val="0"/>
          <c:cat>
            <c:strRef>
              <c:f>Pivot!$N$20:$S$20</c:f>
              <c:strCache>
                <c:ptCount val="6"/>
                <c:pt idx="0">
                  <c:v>Gross Profit</c:v>
                </c:pt>
                <c:pt idx="1">
                  <c:v>G&amp;A Cost</c:v>
                </c:pt>
                <c:pt idx="2">
                  <c:v>Handling Cost</c:v>
                </c:pt>
                <c:pt idx="3">
                  <c:v>Tax</c:v>
                </c:pt>
                <c:pt idx="4">
                  <c:v>Operating Profit</c:v>
                </c:pt>
                <c:pt idx="5">
                  <c:v>Net Profit</c:v>
                </c:pt>
              </c:strCache>
            </c:strRef>
          </c:cat>
          <c:val>
            <c:numRef>
              <c:f>Pivot!$N$22:$S$22</c:f>
              <c:numCache>
                <c:formatCode>_("$"* #,##0_);_("$"* \(#,##0\);_("$"* "-"_);_(@_)</c:formatCode>
                <c:ptCount val="6"/>
                <c:pt idx="0" formatCode="[$$-409]#,##0">
                  <c:v>29381274.57729524</c:v>
                </c:pt>
                <c:pt idx="1">
                  <c:v>3532853</c:v>
                </c:pt>
                <c:pt idx="2">
                  <c:v>9213451</c:v>
                </c:pt>
                <c:pt idx="3">
                  <c:v>3659693</c:v>
                </c:pt>
                <c:pt idx="4" formatCode="[$$-409]#,##0">
                  <c:v>16634970.57729524</c:v>
                </c:pt>
                <c:pt idx="5" formatCode="[$$-409]#,##0">
                  <c:v>12975277.57729524</c:v>
                </c:pt>
              </c:numCache>
            </c:numRef>
          </c:val>
          <c:extLst>
            <c:ext xmlns:c16="http://schemas.microsoft.com/office/drawing/2014/chart" uri="{C3380CC4-5D6E-409C-BE32-E72D297353CC}">
              <c16:uniqueId val="{00000001-026B-4CE4-A207-2306D7E3B675}"/>
            </c:ext>
          </c:extLst>
        </c:ser>
        <c:dLbls>
          <c:showLegendKey val="0"/>
          <c:showVal val="0"/>
          <c:showCatName val="0"/>
          <c:showSerName val="0"/>
          <c:showPercent val="0"/>
          <c:showBubbleSize val="0"/>
        </c:dLbls>
        <c:gapWidth val="219"/>
        <c:overlap val="-27"/>
        <c:axId val="524915968"/>
        <c:axId val="430177488"/>
      </c:barChart>
      <c:catAx>
        <c:axId val="524915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9AA0A6"/>
                </a:solidFill>
                <a:latin typeface="Segoe UI" panose="020B0502040204020203" pitchFamily="34" charset="0"/>
                <a:ea typeface="+mn-ea"/>
                <a:cs typeface="Segoe UI" panose="020B0502040204020203" pitchFamily="34" charset="0"/>
              </a:defRPr>
            </a:pPr>
            <a:endParaRPr lang="en-US"/>
          </a:p>
        </c:txPr>
        <c:crossAx val="430177488"/>
        <c:crosses val="autoZero"/>
        <c:auto val="1"/>
        <c:lblAlgn val="ctr"/>
        <c:lblOffset val="100"/>
        <c:noMultiLvlLbl val="0"/>
      </c:catAx>
      <c:valAx>
        <c:axId val="430177488"/>
        <c:scaling>
          <c:orientation val="minMax"/>
        </c:scaling>
        <c:delete val="0"/>
        <c:axPos val="l"/>
        <c:majorGridlines>
          <c:spPr>
            <a:ln w="9525" cap="flat" cmpd="sng" algn="ctr">
              <a:solidFill>
                <a:srgbClr val="2E3438"/>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9AA0A6"/>
                </a:solidFill>
                <a:latin typeface="Segoe UI" panose="020B0502040204020203" pitchFamily="34" charset="0"/>
                <a:ea typeface="+mn-ea"/>
                <a:cs typeface="Segoe UI" panose="020B0502040204020203" pitchFamily="34" charset="0"/>
              </a:defRPr>
            </a:pPr>
            <a:endParaRPr lang="en-US"/>
          </a:p>
        </c:txPr>
        <c:crossAx val="5249159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rgbClr val="9AA0A6"/>
              </a:solidFill>
              <a:latin typeface="Segoe UI" panose="020B0502040204020203" pitchFamily="34" charset="0"/>
              <a:ea typeface="+mn-ea"/>
              <a:cs typeface="Segoe UI" panose="020B05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rgbClr val="F2F2F2"/>
                </a:solidFill>
                <a:latin typeface="Segoe UI Semibold" panose="020B0702040204020203" pitchFamily="34" charset="0"/>
                <a:ea typeface="+mn-ea"/>
                <a:cs typeface="Segoe UI Semibold" panose="020B0702040204020203" pitchFamily="34" charset="0"/>
              </a:defRPr>
            </a:pPr>
            <a:r>
              <a:rPr lang="en-ID" sz="1200" b="0" i="0" u="none" strike="noStrike" baseline="0"/>
              <a:t>Revenue Growth by Product</a:t>
            </a:r>
          </a:p>
          <a:p>
            <a:pPr>
              <a:defRPr sz="1200">
                <a:solidFill>
                  <a:srgbClr val="F2F2F2"/>
                </a:solidFill>
                <a:latin typeface="Segoe UI Semibold" panose="020B0702040204020203" pitchFamily="34" charset="0"/>
                <a:cs typeface="Segoe UI Semibold" panose="020B0702040204020203" pitchFamily="34" charset="0"/>
              </a:defRPr>
            </a:pPr>
            <a:r>
              <a:rPr lang="en-ID" sz="800" b="0" i="0" u="none" strike="noStrike" baseline="0">
                <a:solidFill>
                  <a:srgbClr val="9AA0A6"/>
                </a:solidFill>
              </a:rPr>
              <a:t>(2013 hanya Sep-Des (4 bulan), 2014 penuh 12 bulan)</a:t>
            </a:r>
            <a:endParaRPr lang="en-ID" sz="1200">
              <a:solidFill>
                <a:srgbClr val="9AA0A6"/>
              </a:solidFill>
              <a:latin typeface="Segoe UI Semibold" panose="020B0702040204020203" pitchFamily="34" charset="0"/>
              <a:cs typeface="Segoe UI Semibold" panose="020B0702040204020203" pitchFamily="34" charset="0"/>
            </a:endParaRPr>
          </a:p>
        </c:rich>
      </c:tx>
      <c:overlay val="0"/>
      <c:spPr>
        <a:noFill/>
        <a:ln>
          <a:noFill/>
        </a:ln>
        <a:effectLst/>
      </c:spPr>
      <c:txPr>
        <a:bodyPr rot="0" spcFirstLastPara="1" vertOverflow="ellipsis" vert="horz" wrap="square" anchor="ctr" anchorCtr="1"/>
        <a:lstStyle/>
        <a:p>
          <a:pPr>
            <a:defRPr sz="1200" b="0" i="0" u="none" strike="noStrike" kern="1200" spc="0" baseline="0">
              <a:solidFill>
                <a:srgbClr val="F2F2F2"/>
              </a:solidFill>
              <a:latin typeface="Segoe UI Semibold" panose="020B0702040204020203" pitchFamily="34" charset="0"/>
              <a:ea typeface="+mn-ea"/>
              <a:cs typeface="Segoe UI Semibold" panose="020B0702040204020203" pitchFamily="34" charset="0"/>
            </a:defRPr>
          </a:pPr>
          <a:endParaRPr lang="en-ID"/>
        </a:p>
      </c:txPr>
    </c:title>
    <c:autoTitleDeleted val="0"/>
    <c:plotArea>
      <c:layout/>
      <c:barChart>
        <c:barDir val="col"/>
        <c:grouping val="clustered"/>
        <c:varyColors val="0"/>
        <c:ser>
          <c:idx val="0"/>
          <c:order val="0"/>
          <c:tx>
            <c:v>2013</c:v>
          </c:tx>
          <c:spPr>
            <a:solidFill>
              <a:srgbClr val="9AA0A6"/>
            </a:solidFill>
            <a:ln>
              <a:noFill/>
            </a:ln>
            <a:effectLst/>
          </c:spPr>
          <c:invertIfNegative val="0"/>
          <c:cat>
            <c:strRef>
              <c:f>Pivot!$AD$2:$AD$7</c:f>
              <c:strCache>
                <c:ptCount val="6"/>
                <c:pt idx="0">
                  <c:v>Amarilla</c:v>
                </c:pt>
                <c:pt idx="1">
                  <c:v>Carretera</c:v>
                </c:pt>
                <c:pt idx="2">
                  <c:v>Montana</c:v>
                </c:pt>
                <c:pt idx="3">
                  <c:v>Paseo</c:v>
                </c:pt>
                <c:pt idx="4">
                  <c:v>Velo</c:v>
                </c:pt>
                <c:pt idx="5">
                  <c:v>VTT</c:v>
                </c:pt>
              </c:strCache>
            </c:strRef>
          </c:cat>
          <c:val>
            <c:numRef>
              <c:f>Pivot!$AE$2:$AE$7</c:f>
              <c:numCache>
                <c:formatCode>[$$-409]#,##0</c:formatCode>
                <c:ptCount val="6"/>
                <c:pt idx="0">
                  <c:v>10780910</c:v>
                </c:pt>
                <c:pt idx="1">
                  <c:v>573753.39999999991</c:v>
                </c:pt>
                <c:pt idx="2">
                  <c:v>503115.45</c:v>
                </c:pt>
                <c:pt idx="3">
                  <c:v>1531024.9999999998</c:v>
                </c:pt>
                <c:pt idx="4">
                  <c:v>6536577.6000000006</c:v>
                </c:pt>
                <c:pt idx="5">
                  <c:v>11507970</c:v>
                </c:pt>
              </c:numCache>
            </c:numRef>
          </c:val>
          <c:extLst>
            <c:ext xmlns:c16="http://schemas.microsoft.com/office/drawing/2014/chart" uri="{C3380CC4-5D6E-409C-BE32-E72D297353CC}">
              <c16:uniqueId val="{00000000-73E0-4539-8F06-ED59E662EBFB}"/>
            </c:ext>
          </c:extLst>
        </c:ser>
        <c:ser>
          <c:idx val="1"/>
          <c:order val="1"/>
          <c:tx>
            <c:v>2014</c:v>
          </c:tx>
          <c:spPr>
            <a:solidFill>
              <a:srgbClr val="34D399"/>
            </a:solidFill>
            <a:ln>
              <a:noFill/>
            </a:ln>
            <a:effectLst/>
          </c:spPr>
          <c:invertIfNegative val="0"/>
          <c:cat>
            <c:strRef>
              <c:f>Pivot!$AD$2:$AD$7</c:f>
              <c:strCache>
                <c:ptCount val="6"/>
                <c:pt idx="0">
                  <c:v>Amarilla</c:v>
                </c:pt>
                <c:pt idx="1">
                  <c:v>Carretera</c:v>
                </c:pt>
                <c:pt idx="2">
                  <c:v>Montana</c:v>
                </c:pt>
                <c:pt idx="3">
                  <c:v>Paseo</c:v>
                </c:pt>
                <c:pt idx="4">
                  <c:v>Velo</c:v>
                </c:pt>
                <c:pt idx="5">
                  <c:v>VTT</c:v>
                </c:pt>
              </c:strCache>
            </c:strRef>
          </c:cat>
          <c:val>
            <c:numRef>
              <c:f>Pivot!$AF$2:$AF$7</c:f>
              <c:numCache>
                <c:formatCode>[$$-409]#,##0</c:formatCode>
                <c:ptCount val="6"/>
                <c:pt idx="0">
                  <c:v>39203881.266666666</c:v>
                </c:pt>
                <c:pt idx="1">
                  <c:v>2147383.6992000006</c:v>
                </c:pt>
                <c:pt idx="2">
                  <c:v>1650589.4999999995</c:v>
                </c:pt>
                <c:pt idx="3">
                  <c:v>4751516.9714285713</c:v>
                </c:pt>
                <c:pt idx="4">
                  <c:v>20581931.640000004</c:v>
                </c:pt>
                <c:pt idx="5">
                  <c:v>35419543.5</c:v>
                </c:pt>
              </c:numCache>
            </c:numRef>
          </c:val>
          <c:extLst>
            <c:ext xmlns:c16="http://schemas.microsoft.com/office/drawing/2014/chart" uri="{C3380CC4-5D6E-409C-BE32-E72D297353CC}">
              <c16:uniqueId val="{00000001-73E0-4539-8F06-ED59E662EBFB}"/>
            </c:ext>
          </c:extLst>
        </c:ser>
        <c:dLbls>
          <c:showLegendKey val="0"/>
          <c:showVal val="0"/>
          <c:showCatName val="0"/>
          <c:showSerName val="0"/>
          <c:showPercent val="0"/>
          <c:showBubbleSize val="0"/>
        </c:dLbls>
        <c:gapWidth val="150"/>
        <c:axId val="81190000"/>
        <c:axId val="67578224"/>
      </c:barChart>
      <c:catAx>
        <c:axId val="81190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9AA0A6"/>
                </a:solidFill>
                <a:latin typeface="+mn-lt"/>
                <a:ea typeface="+mn-ea"/>
                <a:cs typeface="+mn-cs"/>
              </a:defRPr>
            </a:pPr>
            <a:endParaRPr lang="en-US"/>
          </a:p>
        </c:txPr>
        <c:crossAx val="67578224"/>
        <c:crosses val="autoZero"/>
        <c:auto val="1"/>
        <c:lblAlgn val="ctr"/>
        <c:lblOffset val="100"/>
        <c:noMultiLvlLbl val="0"/>
      </c:catAx>
      <c:valAx>
        <c:axId val="67578224"/>
        <c:scaling>
          <c:orientation val="minMax"/>
        </c:scaling>
        <c:delete val="0"/>
        <c:axPos val="l"/>
        <c:majorGridlines>
          <c:spPr>
            <a:ln w="9525" cap="flat" cmpd="sng" algn="ctr">
              <a:solidFill>
                <a:srgbClr val="2E3438"/>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9AA0A6"/>
                </a:solidFill>
                <a:latin typeface="+mn-lt"/>
                <a:ea typeface="+mn-ea"/>
                <a:cs typeface="+mn-cs"/>
              </a:defRPr>
            </a:pPr>
            <a:endParaRPr lang="en-US"/>
          </a:p>
        </c:txPr>
        <c:crossAx val="811900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rgbClr val="9AA0A6"/>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image" Target="../media/image8.svg"/><Relationship Id="rId3" Type="http://schemas.openxmlformats.org/officeDocument/2006/relationships/chart" Target="../charts/chart5.xml"/><Relationship Id="rId7" Type="http://schemas.openxmlformats.org/officeDocument/2006/relationships/image" Target="../media/image3.png"/><Relationship Id="rId12" Type="http://schemas.openxmlformats.org/officeDocument/2006/relationships/image" Target="../media/image7.png"/><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image" Target="../media/image2.png"/><Relationship Id="rId11" Type="http://schemas.openxmlformats.org/officeDocument/2006/relationships/image" Target="../media/image6.svg"/><Relationship Id="rId5" Type="http://schemas.openxmlformats.org/officeDocument/2006/relationships/image" Target="../media/image1.png"/><Relationship Id="rId10" Type="http://schemas.openxmlformats.org/officeDocument/2006/relationships/image" Target="../media/image5.png"/><Relationship Id="rId4" Type="http://schemas.openxmlformats.org/officeDocument/2006/relationships/chart" Target="../charts/chart6.xml"/><Relationship Id="rId9"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28</xdr:col>
      <xdr:colOff>9525</xdr:colOff>
      <xdr:row>49</xdr:row>
      <xdr:rowOff>9525</xdr:rowOff>
    </xdr:from>
    <xdr:to>
      <xdr:col>33</xdr:col>
      <xdr:colOff>400050</xdr:colOff>
      <xdr:row>63</xdr:row>
      <xdr:rowOff>85725</xdr:rowOff>
    </xdr:to>
    <xdr:graphicFrame macro="">
      <xdr:nvGraphicFramePr>
        <xdr:cNvPr id="150" name="Chart 34">
          <a:extLst>
            <a:ext uri="{FF2B5EF4-FFF2-40B4-BE49-F238E27FC236}">
              <a16:creationId xmlns:a16="http://schemas.microsoft.com/office/drawing/2014/main" id="{3CA3A9C5-0927-CAC3-DE9D-C8C341133E9A}"/>
            </a:ext>
            <a:ext uri="{147F2762-F138-4A5C-976F-8EAC2B608ADB}">
              <a16:predDERef xmlns:a16="http://schemas.microsoft.com/office/drawing/2014/main" pred="{781A17B4-6E15-715A-F653-47CA35322D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33</xdr:col>
      <xdr:colOff>676275</xdr:colOff>
      <xdr:row>49</xdr:row>
      <xdr:rowOff>9525</xdr:rowOff>
    </xdr:from>
    <xdr:to>
      <xdr:col>40</xdr:col>
      <xdr:colOff>371475</xdr:colOff>
      <xdr:row>63</xdr:row>
      <xdr:rowOff>142875</xdr:rowOff>
    </xdr:to>
    <xdr:graphicFrame macro="">
      <xdr:nvGraphicFramePr>
        <xdr:cNvPr id="153" name="Chart 35">
          <a:extLst>
            <a:ext uri="{FF2B5EF4-FFF2-40B4-BE49-F238E27FC236}">
              <a16:creationId xmlns:a16="http://schemas.microsoft.com/office/drawing/2014/main" id="{9F35ED55-465E-9D54-2D94-4BC3A46DEFBD}"/>
            </a:ext>
            <a:ext uri="{147F2762-F138-4A5C-976F-8EAC2B608ADB}">
              <a16:predDERef xmlns:a16="http://schemas.microsoft.com/office/drawing/2014/main" pred="{3CA3A9C5-0927-CAC3-DE9D-C8C341133E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15</xdr:col>
      <xdr:colOff>0</xdr:colOff>
      <xdr:row>7</xdr:row>
      <xdr:rowOff>0</xdr:rowOff>
    </xdr:from>
    <xdr:to>
      <xdr:col>38</xdr:col>
      <xdr:colOff>365744</xdr:colOff>
      <xdr:row>68</xdr:row>
      <xdr:rowOff>83343</xdr:rowOff>
    </xdr:to>
    <xdr:sp macro="" textlink="">
      <xdr:nvSpPr>
        <xdr:cNvPr id="2151" name="Rectangle: Rounded Corners 2150">
          <a:extLst>
            <a:ext uri="{FF2B5EF4-FFF2-40B4-BE49-F238E27FC236}">
              <a16:creationId xmlns:a16="http://schemas.microsoft.com/office/drawing/2014/main" id="{37FA4232-F90F-4FE4-B8F8-1C5AA9D18ED9}"/>
            </a:ext>
          </a:extLst>
        </xdr:cNvPr>
        <xdr:cNvSpPr/>
      </xdr:nvSpPr>
      <xdr:spPr>
        <a:xfrm>
          <a:off x="9217742" y="1182944"/>
          <a:ext cx="14499615" cy="10391851"/>
        </a:xfrm>
        <a:prstGeom prst="roundRect">
          <a:avLst>
            <a:gd name="adj" fmla="val 2230"/>
          </a:avLst>
        </a:prstGeom>
        <a:solidFill>
          <a:srgbClr val="121417"/>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D"/>
        </a:p>
      </xdr:txBody>
    </xdr:sp>
    <xdr:clientData/>
  </xdr:twoCellAnchor>
  <xdr:twoCellAnchor>
    <xdr:from>
      <xdr:col>34</xdr:col>
      <xdr:colOff>393410</xdr:colOff>
      <xdr:row>45</xdr:row>
      <xdr:rowOff>83344</xdr:rowOff>
    </xdr:from>
    <xdr:to>
      <xdr:col>38</xdr:col>
      <xdr:colOff>107156</xdr:colOff>
      <xdr:row>66</xdr:row>
      <xdr:rowOff>49212</xdr:rowOff>
    </xdr:to>
    <xdr:sp macro="" textlink="">
      <xdr:nvSpPr>
        <xdr:cNvPr id="2152" name="Shape 8">
          <a:extLst>
            <a:ext uri="{FF2B5EF4-FFF2-40B4-BE49-F238E27FC236}">
              <a16:creationId xmlns:a16="http://schemas.microsoft.com/office/drawing/2014/main" id="{E4312AE6-5C4D-4011-841D-E0BCBCBAB4AB}"/>
            </a:ext>
          </a:extLst>
        </xdr:cNvPr>
        <xdr:cNvSpPr/>
      </xdr:nvSpPr>
      <xdr:spPr>
        <a:xfrm>
          <a:off x="21286958" y="7687981"/>
          <a:ext cx="2171811" cy="3514699"/>
        </a:xfrm>
        <a:prstGeom prst="roundRect">
          <a:avLst>
            <a:gd name="adj" fmla="val 3200"/>
          </a:avLst>
        </a:prstGeom>
        <a:gradFill>
          <a:gsLst>
            <a:gs pos="0">
              <a:srgbClr val="1E2328"/>
            </a:gs>
            <a:gs pos="100000">
              <a:srgbClr val="173B2E"/>
            </a:gs>
          </a:gsLst>
          <a:lin ang="5400000" scaled="1"/>
        </a:gradFill>
        <a:ln w="12700">
          <a:solidFill>
            <a:srgbClr val="2E3438"/>
          </a:solidFill>
          <a:prstDash val="solid"/>
        </a:ln>
      </xdr:spPr>
      <xdr:txBody>
        <a:bodyPr wrap="square"/>
        <a:lstStyle/>
        <a:p>
          <a:pPr marL="0" indent="0"/>
          <a:endParaRPr lang="en-ID" sz="1100">
            <a:latin typeface="+mn-lt"/>
            <a:ea typeface="+mn-ea"/>
            <a:cs typeface="+mn-cs"/>
          </a:endParaRPr>
        </a:p>
      </xdr:txBody>
    </xdr:sp>
    <xdr:clientData/>
  </xdr:twoCellAnchor>
  <xdr:twoCellAnchor>
    <xdr:from>
      <xdr:col>15</xdr:col>
      <xdr:colOff>321832</xdr:colOff>
      <xdr:row>53</xdr:row>
      <xdr:rowOff>63500</xdr:rowOff>
    </xdr:from>
    <xdr:to>
      <xdr:col>27</xdr:col>
      <xdr:colOff>149731</xdr:colOff>
      <xdr:row>66</xdr:row>
      <xdr:rowOff>87313</xdr:rowOff>
    </xdr:to>
    <xdr:sp macro="" textlink="">
      <xdr:nvSpPr>
        <xdr:cNvPr id="2153" name="Shape 8">
          <a:extLst>
            <a:ext uri="{FF2B5EF4-FFF2-40B4-BE49-F238E27FC236}">
              <a16:creationId xmlns:a16="http://schemas.microsoft.com/office/drawing/2014/main" id="{7A476699-C546-40A4-99B5-159FE40C37E1}"/>
            </a:ext>
          </a:extLst>
        </xdr:cNvPr>
        <xdr:cNvSpPr/>
      </xdr:nvSpPr>
      <xdr:spPr>
        <a:xfrm>
          <a:off x="9539574" y="9020073"/>
          <a:ext cx="7202092" cy="2220708"/>
        </a:xfrm>
        <a:prstGeom prst="roundRect">
          <a:avLst>
            <a:gd name="adj" fmla="val 3200"/>
          </a:avLst>
        </a:prstGeom>
        <a:solidFill>
          <a:srgbClr val="1E2328"/>
        </a:solidFill>
        <a:ln w="12700">
          <a:solidFill>
            <a:srgbClr val="2E3438"/>
          </a:solidFill>
          <a:prstDash val="solid"/>
        </a:ln>
      </xdr:spPr>
      <xdr:txBody>
        <a:bodyPr wrap="square"/>
        <a:lstStyle/>
        <a:p>
          <a:endParaRPr lang="en-ID"/>
        </a:p>
      </xdr:txBody>
    </xdr:sp>
    <xdr:clientData/>
  </xdr:twoCellAnchor>
  <xdr:twoCellAnchor>
    <xdr:from>
      <xdr:col>34</xdr:col>
      <xdr:colOff>394998</xdr:colOff>
      <xdr:row>8</xdr:row>
      <xdr:rowOff>130969</xdr:rowOff>
    </xdr:from>
    <xdr:to>
      <xdr:col>38</xdr:col>
      <xdr:colOff>102104</xdr:colOff>
      <xdr:row>23</xdr:row>
      <xdr:rowOff>23811</xdr:rowOff>
    </xdr:to>
    <xdr:sp macro="" textlink="">
      <xdr:nvSpPr>
        <xdr:cNvPr id="2154" name="Shape 8">
          <a:extLst>
            <a:ext uri="{FF2B5EF4-FFF2-40B4-BE49-F238E27FC236}">
              <a16:creationId xmlns:a16="http://schemas.microsoft.com/office/drawing/2014/main" id="{18AC3382-80E0-4B67-80D4-E4BA4704DF58}"/>
            </a:ext>
          </a:extLst>
        </xdr:cNvPr>
        <xdr:cNvSpPr/>
      </xdr:nvSpPr>
      <xdr:spPr>
        <a:xfrm>
          <a:off x="21288546" y="1482904"/>
          <a:ext cx="2165171" cy="2427722"/>
        </a:xfrm>
        <a:prstGeom prst="roundRect">
          <a:avLst>
            <a:gd name="adj" fmla="val 3200"/>
          </a:avLst>
        </a:prstGeom>
        <a:solidFill>
          <a:srgbClr val="1E2328"/>
        </a:solidFill>
        <a:ln w="12700">
          <a:solidFill>
            <a:srgbClr val="2E3438"/>
          </a:solidFill>
          <a:prstDash val="solid"/>
        </a:ln>
      </xdr:spPr>
      <xdr:txBody>
        <a:bodyPr wrap="square"/>
        <a:lstStyle/>
        <a:p>
          <a:endParaRPr lang="en-ID"/>
        </a:p>
      </xdr:txBody>
    </xdr:sp>
    <xdr:clientData/>
  </xdr:twoCellAnchor>
  <xdr:twoCellAnchor>
    <xdr:from>
      <xdr:col>27</xdr:col>
      <xdr:colOff>256887</xdr:colOff>
      <xdr:row>53</xdr:row>
      <xdr:rowOff>71437</xdr:rowOff>
    </xdr:from>
    <xdr:to>
      <xdr:col>34</xdr:col>
      <xdr:colOff>248051</xdr:colOff>
      <xdr:row>66</xdr:row>
      <xdr:rowOff>71437</xdr:rowOff>
    </xdr:to>
    <xdr:sp macro="" textlink="">
      <xdr:nvSpPr>
        <xdr:cNvPr id="2155" name="Shape 8">
          <a:extLst>
            <a:ext uri="{FF2B5EF4-FFF2-40B4-BE49-F238E27FC236}">
              <a16:creationId xmlns:a16="http://schemas.microsoft.com/office/drawing/2014/main" id="{EB982A03-6734-4781-9E45-E00B20720CAB}"/>
            </a:ext>
          </a:extLst>
        </xdr:cNvPr>
        <xdr:cNvSpPr/>
      </xdr:nvSpPr>
      <xdr:spPr>
        <a:xfrm>
          <a:off x="16848822" y="9028010"/>
          <a:ext cx="4292777" cy="2196895"/>
        </a:xfrm>
        <a:prstGeom prst="roundRect">
          <a:avLst>
            <a:gd name="adj" fmla="val 3200"/>
          </a:avLst>
        </a:prstGeom>
        <a:solidFill>
          <a:srgbClr val="1E2328"/>
        </a:solidFill>
        <a:ln w="12700">
          <a:solidFill>
            <a:srgbClr val="2E3438"/>
          </a:solidFill>
          <a:prstDash val="solid"/>
        </a:ln>
      </xdr:spPr>
      <xdr:txBody>
        <a:bodyPr wrap="square"/>
        <a:lstStyle/>
        <a:p>
          <a:endParaRPr lang="en-ID"/>
        </a:p>
      </xdr:txBody>
    </xdr:sp>
    <xdr:clientData/>
  </xdr:twoCellAnchor>
  <xdr:twoCellAnchor>
    <xdr:from>
      <xdr:col>15</xdr:col>
      <xdr:colOff>317598</xdr:colOff>
      <xdr:row>38</xdr:row>
      <xdr:rowOff>0</xdr:rowOff>
    </xdr:from>
    <xdr:to>
      <xdr:col>23</xdr:col>
      <xdr:colOff>479135</xdr:colOff>
      <xdr:row>52</xdr:row>
      <xdr:rowOff>134938</xdr:rowOff>
    </xdr:to>
    <xdr:sp macro="" textlink="">
      <xdr:nvSpPr>
        <xdr:cNvPr id="2156" name="Shape 8">
          <a:extLst>
            <a:ext uri="{FF2B5EF4-FFF2-40B4-BE49-F238E27FC236}">
              <a16:creationId xmlns:a16="http://schemas.microsoft.com/office/drawing/2014/main" id="{6ADC9817-DE2B-4D2B-8AD3-B2337D3634DE}"/>
            </a:ext>
          </a:extLst>
        </xdr:cNvPr>
        <xdr:cNvSpPr/>
      </xdr:nvSpPr>
      <xdr:spPr>
        <a:xfrm>
          <a:off x="9535340" y="6421694"/>
          <a:ext cx="5077666" cy="2500825"/>
        </a:xfrm>
        <a:prstGeom prst="roundRect">
          <a:avLst>
            <a:gd name="adj" fmla="val 3200"/>
          </a:avLst>
        </a:prstGeom>
        <a:solidFill>
          <a:srgbClr val="1E2328"/>
        </a:solidFill>
        <a:ln w="12700">
          <a:solidFill>
            <a:srgbClr val="2E3438"/>
          </a:solidFill>
          <a:prstDash val="solid"/>
        </a:ln>
      </xdr:spPr>
      <xdr:txBody>
        <a:bodyPr wrap="square"/>
        <a:lstStyle/>
        <a:p>
          <a:endParaRPr lang="en-ID"/>
        </a:p>
      </xdr:txBody>
    </xdr:sp>
    <xdr:clientData/>
  </xdr:twoCellAnchor>
  <xdr:twoCellAnchor>
    <xdr:from>
      <xdr:col>15</xdr:col>
      <xdr:colOff>317153</xdr:colOff>
      <xdr:row>8</xdr:row>
      <xdr:rowOff>130969</xdr:rowOff>
    </xdr:from>
    <xdr:to>
      <xdr:col>28</xdr:col>
      <xdr:colOff>90198</xdr:colOff>
      <xdr:row>13</xdr:row>
      <xdr:rowOff>8355</xdr:rowOff>
    </xdr:to>
    <xdr:sp macro="" textlink="">
      <xdr:nvSpPr>
        <xdr:cNvPr id="2157" name="Shape 0">
          <a:extLst>
            <a:ext uri="{FF2B5EF4-FFF2-40B4-BE49-F238E27FC236}">
              <a16:creationId xmlns:a16="http://schemas.microsoft.com/office/drawing/2014/main" id="{E2FFAEA9-178A-48FF-9C09-21C2F94F4DE4}"/>
            </a:ext>
          </a:extLst>
        </xdr:cNvPr>
        <xdr:cNvSpPr/>
      </xdr:nvSpPr>
      <xdr:spPr>
        <a:xfrm>
          <a:off x="9534895" y="1482904"/>
          <a:ext cx="7761755" cy="722346"/>
        </a:xfrm>
        <a:prstGeom prst="roundRect">
          <a:avLst>
            <a:gd name="adj" fmla="val 14545"/>
          </a:avLst>
        </a:prstGeom>
        <a:solidFill>
          <a:srgbClr val="1E2328"/>
        </a:solidFill>
        <a:ln w="12700">
          <a:solidFill>
            <a:srgbClr val="2E3438"/>
          </a:solidFill>
          <a:prstDash val="solid"/>
        </a:ln>
      </xdr:spPr>
      <xdr:txBody>
        <a:bodyPr wrap="square"/>
        <a:lstStyle/>
        <a:p>
          <a:endParaRPr lang="en-ID"/>
        </a:p>
      </xdr:txBody>
    </xdr:sp>
    <xdr:clientData/>
  </xdr:twoCellAnchor>
  <xdr:twoCellAnchor>
    <xdr:from>
      <xdr:col>28</xdr:col>
      <xdr:colOff>268792</xdr:colOff>
      <xdr:row>8</xdr:row>
      <xdr:rowOff>130969</xdr:rowOff>
    </xdr:from>
    <xdr:to>
      <xdr:col>34</xdr:col>
      <xdr:colOff>256202</xdr:colOff>
      <xdr:row>13</xdr:row>
      <xdr:rowOff>20268</xdr:rowOff>
    </xdr:to>
    <xdr:sp macro="" textlink="">
      <xdr:nvSpPr>
        <xdr:cNvPr id="2158" name="Shape 2">
          <a:extLst>
            <a:ext uri="{FF2B5EF4-FFF2-40B4-BE49-F238E27FC236}">
              <a16:creationId xmlns:a16="http://schemas.microsoft.com/office/drawing/2014/main" id="{B2D600D2-6FC0-4D6D-9C54-D7D633BF661E}"/>
            </a:ext>
          </a:extLst>
        </xdr:cNvPr>
        <xdr:cNvSpPr/>
      </xdr:nvSpPr>
      <xdr:spPr>
        <a:xfrm>
          <a:off x="17475244" y="1482904"/>
          <a:ext cx="3674506" cy="734259"/>
        </a:xfrm>
        <a:prstGeom prst="roundRect">
          <a:avLst>
            <a:gd name="adj" fmla="val 14545"/>
          </a:avLst>
        </a:prstGeom>
        <a:solidFill>
          <a:srgbClr val="1E2328"/>
        </a:solidFill>
        <a:ln w="12700">
          <a:solidFill>
            <a:srgbClr val="2E3438"/>
          </a:solidFill>
          <a:prstDash val="solid"/>
        </a:ln>
      </xdr:spPr>
      <xdr:txBody>
        <a:bodyPr wrap="square"/>
        <a:lstStyle/>
        <a:p>
          <a:endParaRPr lang="en-ID"/>
        </a:p>
      </xdr:txBody>
    </xdr:sp>
    <xdr:clientData/>
  </xdr:twoCellAnchor>
  <xdr:twoCellAnchor>
    <xdr:from>
      <xdr:col>15</xdr:col>
      <xdr:colOff>317152</xdr:colOff>
      <xdr:row>13</xdr:row>
      <xdr:rowOff>160596</xdr:rowOff>
    </xdr:from>
    <xdr:to>
      <xdr:col>20</xdr:col>
      <xdr:colOff>49529</xdr:colOff>
      <xdr:row>19</xdr:row>
      <xdr:rowOff>84077</xdr:rowOff>
    </xdr:to>
    <xdr:sp macro="" textlink="Pivot!R6">
      <xdr:nvSpPr>
        <xdr:cNvPr id="2159" name="Shape 3">
          <a:extLst>
            <a:ext uri="{FF2B5EF4-FFF2-40B4-BE49-F238E27FC236}">
              <a16:creationId xmlns:a16="http://schemas.microsoft.com/office/drawing/2014/main" id="{B5185B3D-BBF0-49B7-96E3-E72141FB3789}"/>
            </a:ext>
          </a:extLst>
        </xdr:cNvPr>
        <xdr:cNvSpPr/>
      </xdr:nvSpPr>
      <xdr:spPr>
        <a:xfrm>
          <a:off x="9534894" y="2357491"/>
          <a:ext cx="2804958" cy="937433"/>
        </a:xfrm>
        <a:prstGeom prst="roundRect">
          <a:avLst>
            <a:gd name="adj" fmla="val 7619"/>
          </a:avLst>
        </a:prstGeom>
        <a:solidFill>
          <a:srgbClr val="1E2328"/>
        </a:solidFill>
        <a:ln w="12700">
          <a:solidFill>
            <a:srgbClr val="2E3438"/>
          </a:solidFill>
          <a:prstDash val="solid"/>
        </a:ln>
      </xdr:spPr>
      <xdr:txBody>
        <a:bodyPr wrap="square" anchor="b"/>
        <a:lstStyle/>
        <a:p>
          <a:fld id="{FF7320A7-F4C8-48BD-9727-D3711EAAFC61}" type="TxLink">
            <a:rPr lang="en-US" sz="2400" b="1" i="0" u="none" strike="noStrike">
              <a:solidFill>
                <a:srgbClr val="F2F2F2"/>
              </a:solidFill>
              <a:latin typeface="Segoe UI" panose="020B0502040204020203" pitchFamily="34" charset="0"/>
              <a:cs typeface="Segoe UI" panose="020B0502040204020203" pitchFamily="34" charset="0"/>
            </a:rPr>
            <a:pPr/>
            <a:t>$135.188.198</a:t>
          </a:fld>
          <a:endParaRPr lang="en-US" sz="6000" b="1">
            <a:solidFill>
              <a:srgbClr val="F2F2F2"/>
            </a:solidFill>
            <a:latin typeface="Segoe UI" panose="020B0502040204020203" pitchFamily="34" charset="0"/>
            <a:cs typeface="Segoe UI" panose="020B0502040204020203" pitchFamily="34" charset="0"/>
          </a:endParaRPr>
        </a:p>
      </xdr:txBody>
    </xdr:sp>
    <xdr:clientData/>
  </xdr:twoCellAnchor>
  <xdr:twoCellAnchor>
    <xdr:from>
      <xdr:col>20</xdr:col>
      <xdr:colOff>183802</xdr:colOff>
      <xdr:row>13</xdr:row>
      <xdr:rowOff>160596</xdr:rowOff>
    </xdr:from>
    <xdr:to>
      <xdr:col>24</xdr:col>
      <xdr:colOff>522891</xdr:colOff>
      <xdr:row>19</xdr:row>
      <xdr:rowOff>84077</xdr:rowOff>
    </xdr:to>
    <xdr:sp macro="" textlink="Pivot!R7">
      <xdr:nvSpPr>
        <xdr:cNvPr id="2160" name="Shape 4">
          <a:extLst>
            <a:ext uri="{FF2B5EF4-FFF2-40B4-BE49-F238E27FC236}">
              <a16:creationId xmlns:a16="http://schemas.microsoft.com/office/drawing/2014/main" id="{958A3949-A3DF-49F2-8E77-EC787EC5F0B7}"/>
            </a:ext>
          </a:extLst>
        </xdr:cNvPr>
        <xdr:cNvSpPr/>
      </xdr:nvSpPr>
      <xdr:spPr>
        <a:xfrm>
          <a:off x="12474125" y="2357491"/>
          <a:ext cx="2797153" cy="937433"/>
        </a:xfrm>
        <a:prstGeom prst="roundRect">
          <a:avLst>
            <a:gd name="adj" fmla="val 7619"/>
          </a:avLst>
        </a:prstGeom>
        <a:solidFill>
          <a:srgbClr val="1E2328"/>
        </a:solidFill>
        <a:ln w="12700">
          <a:solidFill>
            <a:srgbClr val="2E3438"/>
          </a:solidFill>
          <a:prstDash val="solid"/>
        </a:ln>
      </xdr:spPr>
      <xdr:txBody>
        <a:bodyPr wrap="square" anchor="b"/>
        <a:lstStyle/>
        <a:p>
          <a:fld id="{F77B3D84-451F-46E3-B1BF-E2A9594006C3}" type="TxLink">
            <a:rPr lang="en-US" sz="2400" b="1" i="0" u="none" strike="noStrike">
              <a:solidFill>
                <a:srgbClr val="F2F2F2"/>
              </a:solidFill>
              <a:latin typeface="Segoe UI" panose="020B0502040204020203" pitchFamily="34" charset="0"/>
              <a:cs typeface="Segoe UI" panose="020B0502040204020203" pitchFamily="34" charset="0"/>
            </a:rPr>
            <a:pPr/>
            <a:t>$37.846.424</a:t>
          </a:fld>
          <a:endParaRPr lang="en-ID" sz="3200" b="1">
            <a:solidFill>
              <a:srgbClr val="F2F2F2"/>
            </a:solidFill>
            <a:latin typeface="Segoe UI" panose="020B0502040204020203" pitchFamily="34" charset="0"/>
            <a:cs typeface="Segoe UI" panose="020B0502040204020203" pitchFamily="34" charset="0"/>
          </a:endParaRPr>
        </a:p>
      </xdr:txBody>
    </xdr:sp>
    <xdr:clientData/>
  </xdr:twoCellAnchor>
  <xdr:twoCellAnchor>
    <xdr:from>
      <xdr:col>25</xdr:col>
      <xdr:colOff>53339</xdr:colOff>
      <xdr:row>13</xdr:row>
      <xdr:rowOff>160596</xdr:rowOff>
    </xdr:from>
    <xdr:to>
      <xdr:col>29</xdr:col>
      <xdr:colOff>389542</xdr:colOff>
      <xdr:row>19</xdr:row>
      <xdr:rowOff>84077</xdr:rowOff>
    </xdr:to>
    <xdr:sp macro="" textlink="Pivot!$U$23">
      <xdr:nvSpPr>
        <xdr:cNvPr id="2161" name="Shape 5">
          <a:extLst>
            <a:ext uri="{FF2B5EF4-FFF2-40B4-BE49-F238E27FC236}">
              <a16:creationId xmlns:a16="http://schemas.microsoft.com/office/drawing/2014/main" id="{5B924F4A-052A-46D9-B866-C53F66642745}"/>
            </a:ext>
          </a:extLst>
        </xdr:cNvPr>
        <xdr:cNvSpPr/>
      </xdr:nvSpPr>
      <xdr:spPr>
        <a:xfrm>
          <a:off x="15416242" y="2357491"/>
          <a:ext cx="2794268" cy="937433"/>
        </a:xfrm>
        <a:prstGeom prst="roundRect">
          <a:avLst>
            <a:gd name="adj" fmla="val 7619"/>
          </a:avLst>
        </a:prstGeom>
        <a:solidFill>
          <a:srgbClr val="1E2328"/>
        </a:solidFill>
        <a:ln w="12700">
          <a:solidFill>
            <a:srgbClr val="2E3438"/>
          </a:solidFill>
          <a:prstDash val="solid"/>
        </a:ln>
      </xdr:spPr>
      <xdr:txBody>
        <a:bodyPr wrap="square" anchor="b"/>
        <a:lstStyle/>
        <a:p>
          <a:fld id="{9E9AC894-67EF-4EEB-9F21-D65DA181A29B}" type="TxLink">
            <a:rPr lang="en-US" sz="2400" b="1" i="0" u="none" strike="noStrike">
              <a:solidFill>
                <a:srgbClr val="F2F2F2"/>
              </a:solidFill>
              <a:latin typeface="Segoe UI" panose="020B0502040204020203" pitchFamily="34" charset="0"/>
              <a:cs typeface="Segoe UI" panose="020B0502040204020203" pitchFamily="34" charset="0"/>
            </a:rPr>
            <a:pPr/>
            <a:t>$16.653.606</a:t>
          </a:fld>
          <a:endParaRPr lang="en-ID" sz="2400" b="1">
            <a:solidFill>
              <a:srgbClr val="F2F2F2"/>
            </a:solidFill>
            <a:latin typeface="Segoe UI" panose="020B0502040204020203" pitchFamily="34" charset="0"/>
            <a:cs typeface="Segoe UI" panose="020B0502040204020203" pitchFamily="34" charset="0"/>
          </a:endParaRPr>
        </a:p>
      </xdr:txBody>
    </xdr:sp>
    <xdr:clientData/>
  </xdr:twoCellAnchor>
  <xdr:twoCellAnchor>
    <xdr:from>
      <xdr:col>29</xdr:col>
      <xdr:colOff>526702</xdr:colOff>
      <xdr:row>13</xdr:row>
      <xdr:rowOff>160596</xdr:rowOff>
    </xdr:from>
    <xdr:to>
      <xdr:col>34</xdr:col>
      <xdr:colOff>256194</xdr:colOff>
      <xdr:row>19</xdr:row>
      <xdr:rowOff>84077</xdr:rowOff>
    </xdr:to>
    <xdr:sp macro="" textlink="Pivot!R8">
      <xdr:nvSpPr>
        <xdr:cNvPr id="2162" name="Shape 6">
          <a:extLst>
            <a:ext uri="{FF2B5EF4-FFF2-40B4-BE49-F238E27FC236}">
              <a16:creationId xmlns:a16="http://schemas.microsoft.com/office/drawing/2014/main" id="{A25EA789-EEBB-4708-B745-A7D10BD8684C}"/>
            </a:ext>
          </a:extLst>
        </xdr:cNvPr>
        <xdr:cNvSpPr/>
      </xdr:nvSpPr>
      <xdr:spPr>
        <a:xfrm>
          <a:off x="18347670" y="2357491"/>
          <a:ext cx="2802072" cy="937433"/>
        </a:xfrm>
        <a:prstGeom prst="roundRect">
          <a:avLst>
            <a:gd name="adj" fmla="val 7619"/>
          </a:avLst>
        </a:prstGeom>
        <a:solidFill>
          <a:srgbClr val="1E2328"/>
        </a:solidFill>
        <a:ln w="12700">
          <a:solidFill>
            <a:srgbClr val="2E3438"/>
          </a:solidFill>
          <a:prstDash val="solid"/>
        </a:ln>
      </xdr:spPr>
      <xdr:txBody>
        <a:bodyPr wrap="square" anchor="b"/>
        <a:lstStyle/>
        <a:p>
          <a:pPr algn="l"/>
          <a:fld id="{C5388C20-8BC1-4BE6-B2F5-ED6870F8841E}" type="TxLink">
            <a:rPr lang="en-US" sz="2400" b="1" i="0" u="none" strike="noStrike">
              <a:solidFill>
                <a:srgbClr val="F2F2F2"/>
              </a:solidFill>
              <a:latin typeface="Segoe UI" panose="020B0502040204020203" pitchFamily="34" charset="0"/>
              <a:cs typeface="Segoe UI" panose="020B0502040204020203" pitchFamily="34" charset="0"/>
            </a:rPr>
            <a:pPr algn="l"/>
            <a:t>700</a:t>
          </a:fld>
          <a:endParaRPr lang="en-ID" sz="2400" b="1">
            <a:solidFill>
              <a:srgbClr val="F2F2F2"/>
            </a:solidFill>
            <a:latin typeface="Segoe UI" panose="020B0502040204020203" pitchFamily="34" charset="0"/>
            <a:cs typeface="Segoe UI" panose="020B0502040204020203" pitchFamily="34" charset="0"/>
          </a:endParaRPr>
        </a:p>
      </xdr:txBody>
    </xdr:sp>
    <xdr:clientData/>
  </xdr:twoCellAnchor>
  <xdr:twoCellAnchor>
    <xdr:from>
      <xdr:col>15</xdr:col>
      <xdr:colOff>317152</xdr:colOff>
      <xdr:row>20</xdr:row>
      <xdr:rowOff>49787</xdr:rowOff>
    </xdr:from>
    <xdr:to>
      <xdr:col>34</xdr:col>
      <xdr:colOff>256194</xdr:colOff>
      <xdr:row>37</xdr:row>
      <xdr:rowOff>23812</xdr:rowOff>
    </xdr:to>
    <xdr:sp macro="" textlink="">
      <xdr:nvSpPr>
        <xdr:cNvPr id="2163" name="Shape 7">
          <a:extLst>
            <a:ext uri="{FF2B5EF4-FFF2-40B4-BE49-F238E27FC236}">
              <a16:creationId xmlns:a16="http://schemas.microsoft.com/office/drawing/2014/main" id="{7551F1BC-E605-4A2F-8C9A-56FB902BE223}"/>
            </a:ext>
          </a:extLst>
        </xdr:cNvPr>
        <xdr:cNvSpPr/>
      </xdr:nvSpPr>
      <xdr:spPr>
        <a:xfrm>
          <a:off x="9534894" y="3429626"/>
          <a:ext cx="11614848" cy="2846888"/>
        </a:xfrm>
        <a:prstGeom prst="roundRect">
          <a:avLst>
            <a:gd name="adj" fmla="val 3404"/>
          </a:avLst>
        </a:prstGeom>
        <a:solidFill>
          <a:srgbClr val="1E2328"/>
        </a:solidFill>
        <a:ln w="22225">
          <a:solidFill>
            <a:srgbClr val="34D399"/>
          </a:solidFill>
          <a:prstDash val="solid"/>
        </a:ln>
      </xdr:spPr>
      <xdr:txBody>
        <a:bodyPr wrap="square"/>
        <a:lstStyle/>
        <a:p>
          <a:endParaRPr lang="en-ID"/>
        </a:p>
      </xdr:txBody>
    </xdr:sp>
    <xdr:clientData/>
  </xdr:twoCellAnchor>
  <xdr:twoCellAnchor>
    <xdr:from>
      <xdr:col>23</xdr:col>
      <xdr:colOff>590261</xdr:colOff>
      <xdr:row>38</xdr:row>
      <xdr:rowOff>7937</xdr:rowOff>
    </xdr:from>
    <xdr:to>
      <xdr:col>34</xdr:col>
      <xdr:colOff>233073</xdr:colOff>
      <xdr:row>52</xdr:row>
      <xdr:rowOff>142874</xdr:rowOff>
    </xdr:to>
    <xdr:sp macro="" textlink="">
      <xdr:nvSpPr>
        <xdr:cNvPr id="2164" name="Shape 8">
          <a:extLst>
            <a:ext uri="{FF2B5EF4-FFF2-40B4-BE49-F238E27FC236}">
              <a16:creationId xmlns:a16="http://schemas.microsoft.com/office/drawing/2014/main" id="{A751CAD0-BFCC-4C08-A182-339D42BFB102}"/>
            </a:ext>
          </a:extLst>
        </xdr:cNvPr>
        <xdr:cNvSpPr/>
      </xdr:nvSpPr>
      <xdr:spPr>
        <a:xfrm>
          <a:off x="14724132" y="6429631"/>
          <a:ext cx="6402489" cy="2500824"/>
        </a:xfrm>
        <a:prstGeom prst="roundRect">
          <a:avLst>
            <a:gd name="adj" fmla="val 3200"/>
          </a:avLst>
        </a:prstGeom>
        <a:solidFill>
          <a:srgbClr val="1E2328"/>
        </a:solidFill>
        <a:ln w="12700">
          <a:solidFill>
            <a:srgbClr val="2E3438"/>
          </a:solidFill>
          <a:prstDash val="solid"/>
        </a:ln>
      </xdr:spPr>
      <xdr:txBody>
        <a:bodyPr wrap="square"/>
        <a:lstStyle/>
        <a:p>
          <a:endParaRPr lang="en-ID"/>
        </a:p>
      </xdr:txBody>
    </xdr:sp>
    <xdr:clientData/>
  </xdr:twoCellAnchor>
  <xdr:twoCellAnchor>
    <xdr:from>
      <xdr:col>15</xdr:col>
      <xdr:colOff>397162</xdr:colOff>
      <xdr:row>20</xdr:row>
      <xdr:rowOff>152975</xdr:rowOff>
    </xdr:from>
    <xdr:to>
      <xdr:col>34</xdr:col>
      <xdr:colOff>111414</xdr:colOff>
      <xdr:row>36</xdr:row>
      <xdr:rowOff>134937</xdr:rowOff>
    </xdr:to>
    <xdr:graphicFrame macro="">
      <xdr:nvGraphicFramePr>
        <xdr:cNvPr id="2165" name="Chart 5">
          <a:extLst>
            <a:ext uri="{FF2B5EF4-FFF2-40B4-BE49-F238E27FC236}">
              <a16:creationId xmlns:a16="http://schemas.microsoft.com/office/drawing/2014/main" id="{EC6F4B23-9FCD-41F0-AF34-4025BAC31841}"/>
            </a:ext>
            <a:ext uri="{147F2762-F138-4A5C-976F-8EAC2B608ADB}">
              <a16:predDERef xmlns:a16="http://schemas.microsoft.com/office/drawing/2014/main" pred="{9BC274F5-B860-4FF1-B2CB-E6586F31BE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23</xdr:col>
      <xdr:colOff>46543</xdr:colOff>
      <xdr:row>38</xdr:row>
      <xdr:rowOff>39687</xdr:rowOff>
    </xdr:from>
    <xdr:to>
      <xdr:col>34</xdr:col>
      <xdr:colOff>209260</xdr:colOff>
      <xdr:row>52</xdr:row>
      <xdr:rowOff>150812</xdr:rowOff>
    </xdr:to>
    <xdr:graphicFrame macro="">
      <xdr:nvGraphicFramePr>
        <xdr:cNvPr id="2166" name="Chart 2165">
          <a:extLst>
            <a:ext uri="{FF2B5EF4-FFF2-40B4-BE49-F238E27FC236}">
              <a16:creationId xmlns:a16="http://schemas.microsoft.com/office/drawing/2014/main" id="{9684BD8E-7E31-400B-B0AE-67EA5E90E2F5}"/>
            </a:ext>
            <a:ext uri="{147F2762-F138-4A5C-976F-8EAC2B608ADB}">
              <a16:predDERef xmlns:a16="http://schemas.microsoft.com/office/drawing/2014/main" pred="{C4BF9EC1-7161-75AB-7DEF-03DBD72233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27</xdr:col>
      <xdr:colOff>238127</xdr:colOff>
      <xdr:row>53</xdr:row>
      <xdr:rowOff>103188</xdr:rowOff>
    </xdr:from>
    <xdr:to>
      <xdr:col>34</xdr:col>
      <xdr:colOff>230911</xdr:colOff>
      <xdr:row>66</xdr:row>
      <xdr:rowOff>55563</xdr:rowOff>
    </xdr:to>
    <xdr:graphicFrame macro="">
      <xdr:nvGraphicFramePr>
        <xdr:cNvPr id="2167" name="Chart 2166">
          <a:extLst>
            <a:ext uri="{FF2B5EF4-FFF2-40B4-BE49-F238E27FC236}">
              <a16:creationId xmlns:a16="http://schemas.microsoft.com/office/drawing/2014/main" id="{12E0318E-7830-49FC-BA99-2B0F708C8F35}"/>
            </a:ext>
            <a:ext uri="{147F2762-F138-4A5C-976F-8EAC2B608ADB}">
              <a16:predDERef xmlns:a16="http://schemas.microsoft.com/office/drawing/2014/main" pred="{8E139417-949E-89CD-0F7A-4DDB083DF4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375950</xdr:colOff>
      <xdr:row>53</xdr:row>
      <xdr:rowOff>103187</xdr:rowOff>
    </xdr:from>
    <xdr:to>
      <xdr:col>27</xdr:col>
      <xdr:colOff>142876</xdr:colOff>
      <xdr:row>66</xdr:row>
      <xdr:rowOff>71437</xdr:rowOff>
    </xdr:to>
    <xdr:graphicFrame macro="">
      <xdr:nvGraphicFramePr>
        <xdr:cNvPr id="2168" name="Chart 2167">
          <a:extLst>
            <a:ext uri="{FF2B5EF4-FFF2-40B4-BE49-F238E27FC236}">
              <a16:creationId xmlns:a16="http://schemas.microsoft.com/office/drawing/2014/main" id="{6302F77A-6E60-431F-810D-83CB740C82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28</xdr:col>
      <xdr:colOff>364042</xdr:colOff>
      <xdr:row>9</xdr:row>
      <xdr:rowOff>2</xdr:rowOff>
    </xdr:from>
    <xdr:to>
      <xdr:col>34</xdr:col>
      <xdr:colOff>161635</xdr:colOff>
      <xdr:row>12</xdr:row>
      <xdr:rowOff>154783</xdr:rowOff>
    </xdr:to>
    <mc:AlternateContent xmlns:mc="http://schemas.openxmlformats.org/markup-compatibility/2006" xmlns:a14="http://schemas.microsoft.com/office/drawing/2010/main">
      <mc:Choice Requires="a14">
        <xdr:graphicFrame macro="">
          <xdr:nvGraphicFramePr>
            <xdr:cNvPr id="2169" name="Order Year">
              <a:extLst>
                <a:ext uri="{FF2B5EF4-FFF2-40B4-BE49-F238E27FC236}">
                  <a16:creationId xmlns:a16="http://schemas.microsoft.com/office/drawing/2014/main" id="{213B8C71-8B93-4607-8072-8D43BF51C326}"/>
                </a:ext>
                <a:ext uri="{147F2762-F138-4A5C-976F-8EAC2B608ADB}">
                  <a16:predDERef xmlns:a16="http://schemas.microsoft.com/office/drawing/2014/main" pred="{6B8E3B69-94F4-5B99-76C4-35DFF2B65A2A}"/>
                </a:ext>
              </a:extLst>
            </xdr:cNvPr>
            <xdr:cNvGraphicFramePr/>
          </xdr:nvGraphicFramePr>
          <xdr:xfrm>
            <a:off x="0" y="0"/>
            <a:ext cx="0" cy="0"/>
          </xdr:xfrm>
          <a:graphic>
            <a:graphicData uri="http://schemas.microsoft.com/office/drawing/2010/slicer">
              <sle:slicer xmlns:sle="http://schemas.microsoft.com/office/drawing/2010/slicer" name="Order Year"/>
            </a:graphicData>
          </a:graphic>
        </xdr:graphicFrame>
      </mc:Choice>
      <mc:Fallback xmlns="">
        <xdr:sp macro="" textlink="">
          <xdr:nvSpPr>
            <xdr:cNvPr id="0" name=""/>
            <xdr:cNvSpPr>
              <a:spLocks noTextEdit="1"/>
            </xdr:cNvSpPr>
          </xdr:nvSpPr>
          <xdr:spPr>
            <a:xfrm>
              <a:off x="17307336" y="1512796"/>
              <a:ext cx="3428299" cy="659046"/>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34</xdr:col>
      <xdr:colOff>435478</xdr:colOff>
      <xdr:row>9</xdr:row>
      <xdr:rowOff>35717</xdr:rowOff>
    </xdr:from>
    <xdr:to>
      <xdr:col>38</xdr:col>
      <xdr:colOff>114010</xdr:colOff>
      <xdr:row>16</xdr:row>
      <xdr:rowOff>57150</xdr:rowOff>
    </xdr:to>
    <mc:AlternateContent xmlns:mc="http://schemas.openxmlformats.org/markup-compatibility/2006" xmlns:a14="http://schemas.microsoft.com/office/drawing/2010/main">
      <mc:Choice Requires="a14">
        <xdr:graphicFrame macro="">
          <xdr:nvGraphicFramePr>
            <xdr:cNvPr id="2170" name="Buyer segment">
              <a:extLst>
                <a:ext uri="{FF2B5EF4-FFF2-40B4-BE49-F238E27FC236}">
                  <a16:creationId xmlns:a16="http://schemas.microsoft.com/office/drawing/2014/main" id="{6C9807B8-9459-4F3A-ABFC-FF212C928786}"/>
                </a:ext>
                <a:ext uri="{147F2762-F138-4A5C-976F-8EAC2B608ADB}">
                  <a16:predDERef xmlns:a16="http://schemas.microsoft.com/office/drawing/2014/main" pred="{18F787D2-E70B-1630-0CED-7AA880037F23}"/>
                </a:ext>
              </a:extLst>
            </xdr:cNvPr>
            <xdr:cNvGraphicFramePr/>
          </xdr:nvGraphicFramePr>
          <xdr:xfrm>
            <a:off x="0" y="0"/>
            <a:ext cx="0" cy="0"/>
          </xdr:xfrm>
          <a:graphic>
            <a:graphicData uri="http://schemas.microsoft.com/office/drawing/2010/slicer">
              <sle:slicer xmlns:sle="http://schemas.microsoft.com/office/drawing/2010/slicer" name="Buyer segment"/>
            </a:graphicData>
          </a:graphic>
        </xdr:graphicFrame>
      </mc:Choice>
      <mc:Fallback xmlns="">
        <xdr:sp macro="" textlink="">
          <xdr:nvSpPr>
            <xdr:cNvPr id="0" name=""/>
            <xdr:cNvSpPr>
              <a:spLocks noTextEdit="1"/>
            </xdr:cNvSpPr>
          </xdr:nvSpPr>
          <xdr:spPr>
            <a:xfrm>
              <a:off x="21009478" y="1548511"/>
              <a:ext cx="2099003" cy="1198051"/>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399760</xdr:colOff>
      <xdr:row>13</xdr:row>
      <xdr:rowOff>162719</xdr:rowOff>
    </xdr:from>
    <xdr:to>
      <xdr:col>20</xdr:col>
      <xdr:colOff>78291</xdr:colOff>
      <xdr:row>16</xdr:row>
      <xdr:rowOff>71437</xdr:rowOff>
    </xdr:to>
    <xdr:sp macro="" textlink="">
      <xdr:nvSpPr>
        <xdr:cNvPr id="2171" name="TextBox 2170">
          <a:extLst>
            <a:ext uri="{FF2B5EF4-FFF2-40B4-BE49-F238E27FC236}">
              <a16:creationId xmlns:a16="http://schemas.microsoft.com/office/drawing/2014/main" id="{473A3527-092D-4A62-ABBD-4A81BCEC8832}"/>
            </a:ext>
          </a:extLst>
        </xdr:cNvPr>
        <xdr:cNvSpPr txBox="1"/>
      </xdr:nvSpPr>
      <xdr:spPr>
        <a:xfrm>
          <a:off x="9617502" y="2359614"/>
          <a:ext cx="2751112" cy="4156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l"/>
          <a:r>
            <a:rPr lang="en-ID" sz="1100" b="1">
              <a:solidFill>
                <a:srgbClr val="F2F2F2"/>
              </a:solidFill>
              <a:latin typeface="Segoe UI" panose="020B0502040204020203" pitchFamily="34" charset="0"/>
              <a:cs typeface="Segoe UI" panose="020B0502040204020203" pitchFamily="34" charset="0"/>
            </a:rPr>
            <a:t>Total Revenue</a:t>
          </a:r>
          <a:r>
            <a:rPr lang="en-ID" sz="2400" b="1">
              <a:effectLst/>
            </a:rPr>
            <a:t> </a:t>
          </a:r>
          <a:r>
            <a:rPr lang="en-ID" sz="2400" b="1">
              <a:solidFill>
                <a:srgbClr val="F2F2F2"/>
              </a:solidFill>
              <a:effectLst/>
              <a:latin typeface="Segoe UI" panose="020B0502040204020203" pitchFamily="34" charset="0"/>
              <a:cs typeface="Segoe UI" panose="020B0502040204020203" pitchFamily="34" charset="0"/>
            </a:rPr>
            <a:t> </a:t>
          </a:r>
          <a:endParaRPr lang="en-ID" sz="1100" b="1">
            <a:solidFill>
              <a:srgbClr val="F2F2F2"/>
            </a:solidFill>
            <a:latin typeface="Segoe UI" panose="020B0502040204020203" pitchFamily="34" charset="0"/>
            <a:cs typeface="Segoe UI" panose="020B0502040204020203" pitchFamily="34" charset="0"/>
          </a:endParaRPr>
        </a:p>
      </xdr:txBody>
    </xdr:sp>
    <xdr:clientData/>
  </xdr:twoCellAnchor>
  <xdr:twoCellAnchor>
    <xdr:from>
      <xdr:col>15</xdr:col>
      <xdr:colOff>602168</xdr:colOff>
      <xdr:row>8</xdr:row>
      <xdr:rowOff>150813</xdr:rowOff>
    </xdr:from>
    <xdr:to>
      <xdr:col>26</xdr:col>
      <xdr:colOff>578354</xdr:colOff>
      <xdr:row>12</xdr:row>
      <xdr:rowOff>107157</xdr:rowOff>
    </xdr:to>
    <xdr:sp macro="" textlink="">
      <xdr:nvSpPr>
        <xdr:cNvPr id="2172" name="TextBox 2171">
          <a:extLst>
            <a:ext uri="{FF2B5EF4-FFF2-40B4-BE49-F238E27FC236}">
              <a16:creationId xmlns:a16="http://schemas.microsoft.com/office/drawing/2014/main" id="{86B9ED29-1A28-4132-99F2-D4D0D591D0BE}"/>
            </a:ext>
          </a:extLst>
        </xdr:cNvPr>
        <xdr:cNvSpPr txBox="1"/>
      </xdr:nvSpPr>
      <xdr:spPr>
        <a:xfrm>
          <a:off x="9819910" y="1502748"/>
          <a:ext cx="6735863" cy="6323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D" sz="3600">
              <a:solidFill>
                <a:srgbClr val="F2F2F2"/>
              </a:solidFill>
              <a:latin typeface="Segoe UI Semibold" panose="020B0702040204020203" pitchFamily="34" charset="0"/>
              <a:cs typeface="Segoe UI Semibold" panose="020B0702040204020203" pitchFamily="34" charset="0"/>
            </a:rPr>
            <a:t>Sales Performance</a:t>
          </a:r>
          <a:r>
            <a:rPr lang="en-ID" sz="3600" baseline="0">
              <a:solidFill>
                <a:srgbClr val="F2F2F2"/>
              </a:solidFill>
              <a:latin typeface="Segoe UI Semibold" panose="020B0702040204020203" pitchFamily="34" charset="0"/>
              <a:cs typeface="Segoe UI Semibold" panose="020B0702040204020203" pitchFamily="34" charset="0"/>
            </a:rPr>
            <a:t> Dashboard</a:t>
          </a:r>
          <a:endParaRPr lang="en-ID" sz="3600">
            <a:solidFill>
              <a:srgbClr val="F2F2F2"/>
            </a:solidFill>
            <a:latin typeface="Segoe UI Semibold" panose="020B0702040204020203" pitchFamily="34" charset="0"/>
            <a:cs typeface="Segoe UI Semibold" panose="020B0702040204020203" pitchFamily="34" charset="0"/>
          </a:endParaRPr>
        </a:p>
      </xdr:txBody>
    </xdr:sp>
    <xdr:clientData/>
  </xdr:twoCellAnchor>
  <xdr:twoCellAnchor editAs="oneCell">
    <xdr:from>
      <xdr:col>33</xdr:col>
      <xdr:colOff>337850</xdr:colOff>
      <xdr:row>14</xdr:row>
      <xdr:rowOff>83345</xdr:rowOff>
    </xdr:from>
    <xdr:to>
      <xdr:col>34</xdr:col>
      <xdr:colOff>123536</xdr:colOff>
      <xdr:row>16</xdr:row>
      <xdr:rowOff>153457</xdr:rowOff>
    </xdr:to>
    <xdr:pic>
      <xdr:nvPicPr>
        <xdr:cNvPr id="2173" name="Picture 2172">
          <a:extLst>
            <a:ext uri="{FF2B5EF4-FFF2-40B4-BE49-F238E27FC236}">
              <a16:creationId xmlns:a16="http://schemas.microsoft.com/office/drawing/2014/main" id="{296CD146-A2D3-4324-AC91-8D5C28CAC73D}"/>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20616882" y="2449232"/>
          <a:ext cx="400202" cy="408096"/>
        </a:xfrm>
        <a:prstGeom prst="rect">
          <a:avLst/>
        </a:prstGeom>
      </xdr:spPr>
    </xdr:pic>
    <xdr:clientData/>
  </xdr:twoCellAnchor>
  <xdr:twoCellAnchor editAs="oneCell">
    <xdr:from>
      <xdr:col>28</xdr:col>
      <xdr:colOff>506880</xdr:colOff>
      <xdr:row>14</xdr:row>
      <xdr:rowOff>30938</xdr:rowOff>
    </xdr:from>
    <xdr:to>
      <xdr:col>29</xdr:col>
      <xdr:colOff>285442</xdr:colOff>
      <xdr:row>16</xdr:row>
      <xdr:rowOff>83343</xdr:rowOff>
    </xdr:to>
    <xdr:pic>
      <xdr:nvPicPr>
        <xdr:cNvPr id="2174" name="Picture 2173">
          <a:extLst>
            <a:ext uri="{FF2B5EF4-FFF2-40B4-BE49-F238E27FC236}">
              <a16:creationId xmlns:a16="http://schemas.microsoft.com/office/drawing/2014/main" id="{18082C1E-2E36-4F20-A13E-784BF3ECBA79}"/>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7713332" y="2396825"/>
          <a:ext cx="393078" cy="390389"/>
        </a:xfrm>
        <a:prstGeom prst="rect">
          <a:avLst/>
        </a:prstGeom>
      </xdr:spPr>
    </xdr:pic>
    <xdr:clientData/>
  </xdr:twoCellAnchor>
  <xdr:twoCellAnchor editAs="oneCell">
    <xdr:from>
      <xdr:col>24</xdr:col>
      <xdr:colOff>68693</xdr:colOff>
      <xdr:row>14</xdr:row>
      <xdr:rowOff>85690</xdr:rowOff>
    </xdr:from>
    <xdr:to>
      <xdr:col>24</xdr:col>
      <xdr:colOff>387816</xdr:colOff>
      <xdr:row>16</xdr:row>
      <xdr:rowOff>71437</xdr:rowOff>
    </xdr:to>
    <xdr:pic>
      <xdr:nvPicPr>
        <xdr:cNvPr id="2175" name="Picture 2174">
          <a:extLst>
            <a:ext uri="{FF2B5EF4-FFF2-40B4-BE49-F238E27FC236}">
              <a16:creationId xmlns:a16="http://schemas.microsoft.com/office/drawing/2014/main" id="{AFC25EFB-9ECA-4A9D-8DE6-DCA7B4B67055}"/>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4817080" y="2451577"/>
          <a:ext cx="319123" cy="323731"/>
        </a:xfrm>
        <a:prstGeom prst="rect">
          <a:avLst/>
        </a:prstGeom>
      </xdr:spPr>
    </xdr:pic>
    <xdr:clientData/>
  </xdr:twoCellAnchor>
  <xdr:twoCellAnchor editAs="oneCell">
    <xdr:from>
      <xdr:col>19</xdr:col>
      <xdr:colOff>118662</xdr:colOff>
      <xdr:row>14</xdr:row>
      <xdr:rowOff>21377</xdr:rowOff>
    </xdr:from>
    <xdr:to>
      <xdr:col>19</xdr:col>
      <xdr:colOff>537817</xdr:colOff>
      <xdr:row>16</xdr:row>
      <xdr:rowOff>107156</xdr:rowOff>
    </xdr:to>
    <xdr:pic>
      <xdr:nvPicPr>
        <xdr:cNvPr id="2176" name="Picture 2175">
          <a:extLst>
            <a:ext uri="{FF2B5EF4-FFF2-40B4-BE49-F238E27FC236}">
              <a16:creationId xmlns:a16="http://schemas.microsoft.com/office/drawing/2014/main" id="{55B6E932-FB2E-460C-BB52-7D8A75313644}"/>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1794468" y="2387264"/>
          <a:ext cx="419155" cy="423763"/>
        </a:xfrm>
        <a:prstGeom prst="rect">
          <a:avLst/>
        </a:prstGeom>
      </xdr:spPr>
    </xdr:pic>
    <xdr:clientData/>
  </xdr:twoCellAnchor>
  <xdr:twoCellAnchor>
    <xdr:from>
      <xdr:col>20</xdr:col>
      <xdr:colOff>266401</xdr:colOff>
      <xdr:row>13</xdr:row>
      <xdr:rowOff>104775</xdr:rowOff>
    </xdr:from>
    <xdr:to>
      <xdr:col>24</xdr:col>
      <xdr:colOff>552151</xdr:colOff>
      <xdr:row>16</xdr:row>
      <xdr:rowOff>21431</xdr:rowOff>
    </xdr:to>
    <xdr:sp macro="" textlink="">
      <xdr:nvSpPr>
        <xdr:cNvPr id="2177" name="TextBox 2176">
          <a:extLst>
            <a:ext uri="{FF2B5EF4-FFF2-40B4-BE49-F238E27FC236}">
              <a16:creationId xmlns:a16="http://schemas.microsoft.com/office/drawing/2014/main" id="{AAB3AEB2-FA87-4D1C-B50F-002E3BF18C91}"/>
            </a:ext>
          </a:extLst>
        </xdr:cNvPr>
        <xdr:cNvSpPr txBox="1"/>
      </xdr:nvSpPr>
      <xdr:spPr>
        <a:xfrm>
          <a:off x="12556724" y="2301670"/>
          <a:ext cx="2743814" cy="4236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l"/>
          <a:r>
            <a:rPr lang="en-ID" sz="1100" b="1">
              <a:solidFill>
                <a:srgbClr val="F2F2F2"/>
              </a:solidFill>
              <a:latin typeface="Segoe UI" panose="020B0502040204020203" pitchFamily="34" charset="0"/>
              <a:cs typeface="Segoe UI" panose="020B0502040204020203" pitchFamily="34" charset="0"/>
            </a:rPr>
            <a:t>Gross Profit</a:t>
          </a:r>
        </a:p>
      </xdr:txBody>
    </xdr:sp>
    <xdr:clientData/>
  </xdr:twoCellAnchor>
  <xdr:twoCellAnchor>
    <xdr:from>
      <xdr:col>25</xdr:col>
      <xdr:colOff>144957</xdr:colOff>
      <xdr:row>13</xdr:row>
      <xdr:rowOff>114300</xdr:rowOff>
    </xdr:from>
    <xdr:to>
      <xdr:col>29</xdr:col>
      <xdr:colOff>430707</xdr:colOff>
      <xdr:row>16</xdr:row>
      <xdr:rowOff>30956</xdr:rowOff>
    </xdr:to>
    <xdr:sp macro="" textlink="">
      <xdr:nvSpPr>
        <xdr:cNvPr id="2178" name="TextBox 2177">
          <a:extLst>
            <a:ext uri="{FF2B5EF4-FFF2-40B4-BE49-F238E27FC236}">
              <a16:creationId xmlns:a16="http://schemas.microsoft.com/office/drawing/2014/main" id="{DF89EE0E-4D73-47EB-B778-307D9FCBC2EA}"/>
            </a:ext>
          </a:extLst>
        </xdr:cNvPr>
        <xdr:cNvSpPr txBox="1"/>
      </xdr:nvSpPr>
      <xdr:spPr>
        <a:xfrm>
          <a:off x="15507860" y="2311195"/>
          <a:ext cx="2743815" cy="4236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l"/>
          <a:r>
            <a:rPr lang="en-ID" sz="1100" b="1">
              <a:solidFill>
                <a:srgbClr val="F2F2F2"/>
              </a:solidFill>
              <a:latin typeface="Segoe UI" panose="020B0502040204020203" pitchFamily="34" charset="0"/>
              <a:cs typeface="Segoe UI" panose="020B0502040204020203" pitchFamily="34" charset="0"/>
            </a:rPr>
            <a:t>Net Profit (est.)</a:t>
          </a:r>
        </a:p>
      </xdr:txBody>
    </xdr:sp>
    <xdr:clientData/>
  </xdr:twoCellAnchor>
  <xdr:twoCellAnchor>
    <xdr:from>
      <xdr:col>29</xdr:col>
      <xdr:colOff>571200</xdr:colOff>
      <xdr:row>13</xdr:row>
      <xdr:rowOff>100011</xdr:rowOff>
    </xdr:from>
    <xdr:to>
      <xdr:col>34</xdr:col>
      <xdr:colOff>249731</xdr:colOff>
      <xdr:row>16</xdr:row>
      <xdr:rowOff>16667</xdr:rowOff>
    </xdr:to>
    <xdr:sp macro="" textlink="">
      <xdr:nvSpPr>
        <xdr:cNvPr id="2179" name="TextBox 2178">
          <a:extLst>
            <a:ext uri="{FF2B5EF4-FFF2-40B4-BE49-F238E27FC236}">
              <a16:creationId xmlns:a16="http://schemas.microsoft.com/office/drawing/2014/main" id="{6A66B2BC-306D-40BA-9791-697BF5C51DAC}"/>
            </a:ext>
          </a:extLst>
        </xdr:cNvPr>
        <xdr:cNvSpPr txBox="1"/>
      </xdr:nvSpPr>
      <xdr:spPr>
        <a:xfrm>
          <a:off x="18392168" y="2296906"/>
          <a:ext cx="2751111" cy="4236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l"/>
          <a:r>
            <a:rPr lang="en-ID" sz="1100" b="1">
              <a:solidFill>
                <a:srgbClr val="F2F2F2"/>
              </a:solidFill>
              <a:latin typeface="Segoe UI" panose="020B0502040204020203" pitchFamily="34" charset="0"/>
              <a:cs typeface="Segoe UI" panose="020B0502040204020203" pitchFamily="34" charset="0"/>
            </a:rPr>
            <a:t>Total Order</a:t>
          </a:r>
        </a:p>
      </xdr:txBody>
    </xdr:sp>
    <xdr:clientData/>
  </xdr:twoCellAnchor>
  <xdr:twoCellAnchor>
    <xdr:from>
      <xdr:col>15</xdr:col>
      <xdr:colOff>348166</xdr:colOff>
      <xdr:row>38</xdr:row>
      <xdr:rowOff>23812</xdr:rowOff>
    </xdr:from>
    <xdr:to>
      <xdr:col>23</xdr:col>
      <xdr:colOff>383886</xdr:colOff>
      <xdr:row>52</xdr:row>
      <xdr:rowOff>71436</xdr:rowOff>
    </xdr:to>
    <xdr:graphicFrame macro="">
      <xdr:nvGraphicFramePr>
        <xdr:cNvPr id="2180" name="Chart 2179">
          <a:extLst>
            <a:ext uri="{FF2B5EF4-FFF2-40B4-BE49-F238E27FC236}">
              <a16:creationId xmlns:a16="http://schemas.microsoft.com/office/drawing/2014/main" id="{8A39E55F-F958-4856-B1D7-3189E0EBE6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34</xdr:col>
      <xdr:colOff>399760</xdr:colOff>
      <xdr:row>23</xdr:row>
      <xdr:rowOff>162720</xdr:rowOff>
    </xdr:from>
    <xdr:to>
      <xdr:col>38</xdr:col>
      <xdr:colOff>102104</xdr:colOff>
      <xdr:row>44</xdr:row>
      <xdr:rowOff>121146</xdr:rowOff>
    </xdr:to>
    <xdr:sp macro="" textlink="">
      <xdr:nvSpPr>
        <xdr:cNvPr id="2181" name="Shape 8">
          <a:extLst>
            <a:ext uri="{FF2B5EF4-FFF2-40B4-BE49-F238E27FC236}">
              <a16:creationId xmlns:a16="http://schemas.microsoft.com/office/drawing/2014/main" id="{0E8917F9-19F4-436D-BB55-E03C70751604}"/>
            </a:ext>
          </a:extLst>
        </xdr:cNvPr>
        <xdr:cNvSpPr/>
      </xdr:nvSpPr>
      <xdr:spPr>
        <a:xfrm>
          <a:off x="21293308" y="4049535"/>
          <a:ext cx="2160409" cy="3507256"/>
        </a:xfrm>
        <a:prstGeom prst="roundRect">
          <a:avLst>
            <a:gd name="adj" fmla="val 3200"/>
          </a:avLst>
        </a:prstGeom>
        <a:gradFill>
          <a:gsLst>
            <a:gs pos="0">
              <a:srgbClr val="1E2328"/>
            </a:gs>
            <a:gs pos="100000">
              <a:srgbClr val="173B2E"/>
            </a:gs>
          </a:gsLst>
          <a:lin ang="5400000" scaled="1"/>
        </a:gradFill>
        <a:ln w="12700">
          <a:solidFill>
            <a:srgbClr val="2E3438"/>
          </a:solidFill>
          <a:prstDash val="solid"/>
        </a:ln>
      </xdr:spPr>
      <xdr:txBody>
        <a:bodyPr wrap="square"/>
        <a:lstStyle/>
        <a:p>
          <a:pPr marL="0" indent="0"/>
          <a:endParaRPr lang="en-ID" sz="1100">
            <a:latin typeface="+mn-lt"/>
            <a:ea typeface="+mn-ea"/>
            <a:cs typeface="+mn-cs"/>
          </a:endParaRPr>
        </a:p>
      </xdr:txBody>
    </xdr:sp>
    <xdr:clientData/>
  </xdr:twoCellAnchor>
  <xdr:twoCellAnchor editAs="oneCell">
    <xdr:from>
      <xdr:col>34</xdr:col>
      <xdr:colOff>435478</xdr:colOff>
      <xdr:row>16</xdr:row>
      <xdr:rowOff>11905</xdr:rowOff>
    </xdr:from>
    <xdr:to>
      <xdr:col>38</xdr:col>
      <xdr:colOff>58447</xdr:colOff>
      <xdr:row>23</xdr:row>
      <xdr:rowOff>11906</xdr:rowOff>
    </xdr:to>
    <mc:AlternateContent xmlns:mc="http://schemas.openxmlformats.org/markup-compatibility/2006" xmlns:a14="http://schemas.microsoft.com/office/drawing/2010/main">
      <mc:Choice Requires="a14">
        <xdr:graphicFrame macro="">
          <xdr:nvGraphicFramePr>
            <xdr:cNvPr id="2182" name="Country origin">
              <a:extLst>
                <a:ext uri="{FF2B5EF4-FFF2-40B4-BE49-F238E27FC236}">
                  <a16:creationId xmlns:a16="http://schemas.microsoft.com/office/drawing/2014/main" id="{B7EEB0ED-B9C7-4749-AF49-30D8667B7FEB}"/>
                </a:ext>
              </a:extLst>
            </xdr:cNvPr>
            <xdr:cNvGraphicFramePr/>
          </xdr:nvGraphicFramePr>
          <xdr:xfrm>
            <a:off x="0" y="0"/>
            <a:ext cx="0" cy="0"/>
          </xdr:xfrm>
          <a:graphic>
            <a:graphicData uri="http://schemas.microsoft.com/office/drawing/2010/slicer">
              <sle:slicer xmlns:sle="http://schemas.microsoft.com/office/drawing/2010/slicer" name="Country origin"/>
            </a:graphicData>
          </a:graphic>
        </xdr:graphicFrame>
      </mc:Choice>
      <mc:Fallback xmlns="">
        <xdr:sp macro="" textlink="">
          <xdr:nvSpPr>
            <xdr:cNvPr id="0" name=""/>
            <xdr:cNvSpPr>
              <a:spLocks noTextEdit="1"/>
            </xdr:cNvSpPr>
          </xdr:nvSpPr>
          <xdr:spPr>
            <a:xfrm>
              <a:off x="21009478" y="2701317"/>
              <a:ext cx="2043440" cy="1176618"/>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34</xdr:col>
      <xdr:colOff>411667</xdr:colOff>
      <xdr:row>24</xdr:row>
      <xdr:rowOff>16676</xdr:rowOff>
    </xdr:from>
    <xdr:to>
      <xdr:col>38</xdr:col>
      <xdr:colOff>78292</xdr:colOff>
      <xdr:row>26</xdr:row>
      <xdr:rowOff>100020</xdr:rowOff>
    </xdr:to>
    <xdr:sp macro="" textlink="">
      <xdr:nvSpPr>
        <xdr:cNvPr id="2183" name="TextBox 2182">
          <a:extLst>
            <a:ext uri="{FF2B5EF4-FFF2-40B4-BE49-F238E27FC236}">
              <a16:creationId xmlns:a16="http://schemas.microsoft.com/office/drawing/2014/main" id="{EB11AF35-EE2F-4196-BF1F-B54448F64E83}"/>
            </a:ext>
          </a:extLst>
        </xdr:cNvPr>
        <xdr:cNvSpPr txBox="1"/>
      </xdr:nvSpPr>
      <xdr:spPr>
        <a:xfrm>
          <a:off x="21305215" y="4072482"/>
          <a:ext cx="2124690" cy="4213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400" b="1">
              <a:solidFill>
                <a:srgbClr val="F2F2F2"/>
              </a:solidFill>
              <a:latin typeface="Segoe UI" panose="020B0502040204020203" pitchFamily="34" charset="0"/>
              <a:cs typeface="Segoe UI" panose="020B0502040204020203" pitchFamily="34" charset="0"/>
            </a:rPr>
            <a:t>Top Product</a:t>
          </a:r>
        </a:p>
      </xdr:txBody>
    </xdr:sp>
    <xdr:clientData/>
  </xdr:twoCellAnchor>
  <xdr:twoCellAnchor>
    <xdr:from>
      <xdr:col>34</xdr:col>
      <xdr:colOff>425955</xdr:colOff>
      <xdr:row>45</xdr:row>
      <xdr:rowOff>94462</xdr:rowOff>
    </xdr:from>
    <xdr:to>
      <xdr:col>38</xdr:col>
      <xdr:colOff>92580</xdr:colOff>
      <xdr:row>48</xdr:row>
      <xdr:rowOff>23817</xdr:rowOff>
    </xdr:to>
    <xdr:sp macro="" textlink="">
      <xdr:nvSpPr>
        <xdr:cNvPr id="2184" name="TextBox 2183">
          <a:extLst>
            <a:ext uri="{FF2B5EF4-FFF2-40B4-BE49-F238E27FC236}">
              <a16:creationId xmlns:a16="http://schemas.microsoft.com/office/drawing/2014/main" id="{80D3DAAC-D7E3-4E63-B55B-7CEDF93986B6}"/>
            </a:ext>
          </a:extLst>
        </xdr:cNvPr>
        <xdr:cNvSpPr txBox="1"/>
      </xdr:nvSpPr>
      <xdr:spPr>
        <a:xfrm>
          <a:off x="21319503" y="7699099"/>
          <a:ext cx="2124690" cy="4363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400" b="1">
              <a:solidFill>
                <a:srgbClr val="F2F2F2"/>
              </a:solidFill>
              <a:latin typeface="Segoe UI" panose="020B0502040204020203" pitchFamily="34" charset="0"/>
              <a:cs typeface="Segoe UI" panose="020B0502040204020203" pitchFamily="34" charset="0"/>
            </a:rPr>
            <a:t>Top Segment</a:t>
          </a:r>
        </a:p>
      </xdr:txBody>
    </xdr:sp>
    <xdr:clientData/>
  </xdr:twoCellAnchor>
  <xdr:twoCellAnchor>
    <xdr:from>
      <xdr:col>34</xdr:col>
      <xdr:colOff>409108</xdr:colOff>
      <xdr:row>26</xdr:row>
      <xdr:rowOff>107468</xdr:rowOff>
    </xdr:from>
    <xdr:to>
      <xdr:col>38</xdr:col>
      <xdr:colOff>114835</xdr:colOff>
      <xdr:row>28</xdr:row>
      <xdr:rowOff>65583</xdr:rowOff>
    </xdr:to>
    <xdr:sp macro="" textlink="Pivot!$F$28">
      <xdr:nvSpPr>
        <xdr:cNvPr id="2185" name="TextBox 2184">
          <a:extLst>
            <a:ext uri="{FF2B5EF4-FFF2-40B4-BE49-F238E27FC236}">
              <a16:creationId xmlns:a16="http://schemas.microsoft.com/office/drawing/2014/main" id="{BA588F0A-50A9-4935-9339-2530630FC816}"/>
            </a:ext>
          </a:extLst>
        </xdr:cNvPr>
        <xdr:cNvSpPr txBox="1"/>
      </xdr:nvSpPr>
      <xdr:spPr>
        <a:xfrm>
          <a:off x="21302656" y="4501258"/>
          <a:ext cx="2163792" cy="2960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93E8B273-D8D9-4E58-B03F-847B9DC3AE9B}" type="TxLink">
            <a:rPr lang="en-US" sz="1600" b="0" i="0" u="none" strike="noStrike">
              <a:solidFill>
                <a:srgbClr val="F2F2F2"/>
              </a:solidFill>
              <a:latin typeface="Segoe UI" panose="020B0502040204020203" pitchFamily="34" charset="0"/>
              <a:cs typeface="Segoe UI" panose="020B0502040204020203" pitchFamily="34" charset="0"/>
            </a:rPr>
            <a:pPr algn="r"/>
            <a:t>Amarilla</a:t>
          </a:fld>
          <a:endParaRPr lang="en-ID" sz="1600" b="1">
            <a:solidFill>
              <a:srgbClr val="F2F2F2"/>
            </a:solidFill>
            <a:latin typeface="Segoe UI" panose="020B0502040204020203" pitchFamily="34" charset="0"/>
            <a:cs typeface="Segoe UI" panose="020B0502040204020203" pitchFamily="34" charset="0"/>
          </a:endParaRPr>
        </a:p>
      </xdr:txBody>
    </xdr:sp>
    <xdr:clientData/>
  </xdr:twoCellAnchor>
  <xdr:twoCellAnchor>
    <xdr:from>
      <xdr:col>34</xdr:col>
      <xdr:colOff>400207</xdr:colOff>
      <xdr:row>28</xdr:row>
      <xdr:rowOff>85821</xdr:rowOff>
    </xdr:from>
    <xdr:to>
      <xdr:col>38</xdr:col>
      <xdr:colOff>101995</xdr:colOff>
      <xdr:row>29</xdr:row>
      <xdr:rowOff>133534</xdr:rowOff>
    </xdr:to>
    <xdr:sp macro="" textlink="Pivot!$G$28">
      <xdr:nvSpPr>
        <xdr:cNvPr id="2186" name="TextBox 2185">
          <a:extLst>
            <a:ext uri="{FF2B5EF4-FFF2-40B4-BE49-F238E27FC236}">
              <a16:creationId xmlns:a16="http://schemas.microsoft.com/office/drawing/2014/main" id="{809ABA45-DB6C-401F-A0A2-6284D73BC171}"/>
            </a:ext>
          </a:extLst>
        </xdr:cNvPr>
        <xdr:cNvSpPr txBox="1"/>
      </xdr:nvSpPr>
      <xdr:spPr>
        <a:xfrm>
          <a:off x="21293755" y="4817595"/>
          <a:ext cx="2159853" cy="216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52BFCA36-A965-4CB2-88CF-9E62273BFF81}" type="TxLink">
            <a:rPr lang="en-US" sz="1200" b="0" i="0" u="none" strike="noStrike">
              <a:solidFill>
                <a:srgbClr val="F2F2F2"/>
              </a:solidFill>
              <a:latin typeface="Segoe UI" panose="020B0502040204020203" pitchFamily="34" charset="0"/>
              <a:cs typeface="Segoe UI" panose="020B0502040204020203" pitchFamily="34" charset="0"/>
            </a:rPr>
            <a:pPr algn="r"/>
            <a:t>$49.984.791</a:t>
          </a:fld>
          <a:endParaRPr lang="en-ID" sz="3200" b="1">
            <a:solidFill>
              <a:srgbClr val="F2F2F2"/>
            </a:solidFill>
            <a:latin typeface="Segoe UI" panose="020B0502040204020203" pitchFamily="34" charset="0"/>
            <a:cs typeface="Segoe UI" panose="020B0502040204020203" pitchFamily="34" charset="0"/>
          </a:endParaRPr>
        </a:p>
      </xdr:txBody>
    </xdr:sp>
    <xdr:clientData/>
  </xdr:twoCellAnchor>
  <xdr:twoCellAnchor>
    <xdr:from>
      <xdr:col>34</xdr:col>
      <xdr:colOff>400207</xdr:colOff>
      <xdr:row>29</xdr:row>
      <xdr:rowOff>144106</xdr:rowOff>
    </xdr:from>
    <xdr:to>
      <xdr:col>38</xdr:col>
      <xdr:colOff>97543</xdr:colOff>
      <xdr:row>31</xdr:row>
      <xdr:rowOff>54046</xdr:rowOff>
    </xdr:to>
    <xdr:sp macro="" textlink="Pivot!$H$28">
      <xdr:nvSpPr>
        <xdr:cNvPr id="2187" name="TextBox 2186">
          <a:extLst>
            <a:ext uri="{FF2B5EF4-FFF2-40B4-BE49-F238E27FC236}">
              <a16:creationId xmlns:a16="http://schemas.microsoft.com/office/drawing/2014/main" id="{3135DB34-EF94-4B63-A6CD-319F03A3B636}"/>
            </a:ext>
          </a:extLst>
        </xdr:cNvPr>
        <xdr:cNvSpPr txBox="1"/>
      </xdr:nvSpPr>
      <xdr:spPr>
        <a:xfrm>
          <a:off x="21293755" y="5044872"/>
          <a:ext cx="2155401" cy="2479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3A186C1B-B7AA-4F2E-99F4-165782DAD08A}" type="TxLink">
            <a:rPr lang="en-US" sz="1000" b="0" i="0" u="none" strike="noStrike">
              <a:solidFill>
                <a:srgbClr val="34D399"/>
              </a:solidFill>
              <a:latin typeface="Aptos Narrow"/>
              <a:cs typeface="Segoe UI" panose="020B0502040204020203" pitchFamily="34" charset="0"/>
            </a:rPr>
            <a:pPr algn="l"/>
            <a:t>████████████████████</a:t>
          </a:fld>
          <a:endParaRPr lang="en-ID" sz="2000" b="1">
            <a:solidFill>
              <a:srgbClr val="34D399"/>
            </a:solidFill>
            <a:latin typeface="Segoe UI" panose="020B0502040204020203" pitchFamily="34" charset="0"/>
            <a:cs typeface="Segoe UI" panose="020B0502040204020203" pitchFamily="34" charset="0"/>
          </a:endParaRPr>
        </a:p>
      </xdr:txBody>
    </xdr:sp>
    <xdr:clientData/>
  </xdr:twoCellAnchor>
  <xdr:twoCellAnchor>
    <xdr:from>
      <xdr:col>34</xdr:col>
      <xdr:colOff>405726</xdr:colOff>
      <xdr:row>32</xdr:row>
      <xdr:rowOff>105052</xdr:rowOff>
    </xdr:from>
    <xdr:to>
      <xdr:col>38</xdr:col>
      <xdr:colOff>111453</xdr:colOff>
      <xdr:row>34</xdr:row>
      <xdr:rowOff>63167</xdr:rowOff>
    </xdr:to>
    <xdr:sp macro="" textlink="Pivot!$F$29">
      <xdr:nvSpPr>
        <xdr:cNvPr id="2188" name="TextBox 2187">
          <a:extLst>
            <a:ext uri="{FF2B5EF4-FFF2-40B4-BE49-F238E27FC236}">
              <a16:creationId xmlns:a16="http://schemas.microsoft.com/office/drawing/2014/main" id="{744F966D-364A-4625-A5C6-F801C4F808B6}"/>
            </a:ext>
          </a:extLst>
        </xdr:cNvPr>
        <xdr:cNvSpPr txBox="1"/>
      </xdr:nvSpPr>
      <xdr:spPr>
        <a:xfrm>
          <a:off x="21299274" y="5512794"/>
          <a:ext cx="2163792" cy="2960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8823475E-AD77-45B6-A1B8-F919857CEB1F}" type="TxLink">
            <a:rPr lang="en-US" sz="1600" b="0" i="0" u="none" strike="noStrike">
              <a:solidFill>
                <a:srgbClr val="F2F2F2"/>
              </a:solidFill>
              <a:latin typeface="Segoe UI" panose="020B0502040204020203" pitchFamily="34" charset="0"/>
              <a:cs typeface="Segoe UI" panose="020B0502040204020203" pitchFamily="34" charset="0"/>
            </a:rPr>
            <a:pPr algn="r"/>
            <a:t>VTT</a:t>
          </a:fld>
          <a:endParaRPr lang="en-ID" sz="3200" b="1">
            <a:solidFill>
              <a:srgbClr val="F2F2F2"/>
            </a:solidFill>
            <a:latin typeface="Segoe UI" panose="020B0502040204020203" pitchFamily="34" charset="0"/>
            <a:cs typeface="Segoe UI" panose="020B0502040204020203" pitchFamily="34" charset="0"/>
          </a:endParaRPr>
        </a:p>
      </xdr:txBody>
    </xdr:sp>
    <xdr:clientData/>
  </xdr:twoCellAnchor>
  <xdr:twoCellAnchor>
    <xdr:from>
      <xdr:col>34</xdr:col>
      <xdr:colOff>396824</xdr:colOff>
      <xdr:row>34</xdr:row>
      <xdr:rowOff>47205</xdr:rowOff>
    </xdr:from>
    <xdr:to>
      <xdr:col>38</xdr:col>
      <xdr:colOff>98612</xdr:colOff>
      <xdr:row>35</xdr:row>
      <xdr:rowOff>94918</xdr:rowOff>
    </xdr:to>
    <xdr:sp macro="" textlink="Pivot!$G$29">
      <xdr:nvSpPr>
        <xdr:cNvPr id="2189" name="TextBox 2188">
          <a:extLst>
            <a:ext uri="{FF2B5EF4-FFF2-40B4-BE49-F238E27FC236}">
              <a16:creationId xmlns:a16="http://schemas.microsoft.com/office/drawing/2014/main" id="{81FDA50E-36FA-4905-B90D-EAC87EABC4CF}"/>
            </a:ext>
          </a:extLst>
        </xdr:cNvPr>
        <xdr:cNvSpPr txBox="1"/>
      </xdr:nvSpPr>
      <xdr:spPr>
        <a:xfrm>
          <a:off x="21290372" y="5792931"/>
          <a:ext cx="2159853" cy="216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E2AC0B39-201F-4269-A8D1-A6B3D6486D5F}" type="TxLink">
            <a:rPr lang="en-US" sz="1200" b="0" i="0" u="none" strike="noStrike">
              <a:solidFill>
                <a:srgbClr val="F2F2F2"/>
              </a:solidFill>
              <a:latin typeface="Aptos Narrow"/>
              <a:cs typeface="Segoe UI" panose="020B0502040204020203" pitchFamily="34" charset="0"/>
            </a:rPr>
            <a:pPr algn="r"/>
            <a:t>$46.927.514</a:t>
          </a:fld>
          <a:endParaRPr lang="en-ID" sz="3200" b="1">
            <a:solidFill>
              <a:srgbClr val="F2F2F2"/>
            </a:solidFill>
            <a:latin typeface="Segoe UI" panose="020B0502040204020203" pitchFamily="34" charset="0"/>
            <a:cs typeface="Segoe UI" panose="020B0502040204020203" pitchFamily="34" charset="0"/>
          </a:endParaRPr>
        </a:p>
      </xdr:txBody>
    </xdr:sp>
    <xdr:clientData/>
  </xdr:twoCellAnchor>
  <xdr:twoCellAnchor>
    <xdr:from>
      <xdr:col>34</xdr:col>
      <xdr:colOff>405727</xdr:colOff>
      <xdr:row>35</xdr:row>
      <xdr:rowOff>106936</xdr:rowOff>
    </xdr:from>
    <xdr:to>
      <xdr:col>38</xdr:col>
      <xdr:colOff>106445</xdr:colOff>
      <xdr:row>37</xdr:row>
      <xdr:rowOff>9978</xdr:rowOff>
    </xdr:to>
    <xdr:sp macro="" textlink="Pivot!$H$29">
      <xdr:nvSpPr>
        <xdr:cNvPr id="2190" name="TextBox 2189">
          <a:extLst>
            <a:ext uri="{FF2B5EF4-FFF2-40B4-BE49-F238E27FC236}">
              <a16:creationId xmlns:a16="http://schemas.microsoft.com/office/drawing/2014/main" id="{719A8FA7-34B3-4958-BC54-FEB4FD9AB0AC}"/>
            </a:ext>
          </a:extLst>
        </xdr:cNvPr>
        <xdr:cNvSpPr txBox="1"/>
      </xdr:nvSpPr>
      <xdr:spPr>
        <a:xfrm>
          <a:off x="21299275" y="6021654"/>
          <a:ext cx="2158783" cy="241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1129172F-B8A3-4CA4-AF8E-CFDB921498BF}" type="TxLink">
            <a:rPr lang="en-US" sz="1000" b="0" i="0" u="none" strike="noStrike">
              <a:solidFill>
                <a:srgbClr val="278C64"/>
              </a:solidFill>
              <a:latin typeface="Aptos Narrow"/>
              <a:cs typeface="Segoe UI" panose="020B0502040204020203" pitchFamily="34" charset="0"/>
            </a:rPr>
            <a:pPr algn="l"/>
            <a:t>███████████████████</a:t>
          </a:fld>
          <a:endParaRPr lang="en-ID" sz="2000" b="1">
            <a:solidFill>
              <a:srgbClr val="278C64"/>
            </a:solidFill>
            <a:latin typeface="Segoe UI" panose="020B0502040204020203" pitchFamily="34" charset="0"/>
            <a:cs typeface="Segoe UI" panose="020B0502040204020203" pitchFamily="34" charset="0"/>
          </a:endParaRPr>
        </a:p>
      </xdr:txBody>
    </xdr:sp>
    <xdr:clientData/>
  </xdr:twoCellAnchor>
  <xdr:twoCellAnchor>
    <xdr:from>
      <xdr:col>34</xdr:col>
      <xdr:colOff>397893</xdr:colOff>
      <xdr:row>38</xdr:row>
      <xdr:rowOff>44063</xdr:rowOff>
    </xdr:from>
    <xdr:to>
      <xdr:col>38</xdr:col>
      <xdr:colOff>103620</xdr:colOff>
      <xdr:row>40</xdr:row>
      <xdr:rowOff>2178</xdr:rowOff>
    </xdr:to>
    <xdr:sp macro="" textlink="Pivot!$F$30">
      <xdr:nvSpPr>
        <xdr:cNvPr id="2191" name="TextBox 2190">
          <a:extLst>
            <a:ext uri="{FF2B5EF4-FFF2-40B4-BE49-F238E27FC236}">
              <a16:creationId xmlns:a16="http://schemas.microsoft.com/office/drawing/2014/main" id="{C958A847-FC78-45C1-97CC-781FB865E710}"/>
            </a:ext>
          </a:extLst>
        </xdr:cNvPr>
        <xdr:cNvSpPr txBox="1"/>
      </xdr:nvSpPr>
      <xdr:spPr>
        <a:xfrm>
          <a:off x="21291441" y="6465757"/>
          <a:ext cx="2163792" cy="2960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287E0BAC-386B-450D-89EB-0B3F6462DABA}" type="TxLink">
            <a:rPr lang="en-US" sz="1600" b="0" i="0" u="none" strike="noStrike">
              <a:solidFill>
                <a:srgbClr val="F2F2F2"/>
              </a:solidFill>
              <a:latin typeface="Segoe UI" panose="020B0502040204020203" pitchFamily="34" charset="0"/>
              <a:cs typeface="Segoe UI" panose="020B0502040204020203" pitchFamily="34" charset="0"/>
            </a:rPr>
            <a:pPr algn="r"/>
            <a:t>Velo</a:t>
          </a:fld>
          <a:endParaRPr lang="en-ID" sz="5400" b="1">
            <a:solidFill>
              <a:srgbClr val="F2F2F2"/>
            </a:solidFill>
            <a:latin typeface="Segoe UI" panose="020B0502040204020203" pitchFamily="34" charset="0"/>
            <a:cs typeface="Segoe UI" panose="020B0502040204020203" pitchFamily="34" charset="0"/>
          </a:endParaRPr>
        </a:p>
      </xdr:txBody>
    </xdr:sp>
    <xdr:clientData/>
  </xdr:twoCellAnchor>
  <xdr:twoCellAnchor>
    <xdr:from>
      <xdr:col>34</xdr:col>
      <xdr:colOff>411245</xdr:colOff>
      <xdr:row>40</xdr:row>
      <xdr:rowOff>22416</xdr:rowOff>
    </xdr:from>
    <xdr:to>
      <xdr:col>38</xdr:col>
      <xdr:colOff>113033</xdr:colOff>
      <xdr:row>41</xdr:row>
      <xdr:rowOff>70130</xdr:rowOff>
    </xdr:to>
    <xdr:sp macro="" textlink="Pivot!$G$30">
      <xdr:nvSpPr>
        <xdr:cNvPr id="2192" name="TextBox 2191">
          <a:extLst>
            <a:ext uri="{FF2B5EF4-FFF2-40B4-BE49-F238E27FC236}">
              <a16:creationId xmlns:a16="http://schemas.microsoft.com/office/drawing/2014/main" id="{405193ED-467B-4215-9AB8-F801FBC7C66D}"/>
            </a:ext>
          </a:extLst>
        </xdr:cNvPr>
        <xdr:cNvSpPr txBox="1"/>
      </xdr:nvSpPr>
      <xdr:spPr>
        <a:xfrm>
          <a:off x="21304793" y="6782093"/>
          <a:ext cx="2159853" cy="2167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31B0B433-3E92-4D66-B269-599F93BD6561}" type="TxLink">
            <a:rPr lang="en-US" sz="1200" b="0" i="0" u="none" strike="noStrike">
              <a:solidFill>
                <a:srgbClr val="F2F2F2"/>
              </a:solidFill>
              <a:latin typeface="Segoe UI" panose="020B0502040204020203" pitchFamily="34" charset="0"/>
              <a:cs typeface="Segoe UI" panose="020B0502040204020203" pitchFamily="34" charset="0"/>
            </a:rPr>
            <a:pPr algn="r"/>
            <a:t>$27.118.509</a:t>
          </a:fld>
          <a:endParaRPr lang="en-ID" sz="3200" b="1">
            <a:solidFill>
              <a:srgbClr val="F2F2F2"/>
            </a:solidFill>
            <a:latin typeface="Segoe UI" panose="020B0502040204020203" pitchFamily="34" charset="0"/>
            <a:cs typeface="Segoe UI" panose="020B0502040204020203" pitchFamily="34" charset="0"/>
          </a:endParaRPr>
        </a:p>
      </xdr:txBody>
    </xdr:sp>
    <xdr:clientData/>
  </xdr:twoCellAnchor>
  <xdr:twoCellAnchor>
    <xdr:from>
      <xdr:col>34</xdr:col>
      <xdr:colOff>402344</xdr:colOff>
      <xdr:row>41</xdr:row>
      <xdr:rowOff>66274</xdr:rowOff>
    </xdr:from>
    <xdr:to>
      <xdr:col>38</xdr:col>
      <xdr:colOff>103062</xdr:colOff>
      <xdr:row>42</xdr:row>
      <xdr:rowOff>136004</xdr:rowOff>
    </xdr:to>
    <xdr:sp macro="" textlink="Pivot!$H$30">
      <xdr:nvSpPr>
        <xdr:cNvPr id="2193" name="TextBox 2192">
          <a:extLst>
            <a:ext uri="{FF2B5EF4-FFF2-40B4-BE49-F238E27FC236}">
              <a16:creationId xmlns:a16="http://schemas.microsoft.com/office/drawing/2014/main" id="{82D26383-1C30-42F8-86CE-2D031661D7B1}"/>
            </a:ext>
          </a:extLst>
        </xdr:cNvPr>
        <xdr:cNvSpPr txBox="1"/>
      </xdr:nvSpPr>
      <xdr:spPr>
        <a:xfrm>
          <a:off x="21295892" y="6994943"/>
          <a:ext cx="2158783" cy="2387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2B8B4E6D-70B3-427A-86B6-8842C32C6A90}" type="TxLink">
            <a:rPr lang="en-US" sz="1000" b="0" i="0" u="none" strike="noStrike">
              <a:solidFill>
                <a:srgbClr val="1E5F46"/>
              </a:solidFill>
              <a:latin typeface="Aptos Narrow"/>
              <a:cs typeface="Segoe UI" panose="020B0502040204020203" pitchFamily="34" charset="0"/>
            </a:rPr>
            <a:pPr algn="l"/>
            <a:t>███████████</a:t>
          </a:fld>
          <a:endParaRPr lang="en-ID" sz="2000" b="1">
            <a:solidFill>
              <a:srgbClr val="1E5F46"/>
            </a:solidFill>
            <a:latin typeface="Segoe UI" panose="020B0502040204020203" pitchFamily="34" charset="0"/>
            <a:cs typeface="Segoe UI" panose="020B0502040204020203" pitchFamily="34" charset="0"/>
          </a:endParaRPr>
        </a:p>
      </xdr:txBody>
    </xdr:sp>
    <xdr:clientData/>
  </xdr:twoCellAnchor>
  <xdr:twoCellAnchor>
    <xdr:from>
      <xdr:col>34</xdr:col>
      <xdr:colOff>425644</xdr:colOff>
      <xdr:row>48</xdr:row>
      <xdr:rowOff>22386</xdr:rowOff>
    </xdr:from>
    <xdr:to>
      <xdr:col>38</xdr:col>
      <xdr:colOff>131371</xdr:colOff>
      <xdr:row>49</xdr:row>
      <xdr:rowOff>150364</xdr:rowOff>
    </xdr:to>
    <xdr:sp macro="" textlink="Pivot!$F$45">
      <xdr:nvSpPr>
        <xdr:cNvPr id="2194" name="TextBox 2193">
          <a:extLst>
            <a:ext uri="{FF2B5EF4-FFF2-40B4-BE49-F238E27FC236}">
              <a16:creationId xmlns:a16="http://schemas.microsoft.com/office/drawing/2014/main" id="{F1EBF76E-BDDA-4FA0-B40C-F0DFC4948502}"/>
            </a:ext>
          </a:extLst>
        </xdr:cNvPr>
        <xdr:cNvSpPr txBox="1"/>
      </xdr:nvSpPr>
      <xdr:spPr>
        <a:xfrm>
          <a:off x="21319192" y="8133999"/>
          <a:ext cx="2163792" cy="2969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2141D545-FFED-4AAF-8F50-BED4BC195C1F}" type="TxLink">
            <a:rPr lang="en-US" sz="1600" b="0" i="0" u="none" strike="noStrike">
              <a:solidFill>
                <a:srgbClr val="F2F2F2"/>
              </a:solidFill>
              <a:latin typeface="Segoe UI" panose="020B0502040204020203" pitchFamily="34" charset="0"/>
              <a:cs typeface="Segoe UI" panose="020B0502040204020203" pitchFamily="34" charset="0"/>
            </a:rPr>
            <a:pPr algn="r"/>
            <a:t>Government</a:t>
          </a:fld>
          <a:endParaRPr lang="en-ID" sz="4400" b="1">
            <a:solidFill>
              <a:srgbClr val="F2F2F2"/>
            </a:solidFill>
            <a:latin typeface="Segoe UI" panose="020B0502040204020203" pitchFamily="34" charset="0"/>
            <a:cs typeface="Segoe UI" panose="020B0502040204020203" pitchFamily="34" charset="0"/>
          </a:endParaRPr>
        </a:p>
      </xdr:txBody>
    </xdr:sp>
    <xdr:clientData/>
  </xdr:twoCellAnchor>
  <xdr:twoCellAnchor>
    <xdr:from>
      <xdr:col>34</xdr:col>
      <xdr:colOff>407218</xdr:colOff>
      <xdr:row>50</xdr:row>
      <xdr:rowOff>17162</xdr:rowOff>
    </xdr:from>
    <xdr:to>
      <xdr:col>38</xdr:col>
      <xdr:colOff>109006</xdr:colOff>
      <xdr:row>51</xdr:row>
      <xdr:rowOff>68049</xdr:rowOff>
    </xdr:to>
    <xdr:sp macro="" textlink="Pivot!$G$45">
      <xdr:nvSpPr>
        <xdr:cNvPr id="2195" name="TextBox 2194">
          <a:extLst>
            <a:ext uri="{FF2B5EF4-FFF2-40B4-BE49-F238E27FC236}">
              <a16:creationId xmlns:a16="http://schemas.microsoft.com/office/drawing/2014/main" id="{3A2AFC8C-3D03-4970-9139-A2C51ECE8164}"/>
            </a:ext>
          </a:extLst>
        </xdr:cNvPr>
        <xdr:cNvSpPr txBox="1"/>
      </xdr:nvSpPr>
      <xdr:spPr>
        <a:xfrm>
          <a:off x="21300766" y="8466759"/>
          <a:ext cx="2159853" cy="2198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FA55A6C-917A-48F4-9587-7C55884DB7FE}" type="TxLink">
            <a:rPr lang="en-US" sz="1200" b="0" i="0" u="none" strike="noStrike">
              <a:solidFill>
                <a:srgbClr val="F2F2F2"/>
              </a:solidFill>
              <a:latin typeface="Segoe UI" panose="020B0502040204020203" pitchFamily="34" charset="0"/>
              <a:cs typeface="Segoe UI" panose="020B0502040204020203" pitchFamily="34" charset="0"/>
            </a:rPr>
            <a:pPr algn="r"/>
            <a:t>$56.852.365</a:t>
          </a:fld>
          <a:endParaRPr lang="en-ID" sz="3200" b="1">
            <a:solidFill>
              <a:srgbClr val="F2F2F2"/>
            </a:solidFill>
            <a:latin typeface="Segoe UI" panose="020B0502040204020203" pitchFamily="34" charset="0"/>
            <a:cs typeface="Segoe UI" panose="020B0502040204020203" pitchFamily="34" charset="0"/>
          </a:endParaRPr>
        </a:p>
      </xdr:txBody>
    </xdr:sp>
    <xdr:clientData/>
  </xdr:twoCellAnchor>
  <xdr:twoCellAnchor>
    <xdr:from>
      <xdr:col>34</xdr:col>
      <xdr:colOff>407218</xdr:colOff>
      <xdr:row>51</xdr:row>
      <xdr:rowOff>76792</xdr:rowOff>
    </xdr:from>
    <xdr:to>
      <xdr:col>38</xdr:col>
      <xdr:colOff>104554</xdr:colOff>
      <xdr:row>52</xdr:row>
      <xdr:rowOff>156597</xdr:rowOff>
    </xdr:to>
    <xdr:sp macro="" textlink="Pivot!$H$45">
      <xdr:nvSpPr>
        <xdr:cNvPr id="2196" name="TextBox 2195">
          <a:extLst>
            <a:ext uri="{FF2B5EF4-FFF2-40B4-BE49-F238E27FC236}">
              <a16:creationId xmlns:a16="http://schemas.microsoft.com/office/drawing/2014/main" id="{E9BD14DE-CE98-4516-88A6-8333714CA233}"/>
            </a:ext>
          </a:extLst>
        </xdr:cNvPr>
        <xdr:cNvSpPr txBox="1"/>
      </xdr:nvSpPr>
      <xdr:spPr>
        <a:xfrm>
          <a:off x="21300766" y="8695381"/>
          <a:ext cx="2155401" cy="2487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2C8EBC4C-03B3-4B39-9C11-39AA989B6C40}" type="TxLink">
            <a:rPr lang="en-US" sz="1000" b="0" i="0" u="none" strike="noStrike">
              <a:solidFill>
                <a:srgbClr val="34D399"/>
              </a:solidFill>
              <a:latin typeface="Aptos Narrow"/>
              <a:cs typeface="Segoe UI" panose="020B0502040204020203" pitchFamily="34" charset="0"/>
            </a:rPr>
            <a:pPr algn="l"/>
            <a:t>████████████████████</a:t>
          </a:fld>
          <a:endParaRPr lang="en-ID" sz="1400" b="1">
            <a:solidFill>
              <a:srgbClr val="34D399"/>
            </a:solidFill>
            <a:latin typeface="Segoe UI" panose="020B0502040204020203" pitchFamily="34" charset="0"/>
            <a:cs typeface="Segoe UI" panose="020B0502040204020203" pitchFamily="34" charset="0"/>
          </a:endParaRPr>
        </a:p>
      </xdr:txBody>
    </xdr:sp>
    <xdr:clientData/>
  </xdr:twoCellAnchor>
  <xdr:twoCellAnchor>
    <xdr:from>
      <xdr:col>34</xdr:col>
      <xdr:colOff>399453</xdr:colOff>
      <xdr:row>54</xdr:row>
      <xdr:rowOff>27940</xdr:rowOff>
    </xdr:from>
    <xdr:to>
      <xdr:col>38</xdr:col>
      <xdr:colOff>105180</xdr:colOff>
      <xdr:row>55</xdr:row>
      <xdr:rowOff>140044</xdr:rowOff>
    </xdr:to>
    <xdr:sp macro="" textlink="Pivot!$F$46">
      <xdr:nvSpPr>
        <xdr:cNvPr id="2197" name="TextBox 2196">
          <a:extLst>
            <a:ext uri="{FF2B5EF4-FFF2-40B4-BE49-F238E27FC236}">
              <a16:creationId xmlns:a16="http://schemas.microsoft.com/office/drawing/2014/main" id="{A1ACA7CF-52D6-4B44-A72F-EE9CE887DB5D}"/>
            </a:ext>
          </a:extLst>
        </xdr:cNvPr>
        <xdr:cNvSpPr txBox="1"/>
      </xdr:nvSpPr>
      <xdr:spPr>
        <a:xfrm>
          <a:off x="21293001" y="9153505"/>
          <a:ext cx="2163792" cy="2810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6C0536E2-2BC2-4DFF-89FE-64079E69D1F0}" type="TxLink">
            <a:rPr lang="en-US" sz="1600" b="0" i="0" u="none" strike="noStrike">
              <a:solidFill>
                <a:srgbClr val="F2F2F2"/>
              </a:solidFill>
              <a:latin typeface="Segoe UI" panose="020B0502040204020203" pitchFamily="34" charset="0"/>
              <a:cs typeface="Segoe UI" panose="020B0502040204020203" pitchFamily="34" charset="0"/>
            </a:rPr>
            <a:pPr algn="r"/>
            <a:t>Channel Partners</a:t>
          </a:fld>
          <a:endParaRPr lang="en-ID" sz="6600" b="1">
            <a:solidFill>
              <a:srgbClr val="F2F2F2"/>
            </a:solidFill>
            <a:latin typeface="Segoe UI" panose="020B0502040204020203" pitchFamily="34" charset="0"/>
            <a:cs typeface="Segoe UI" panose="020B0502040204020203" pitchFamily="34" charset="0"/>
          </a:endParaRPr>
        </a:p>
      </xdr:txBody>
    </xdr:sp>
    <xdr:clientData/>
  </xdr:twoCellAnchor>
  <xdr:twoCellAnchor>
    <xdr:from>
      <xdr:col>34</xdr:col>
      <xdr:colOff>404840</xdr:colOff>
      <xdr:row>56</xdr:row>
      <xdr:rowOff>6846</xdr:rowOff>
    </xdr:from>
    <xdr:to>
      <xdr:col>38</xdr:col>
      <xdr:colOff>106628</xdr:colOff>
      <xdr:row>57</xdr:row>
      <xdr:rowOff>57733</xdr:rowOff>
    </xdr:to>
    <xdr:sp macro="" textlink="Pivot!$G$46">
      <xdr:nvSpPr>
        <xdr:cNvPr id="2198" name="TextBox 2197">
          <a:extLst>
            <a:ext uri="{FF2B5EF4-FFF2-40B4-BE49-F238E27FC236}">
              <a16:creationId xmlns:a16="http://schemas.microsoft.com/office/drawing/2014/main" id="{3BC6F67F-7932-419E-8442-A61F0666CB8A}"/>
            </a:ext>
          </a:extLst>
        </xdr:cNvPr>
        <xdr:cNvSpPr txBox="1"/>
      </xdr:nvSpPr>
      <xdr:spPr>
        <a:xfrm>
          <a:off x="21298388" y="9470394"/>
          <a:ext cx="2159853" cy="2198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A425A148-9E58-4976-A561-2C0B339FB43F}" type="TxLink">
            <a:rPr lang="en-US" sz="1200" b="0" i="0" u="none" strike="noStrike">
              <a:solidFill>
                <a:srgbClr val="F2F2F2"/>
              </a:solidFill>
              <a:latin typeface="Segoe UI" panose="020B0502040204020203" pitchFamily="34" charset="0"/>
              <a:cs typeface="Segoe UI" panose="020B0502040204020203" pitchFamily="34" charset="0"/>
            </a:rPr>
            <a:pPr algn="r"/>
            <a:t>$21.084.905</a:t>
          </a:fld>
          <a:endParaRPr lang="en-ID" sz="3200" b="1">
            <a:solidFill>
              <a:srgbClr val="F2F2F2"/>
            </a:solidFill>
            <a:latin typeface="Segoe UI" panose="020B0502040204020203" pitchFamily="34" charset="0"/>
            <a:cs typeface="Segoe UI" panose="020B0502040204020203" pitchFamily="34" charset="0"/>
          </a:endParaRPr>
        </a:p>
      </xdr:txBody>
    </xdr:sp>
    <xdr:clientData/>
  </xdr:twoCellAnchor>
  <xdr:twoCellAnchor>
    <xdr:from>
      <xdr:col>34</xdr:col>
      <xdr:colOff>404839</xdr:colOff>
      <xdr:row>57</xdr:row>
      <xdr:rowOff>38694</xdr:rowOff>
    </xdr:from>
    <xdr:to>
      <xdr:col>38</xdr:col>
      <xdr:colOff>102175</xdr:colOff>
      <xdr:row>58</xdr:row>
      <xdr:rowOff>126436</xdr:rowOff>
    </xdr:to>
    <xdr:sp macro="" textlink="Pivot!$H$46">
      <xdr:nvSpPr>
        <xdr:cNvPr id="2199" name="TextBox 2198">
          <a:extLst>
            <a:ext uri="{FF2B5EF4-FFF2-40B4-BE49-F238E27FC236}">
              <a16:creationId xmlns:a16="http://schemas.microsoft.com/office/drawing/2014/main" id="{4B2048B3-1848-4FED-96CC-163E5046A0AC}"/>
            </a:ext>
          </a:extLst>
        </xdr:cNvPr>
        <xdr:cNvSpPr txBox="1"/>
      </xdr:nvSpPr>
      <xdr:spPr>
        <a:xfrm>
          <a:off x="21298387" y="9671234"/>
          <a:ext cx="2155401" cy="2567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E2FF28D8-24E7-42E8-8BC8-E6E2AEEC377A}" type="TxLink">
            <a:rPr lang="en-US" sz="1000" b="0" i="0" u="none" strike="noStrike">
              <a:solidFill>
                <a:srgbClr val="278C64"/>
              </a:solidFill>
              <a:latin typeface="Aptos Narrow"/>
              <a:cs typeface="Segoe UI" panose="020B0502040204020203" pitchFamily="34" charset="0"/>
            </a:rPr>
            <a:pPr algn="l"/>
            <a:t>███████</a:t>
          </a:fld>
          <a:endParaRPr lang="en-ID" sz="1400" b="1">
            <a:solidFill>
              <a:srgbClr val="278C64"/>
            </a:solidFill>
            <a:latin typeface="Segoe UI" panose="020B0502040204020203" pitchFamily="34" charset="0"/>
            <a:cs typeface="Segoe UI" panose="020B0502040204020203" pitchFamily="34" charset="0"/>
          </a:endParaRPr>
        </a:p>
      </xdr:txBody>
    </xdr:sp>
    <xdr:clientData/>
  </xdr:twoCellAnchor>
  <xdr:twoCellAnchor>
    <xdr:from>
      <xdr:col>34</xdr:col>
      <xdr:colOff>420887</xdr:colOff>
      <xdr:row>60</xdr:row>
      <xdr:rowOff>17620</xdr:rowOff>
    </xdr:from>
    <xdr:to>
      <xdr:col>38</xdr:col>
      <xdr:colOff>126614</xdr:colOff>
      <xdr:row>61</xdr:row>
      <xdr:rowOff>153535</xdr:rowOff>
    </xdr:to>
    <xdr:sp macro="" textlink="Pivot!$F$47">
      <xdr:nvSpPr>
        <xdr:cNvPr id="2200" name="TextBox 2199">
          <a:extLst>
            <a:ext uri="{FF2B5EF4-FFF2-40B4-BE49-F238E27FC236}">
              <a16:creationId xmlns:a16="http://schemas.microsoft.com/office/drawing/2014/main" id="{D24399D3-D95C-4D99-8989-95DF967C0A64}"/>
            </a:ext>
          </a:extLst>
        </xdr:cNvPr>
        <xdr:cNvSpPr txBox="1"/>
      </xdr:nvSpPr>
      <xdr:spPr>
        <a:xfrm>
          <a:off x="21314435" y="10157136"/>
          <a:ext cx="2163792" cy="3049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FC22BD72-5D0F-463F-844D-E09D91655DE8}" type="TxLink">
            <a:rPr lang="en-US" sz="1600" b="0" i="0" u="none" strike="noStrike">
              <a:solidFill>
                <a:srgbClr val="F2F2F2"/>
              </a:solidFill>
              <a:latin typeface="Segoe UI" panose="020B0502040204020203" pitchFamily="34" charset="0"/>
              <a:cs typeface="Segoe UI" panose="020B0502040204020203" pitchFamily="34" charset="0"/>
            </a:rPr>
            <a:pPr algn="r"/>
            <a:t>Small Business</a:t>
          </a:fld>
          <a:endParaRPr lang="en-ID" sz="9600" b="1">
            <a:solidFill>
              <a:srgbClr val="F2F2F2"/>
            </a:solidFill>
            <a:latin typeface="Segoe UI" panose="020B0502040204020203" pitchFamily="34" charset="0"/>
            <a:cs typeface="Segoe UI" panose="020B0502040204020203" pitchFamily="34" charset="0"/>
          </a:endParaRPr>
        </a:p>
      </xdr:txBody>
    </xdr:sp>
    <xdr:clientData/>
  </xdr:twoCellAnchor>
  <xdr:twoCellAnchor>
    <xdr:from>
      <xdr:col>34</xdr:col>
      <xdr:colOff>402462</xdr:colOff>
      <xdr:row>62</xdr:row>
      <xdr:rowOff>4460</xdr:rowOff>
    </xdr:from>
    <xdr:to>
      <xdr:col>38</xdr:col>
      <xdr:colOff>104250</xdr:colOff>
      <xdr:row>63</xdr:row>
      <xdr:rowOff>39472</xdr:rowOff>
    </xdr:to>
    <xdr:sp macro="" textlink="Pivot!$G$47">
      <xdr:nvSpPr>
        <xdr:cNvPr id="2201" name="TextBox 2200">
          <a:extLst>
            <a:ext uri="{FF2B5EF4-FFF2-40B4-BE49-F238E27FC236}">
              <a16:creationId xmlns:a16="http://schemas.microsoft.com/office/drawing/2014/main" id="{6805ADD6-EAC1-43F6-B38C-6333E54F7DA8}"/>
            </a:ext>
          </a:extLst>
        </xdr:cNvPr>
        <xdr:cNvSpPr txBox="1"/>
      </xdr:nvSpPr>
      <xdr:spPr>
        <a:xfrm>
          <a:off x="21296010" y="10481960"/>
          <a:ext cx="2159853" cy="2040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1E77403F-ACF7-48E7-942B-2357EE3B2ABD}" type="TxLink">
            <a:rPr lang="en-US" sz="1200" b="0" i="0" u="none" strike="noStrike">
              <a:solidFill>
                <a:srgbClr val="F2F2F2"/>
              </a:solidFill>
              <a:latin typeface="Segoe UI" panose="020B0502040204020203" pitchFamily="34" charset="0"/>
              <a:cs typeface="Segoe UI" panose="020B0502040204020203" pitchFamily="34" charset="0"/>
            </a:rPr>
            <a:pPr algn="r"/>
            <a:t>$19.907.099</a:t>
          </a:fld>
          <a:endParaRPr lang="en-ID" sz="3200" b="1">
            <a:solidFill>
              <a:srgbClr val="F2F2F2"/>
            </a:solidFill>
            <a:latin typeface="Segoe UI" panose="020B0502040204020203" pitchFamily="34" charset="0"/>
            <a:cs typeface="Segoe UI" panose="020B0502040204020203" pitchFamily="34" charset="0"/>
          </a:endParaRPr>
        </a:p>
      </xdr:txBody>
    </xdr:sp>
    <xdr:clientData/>
  </xdr:twoCellAnchor>
  <xdr:twoCellAnchor>
    <xdr:from>
      <xdr:col>34</xdr:col>
      <xdr:colOff>402461</xdr:colOff>
      <xdr:row>63</xdr:row>
      <xdr:rowOff>16465</xdr:rowOff>
    </xdr:from>
    <xdr:to>
      <xdr:col>38</xdr:col>
      <xdr:colOff>99797</xdr:colOff>
      <xdr:row>64</xdr:row>
      <xdr:rowOff>96270</xdr:rowOff>
    </xdr:to>
    <xdr:sp macro="" textlink="Pivot!$H$47">
      <xdr:nvSpPr>
        <xdr:cNvPr id="2202" name="TextBox 2201">
          <a:extLst>
            <a:ext uri="{FF2B5EF4-FFF2-40B4-BE49-F238E27FC236}">
              <a16:creationId xmlns:a16="http://schemas.microsoft.com/office/drawing/2014/main" id="{42A68C8A-3EAE-4E2D-9660-9A334A970B8D}"/>
            </a:ext>
          </a:extLst>
        </xdr:cNvPr>
        <xdr:cNvSpPr txBox="1"/>
      </xdr:nvSpPr>
      <xdr:spPr>
        <a:xfrm>
          <a:off x="21296009" y="10662957"/>
          <a:ext cx="2155401" cy="2487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5F1D1AC2-A66B-406A-9C4D-22C4339A7248}" type="TxLink">
            <a:rPr lang="en-US" sz="1000" b="0" i="0" u="none" strike="noStrike">
              <a:solidFill>
                <a:srgbClr val="1E5F46"/>
              </a:solidFill>
              <a:latin typeface="Aptos Narrow"/>
              <a:cs typeface="Segoe UI" panose="020B0502040204020203" pitchFamily="34" charset="0"/>
            </a:rPr>
            <a:pPr algn="l"/>
            <a:t>███████</a:t>
          </a:fld>
          <a:endParaRPr lang="en-ID" sz="1400" b="1">
            <a:solidFill>
              <a:srgbClr val="1E5F46"/>
            </a:solidFill>
            <a:latin typeface="Segoe UI" panose="020B0502040204020203" pitchFamily="34" charset="0"/>
            <a:cs typeface="Segoe UI" panose="020B0502040204020203" pitchFamily="34" charset="0"/>
          </a:endParaRPr>
        </a:p>
      </xdr:txBody>
    </xdr:sp>
    <xdr:clientData/>
  </xdr:twoCellAnchor>
  <xdr:twoCellAnchor editAs="oneCell">
    <xdr:from>
      <xdr:col>37</xdr:col>
      <xdr:colOff>180284</xdr:colOff>
      <xdr:row>24</xdr:row>
      <xdr:rowOff>119407</xdr:rowOff>
    </xdr:from>
    <xdr:to>
      <xdr:col>37</xdr:col>
      <xdr:colOff>432418</xdr:colOff>
      <xdr:row>26</xdr:row>
      <xdr:rowOff>26200</xdr:rowOff>
    </xdr:to>
    <xdr:pic>
      <xdr:nvPicPr>
        <xdr:cNvPr id="2203" name="Graphic 2202" descr="Trophy with solid fill">
          <a:extLst>
            <a:ext uri="{FF2B5EF4-FFF2-40B4-BE49-F238E27FC236}">
              <a16:creationId xmlns:a16="http://schemas.microsoft.com/office/drawing/2014/main" id="{54353230-D66A-4C2D-BB4A-BDF68A80B61A}"/>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22917381" y="4175213"/>
          <a:ext cx="252134" cy="244777"/>
        </a:xfrm>
        <a:prstGeom prst="rect">
          <a:avLst/>
        </a:prstGeom>
      </xdr:spPr>
    </xdr:pic>
    <xdr:clientData/>
  </xdr:twoCellAnchor>
  <xdr:twoCellAnchor editAs="oneCell">
    <xdr:from>
      <xdr:col>37</xdr:col>
      <xdr:colOff>243784</xdr:colOff>
      <xdr:row>46</xdr:row>
      <xdr:rowOff>48761</xdr:rowOff>
    </xdr:from>
    <xdr:to>
      <xdr:col>37</xdr:col>
      <xdr:colOff>495918</xdr:colOff>
      <xdr:row>47</xdr:row>
      <xdr:rowOff>109542</xdr:rowOff>
    </xdr:to>
    <xdr:pic>
      <xdr:nvPicPr>
        <xdr:cNvPr id="2204" name="Graphic 2203" descr="Trophy with solid fill">
          <a:extLst>
            <a:ext uri="{FF2B5EF4-FFF2-40B4-BE49-F238E27FC236}">
              <a16:creationId xmlns:a16="http://schemas.microsoft.com/office/drawing/2014/main" id="{C43BCB31-4790-4F53-836E-3413E034ED26}"/>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22980881" y="7822390"/>
          <a:ext cx="252134" cy="229773"/>
        </a:xfrm>
        <a:prstGeom prst="rect">
          <a:avLst/>
        </a:prstGeom>
      </xdr:spPr>
    </xdr:pic>
    <xdr:clientData/>
  </xdr:twoCellAnchor>
  <xdr:twoCellAnchor editAs="oneCell">
    <xdr:from>
      <xdr:col>26</xdr:col>
      <xdr:colOff>399761</xdr:colOff>
      <xdr:row>8</xdr:row>
      <xdr:rowOff>162718</xdr:rowOff>
    </xdr:from>
    <xdr:to>
      <xdr:col>27</xdr:col>
      <xdr:colOff>447387</xdr:colOff>
      <xdr:row>12</xdr:row>
      <xdr:rowOff>142874</xdr:rowOff>
    </xdr:to>
    <xdr:pic>
      <xdr:nvPicPr>
        <xdr:cNvPr id="2205" name="Graphic 2204" descr="Bar chart with solid fill">
          <a:extLst>
            <a:ext uri="{FF2B5EF4-FFF2-40B4-BE49-F238E27FC236}">
              <a16:creationId xmlns:a16="http://schemas.microsoft.com/office/drawing/2014/main" id="{1857900B-C779-4D36-B491-E466E55A01CA}"/>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6377180" y="1514653"/>
          <a:ext cx="662142" cy="656124"/>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aklu" refreshedDate="46292.895920833333" createdVersion="8" refreshedVersion="8" minRefreshableVersion="3" recordCount="700" xr:uid="{0A5F72EA-EB47-49AC-BBC6-256323A81DB4}">
  <cacheSource type="worksheet">
    <worksheetSource name="Table1"/>
  </cacheSource>
  <cacheFields count="15">
    <cacheField name="Order ID" numFmtId="0">
      <sharedItems/>
    </cacheField>
    <cacheField name="Order details" numFmtId="0">
      <sharedItems/>
    </cacheField>
    <cacheField name="Country origin" numFmtId="0">
      <sharedItems count="5">
        <s v="France"/>
        <s v="Mexico"/>
        <s v="United States of America"/>
        <s v="Germany"/>
        <s v="Canada"/>
      </sharedItems>
    </cacheField>
    <cacheField name="Buyer segment" numFmtId="0">
      <sharedItems count="5">
        <s v="Midmarket"/>
        <s v="Small Business"/>
        <s v="Government"/>
        <s v="Enterprise"/>
        <s v="Channel Partners"/>
      </sharedItems>
    </cacheField>
    <cacheField name="Product name" numFmtId="0">
      <sharedItems count="6">
        <s v="Paseo"/>
        <s v="VTT"/>
        <s v="Carretera"/>
        <s v="Montana"/>
        <s v="Amarilla"/>
        <s v="Velo"/>
      </sharedItems>
    </cacheField>
    <cacheField name="Qty sold" numFmtId="165">
      <sharedItems containsSemiMixedTypes="0" containsString="0" containsNumber="1" containsInteger="1" minValue="200" maxValue="4492"/>
    </cacheField>
    <cacheField name="Discount %" numFmtId="166">
      <sharedItems containsSemiMixedTypes="0" containsString="0" containsNumber="1" minValue="0" maxValue="0.15008670520231213"/>
    </cacheField>
    <cacheField name="Order date" numFmtId="14">
      <sharedItems containsSemiMixedTypes="0" containsNonDate="0" containsDate="1" containsString="0" minDate="2013-09-01T00:00:00" maxDate="2014-12-02T00:00:00" count="16">
        <d v="2013-09-01T00:00:00"/>
        <d v="2013-10-01T00:00:00"/>
        <d v="2013-11-01T00:00:00"/>
        <d v="2013-12-01T00:00:00"/>
        <d v="2014-01-01T00:00:00"/>
        <d v="2014-02-01T00:00:00"/>
        <d v="2014-03-01T00:00:00"/>
        <d v="2014-04-01T00:00:00"/>
        <d v="2014-05-01T00:00:00"/>
        <d v="2014-06-01T00:00:00"/>
        <d v="2014-07-01T00:00:00"/>
        <d v="2014-08-01T00:00:00"/>
        <d v="2014-09-01T00:00:00"/>
        <d v="2014-10-01T00:00:00"/>
        <d v="2014-11-01T00:00:00"/>
        <d v="2014-12-01T00:00:00"/>
      </sharedItems>
    </cacheField>
    <cacheField name="Selling Price" numFmtId="0">
      <sharedItems containsSemiMixedTypes="0" containsString="0" containsNumber="1" containsInteger="1" minValue="15" maxValue="350"/>
    </cacheField>
    <cacheField name="Total Price" numFmtId="167">
      <sharedItems containsSemiMixedTypes="0" containsString="0" containsNumber="1" containsInteger="1" minValue="3000" maxValue="1476650"/>
    </cacheField>
    <cacheField name="Revenue" numFmtId="167">
      <sharedItems containsSemiMixedTypes="0" containsString="0" containsNumber="1" minValue="2580" maxValue="1476650"/>
    </cacheField>
    <cacheField name="Gross Profit" numFmtId="167">
      <sharedItems containsSemiMixedTypes="0" containsString="0" containsNumber="1" minValue="1335" maxValue="632850"/>
    </cacheField>
    <cacheField name="Order Year" numFmtId="0">
      <sharedItems containsSemiMixedTypes="0" containsString="0" containsNumber="1" containsInteger="1" minValue="2013" maxValue="2014" count="2">
        <n v="2013"/>
        <n v="2014"/>
      </sharedItems>
    </cacheField>
    <cacheField name="Discount Tier" numFmtId="167">
      <sharedItems count="4">
        <s v="No Discount"/>
        <s v="Low"/>
        <s v="Medium"/>
        <s v="High"/>
      </sharedItems>
    </cacheField>
    <cacheField name="Column1" numFmtId="167">
      <sharedItems count="12">
        <s v="September"/>
        <s v="October"/>
        <s v="November"/>
        <s v="December"/>
        <s v="January"/>
        <s v="February"/>
        <s v="March"/>
        <s v="April"/>
        <s v="May"/>
        <s v="June"/>
        <s v="July"/>
        <s v="August"/>
      </sharedItems>
    </cacheField>
  </cacheFields>
  <extLst>
    <ext xmlns:x14="http://schemas.microsoft.com/office/spreadsheetml/2009/9/main" uri="{725AE2AE-9491-48be-B2B4-4EB974FC3084}">
      <x14:pivotCacheDefinition pivotCacheId="189699232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aklu" refreshedDate="46292.895921875002" createdVersion="8" refreshedVersion="8" minRefreshableVersion="3" recordCount="2" xr:uid="{2970F7D6-A005-4E76-9202-83EC3D4E61BA}">
  <cacheSource type="worksheet">
    <worksheetSource ref="M20:S22" sheet="Pivot"/>
  </cacheSource>
  <cacheFields count="7">
    <cacheField name="Year" numFmtId="0">
      <sharedItems containsSemiMixedTypes="0" containsString="0" containsNumber="1" containsInteger="1" minValue="2013" maxValue="2014" count="2">
        <n v="2013"/>
        <n v="2014"/>
      </sharedItems>
    </cacheField>
    <cacheField name="Gross Profit" numFmtId="167">
      <sharedItems containsSemiMixedTypes="0" containsString="0" containsNumber="1" minValue="8465149.450000003" maxValue="29381274.57729524"/>
    </cacheField>
    <cacheField name="G&amp;A Cost" numFmtId="164">
      <sharedItems containsSemiMixedTypes="0" containsString="0" containsNumber="1" containsInteger="1" minValue="854023" maxValue="3532853"/>
    </cacheField>
    <cacheField name="Handling Cost" numFmtId="164">
      <sharedItems containsSemiMixedTypes="0" containsString="0" containsNumber="1" containsInteger="1" minValue="2895322" maxValue="9213451"/>
    </cacheField>
    <cacheField name="Tax" numFmtId="164">
      <sharedItems containsSemiMixedTypes="0" containsString="0" containsNumber="1" containsInteger="1" minValue="1037476" maxValue="3659693"/>
    </cacheField>
    <cacheField name="Operating Profit" numFmtId="167">
      <sharedItems containsSemiMixedTypes="0" containsString="0" containsNumber="1" minValue="4715804.450000003" maxValue="16634970.57729524"/>
    </cacheField>
    <cacheField name="Net Profit" numFmtId="167">
      <sharedItems containsSemiMixedTypes="0" containsString="0" containsNumber="1" minValue="3678328.450000003" maxValue="12975277.57729524"/>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s v="ORD-FRA-MDM-20130901"/>
    <s v="{&quot;type&quot;: &quot;buyerDetails&quot;, &quot;info&quot;: [&quot;origin&quot;: &quot;France&quot;, &quot;segment&quot;: &quot;Midmarket&quot;, &quot;date&quot;: &quot;1&quot;, &quot;month&quot;: &quot;9&quot;, &quot;year&quot;: &quot;2013&quot;, &quot;units&quot;: &quot;549&quot;]}"/>
    <x v="0"/>
    <x v="0"/>
    <x v="0"/>
    <n v="549"/>
    <n v="0"/>
    <x v="0"/>
    <n v="20"/>
    <n v="10980"/>
    <n v="10980"/>
    <n v="5490"/>
    <x v="0"/>
    <x v="0"/>
    <x v="0"/>
  </r>
  <r>
    <s v="ORD-MXC-SMB-20130901"/>
    <s v="{&quot;type&quot;: &quot;buyerDetails&quot;, &quot;info&quot;: [&quot;origin&quot;: &quot;Mexico&quot;, &quot;segment&quot;: &quot;Small Business&quot;, &quot;date&quot;: &quot;1&quot;, &quot;month&quot;: &quot;9&quot;, &quot;year&quot;: &quot;2013&quot;, &quot;units&quot;: &quot;788&quot;]}"/>
    <x v="1"/>
    <x v="1"/>
    <x v="0"/>
    <n v="788"/>
    <n v="0"/>
    <x v="0"/>
    <n v="20"/>
    <n v="15760"/>
    <n v="15760"/>
    <n v="7880"/>
    <x v="0"/>
    <x v="0"/>
    <x v="0"/>
  </r>
  <r>
    <s v="ORD-FRA-GOV-20130901"/>
    <s v="{&quot;type&quot;: &quot;buyerDetails&quot;, &quot;info&quot;: [&quot;origin&quot;: &quot;France&quot;, &quot;segment&quot;: &quot;Government&quot;, &quot;date&quot;: &quot;1&quot;, &quot;month&quot;: &quot;9&quot;, &quot;year&quot;: &quot;2013&quot;, &quot;units&quot;: &quot;1527&quot;]}"/>
    <x v="0"/>
    <x v="2"/>
    <x v="1"/>
    <n v="1527"/>
    <n v="0"/>
    <x v="0"/>
    <n v="300"/>
    <n v="458100"/>
    <n v="458100"/>
    <n v="76350"/>
    <x v="0"/>
    <x v="0"/>
    <x v="0"/>
  </r>
  <r>
    <s v="ORD-USA-ENT-20130901"/>
    <s v="{&quot;type&quot;: &quot;buyerDetails&quot;, &quot;info&quot;: [&quot;origin&quot;: &quot;United States of America&quot;, &quot;segment&quot;: &quot;Enterprise&quot;, &quot;date&quot;: &quot;1&quot;, &quot;month&quot;: &quot;9&quot;, &quot;year&quot;: &quot;2013&quot;, &quot;units&quot;: &quot;330&quot;]}"/>
    <x v="2"/>
    <x v="3"/>
    <x v="2"/>
    <n v="330"/>
    <n v="0.01"/>
    <x v="0"/>
    <n v="20"/>
    <n v="6600"/>
    <n v="6534"/>
    <n v="5544"/>
    <x v="0"/>
    <x v="1"/>
    <x v="0"/>
  </r>
  <r>
    <s v="ORD-USA-SMB-20130901"/>
    <s v="{&quot;type&quot;: &quot;buyerDetails&quot;, &quot;info&quot;: [&quot;origin&quot;: &quot;United States of America&quot;, &quot;segment&quot;: &quot;Small Business&quot;, &quot;date&quot;: &quot;1&quot;, &quot;month&quot;: &quot;9&quot;, &quot;year&quot;: &quot;2013&quot;, &quot;units&quot;: &quot;2498&quot;]}"/>
    <x v="2"/>
    <x v="1"/>
    <x v="3"/>
    <n v="2498"/>
    <n v="0.01"/>
    <x v="0"/>
    <n v="15"/>
    <n v="37470"/>
    <n v="37095.300000000003"/>
    <n v="24605.300000000003"/>
    <x v="0"/>
    <x v="1"/>
    <x v="0"/>
  </r>
  <r>
    <s v="ORD-USA-CPR-20130901"/>
    <s v="{&quot;type&quot;: &quot;buyerDetails&quot;, &quot;info&quot;: [&quot;origin&quot;: &quot;United States of America&quot;, &quot;segment&quot;: &quot;Channel Partners&quot;, &quot;date&quot;: &quot;1&quot;, &quot;month&quot;: &quot;9&quot;, &quot;year&quot;: &quot;2013&quot;, &quot;units&quot;: &quot;1989&quot;]}"/>
    <x v="2"/>
    <x v="4"/>
    <x v="4"/>
    <n v="1989"/>
    <n v="0.01"/>
    <x v="0"/>
    <n v="350"/>
    <n v="696150"/>
    <n v="689188.5"/>
    <n v="291388.5"/>
    <x v="0"/>
    <x v="1"/>
    <x v="0"/>
  </r>
  <r>
    <s v="ORD-GER-GOV-20130901"/>
    <s v="{&quot;type&quot;: &quot;buyerDetails&quot;, &quot;info&quot;: [&quot;origin&quot;: &quot;Germany&quot;, &quot;segment&quot;: &quot;Government&quot;, &quot;date&quot;: &quot;1&quot;, &quot;month&quot;: &quot;9&quot;, &quot;year&quot;: &quot;2013&quot;, &quot;units&quot;: &quot;1797&quot;]}"/>
    <x v="3"/>
    <x v="2"/>
    <x v="3"/>
    <n v="1797"/>
    <n v="0.03"/>
    <x v="0"/>
    <n v="15"/>
    <n v="26955"/>
    <n v="26146.35"/>
    <n v="17161.349999999999"/>
    <x v="0"/>
    <x v="1"/>
    <x v="0"/>
  </r>
  <r>
    <s v="ORD-MXC-GOV-20130901"/>
    <s v="{&quot;type&quot;: &quot;buyerDetails&quot;, &quot;info&quot;: [&quot;origin&quot;: &quot;Mexico&quot;, &quot;segment&quot;: &quot;Government&quot;, &quot;date&quot;: &quot;1&quot;, &quot;month&quot;: &quot;9&quot;, &quot;year&quot;: &quot;2013&quot;, &quot;units&quot;: &quot;1760&quot;]}"/>
    <x v="1"/>
    <x v="2"/>
    <x v="0"/>
    <n v="1760"/>
    <n v="3.0000000000000002E-2"/>
    <x v="0"/>
    <n v="20"/>
    <n v="35200"/>
    <n v="34144"/>
    <n v="16544"/>
    <x v="0"/>
    <x v="1"/>
    <x v="0"/>
  </r>
  <r>
    <s v="ORD-USA-GOV-20130901"/>
    <s v="{&quot;type&quot;: &quot;buyerDetails&quot;, &quot;info&quot;: [&quot;origin&quot;: &quot;United States of America&quot;, &quot;segment&quot;: &quot;Government&quot;, &quot;date&quot;: &quot;1&quot;, &quot;month&quot;: &quot;9&quot;, &quot;year&quot;: &quot;2013&quot;, &quot;units&quot;: &quot;736&quot;]}"/>
    <x v="2"/>
    <x v="2"/>
    <x v="5"/>
    <n v="736"/>
    <n v="3.9999999999999994E-2"/>
    <x v="0"/>
    <n v="180"/>
    <n v="132480"/>
    <n v="127180.79999999999"/>
    <n v="38860.799999999988"/>
    <x v="0"/>
    <x v="1"/>
    <x v="0"/>
  </r>
  <r>
    <s v="ORD-USA-GOV-20130901"/>
    <s v="{&quot;type&quot;: &quot;buyerDetails&quot;, &quot;info&quot;: [&quot;origin&quot;: &quot;United States of America&quot;, &quot;segment&quot;: &quot;Government&quot;, &quot;date&quot;: &quot;1&quot;, &quot;month&quot;: &quot;9&quot;, &quot;year&quot;: &quot;2013&quot;, &quot;units&quot;: &quot;349&quot;]}"/>
    <x v="2"/>
    <x v="2"/>
    <x v="1"/>
    <n v="349"/>
    <n v="0.04"/>
    <x v="0"/>
    <n v="300"/>
    <n v="104700"/>
    <n v="100512"/>
    <n v="13262"/>
    <x v="0"/>
    <x v="1"/>
    <x v="0"/>
  </r>
  <r>
    <s v="ORD-CND-GOV-20130901"/>
    <s v="{&quot;type&quot;: &quot;buyerDetails&quot;, &quot;info&quot;: [&quot;origin&quot;: &quot;Canada&quot;, &quot;segment&quot;: &quot;Government&quot;, &quot;date&quot;: &quot;1&quot;, &quot;month&quot;: &quot;9&quot;, &quot;year&quot;: &quot;2013&quot;, &quot;units&quot;: &quot;2646&quot;]}"/>
    <x v="4"/>
    <x v="2"/>
    <x v="5"/>
    <n v="2646"/>
    <n v="0.04"/>
    <x v="0"/>
    <n v="180"/>
    <n v="476280"/>
    <n v="457228.79999999999"/>
    <n v="139708.79999999999"/>
    <x v="0"/>
    <x v="1"/>
    <x v="0"/>
  </r>
  <r>
    <s v="ORD-CND-GOV-20130901"/>
    <s v="{&quot;type&quot;: &quot;buyerDetails&quot;, &quot;info&quot;: [&quot;origin&quot;: &quot;Canada&quot;, &quot;segment&quot;: &quot;Government&quot;, &quot;date&quot;: &quot;1&quot;, &quot;month&quot;: &quot;9&quot;, &quot;year&quot;: &quot;2013&quot;, &quot;units&quot;: &quot;2349&quot;]}"/>
    <x v="4"/>
    <x v="2"/>
    <x v="0"/>
    <n v="2349"/>
    <n v="4.9999999999999996E-2"/>
    <x v="0"/>
    <n v="20"/>
    <n v="46980"/>
    <n v="44631"/>
    <n v="21141"/>
    <x v="0"/>
    <x v="2"/>
    <x v="0"/>
  </r>
  <r>
    <s v="ORD-MXC-GOV-20130901"/>
    <s v="{&quot;type&quot;: &quot;buyerDetails&quot;, &quot;info&quot;: [&quot;origin&quot;: &quot;Mexico&quot;, &quot;segment&quot;: &quot;Government&quot;, &quot;date&quot;: &quot;1&quot;, &quot;month&quot;: &quot;9&quot;, &quot;year&quot;: &quot;2013&quot;, &quot;units&quot;: &quot;720&quot;]}"/>
    <x v="1"/>
    <x v="2"/>
    <x v="3"/>
    <n v="720"/>
    <n v="0.05"/>
    <x v="0"/>
    <n v="15"/>
    <n v="10800"/>
    <n v="10260"/>
    <n v="6660"/>
    <x v="0"/>
    <x v="2"/>
    <x v="0"/>
  </r>
  <r>
    <s v="ORD-FRA-GOV-20130901"/>
    <s v="{&quot;type&quot;: &quot;buyerDetails&quot;, &quot;info&quot;: [&quot;origin&quot;: &quot;France&quot;, &quot;segment&quot;: &quot;Government&quot;, &quot;date&quot;: &quot;1&quot;, &quot;month&quot;: &quot;9&quot;, &quot;year&quot;: &quot;2013&quot;, &quot;units&quot;: &quot;1031&quot;]}"/>
    <x v="0"/>
    <x v="2"/>
    <x v="0"/>
    <n v="1031"/>
    <n v="6.9999999999999993E-2"/>
    <x v="0"/>
    <n v="20"/>
    <n v="20620"/>
    <n v="19176.600000000002"/>
    <n v="8866.6000000000022"/>
    <x v="0"/>
    <x v="2"/>
    <x v="0"/>
  </r>
  <r>
    <s v="ORD-MXC-GOV-20130901"/>
    <s v="{&quot;type&quot;: &quot;buyerDetails&quot;, &quot;info&quot;: [&quot;origin&quot;: &quot;Mexico&quot;, &quot;segment&quot;: &quot;Government&quot;, &quot;date&quot;: &quot;1&quot;, &quot;month&quot;: &quot;9&quot;, &quot;year&quot;: &quot;2013&quot;, &quot;units&quot;: &quot;1834&quot;]}"/>
    <x v="1"/>
    <x v="2"/>
    <x v="2"/>
    <n v="1834"/>
    <n v="6.9999999999999993E-2"/>
    <x v="0"/>
    <n v="20"/>
    <n v="36680"/>
    <n v="34112.400000000001"/>
    <n v="28610.400000000001"/>
    <x v="0"/>
    <x v="2"/>
    <x v="0"/>
  </r>
  <r>
    <s v="ORD-GER-CPR-20130901"/>
    <s v="{&quot;type&quot;: &quot;buyerDetails&quot;, &quot;info&quot;: [&quot;origin&quot;: &quot;Germany&quot;, &quot;segment&quot;: &quot;Channel Partners&quot;, &quot;date&quot;: &quot;1&quot;, &quot;month&quot;: &quot;9&quot;, &quot;year&quot;: &quot;2013&quot;, &quot;units&quot;: &quot;2215&quot;]}"/>
    <x v="3"/>
    <x v="4"/>
    <x v="1"/>
    <n v="2215"/>
    <n v="6.9999999999999993E-2"/>
    <x v="0"/>
    <n v="300"/>
    <n v="664500"/>
    <n v="617985"/>
    <n v="64235"/>
    <x v="0"/>
    <x v="2"/>
    <x v="0"/>
  </r>
  <r>
    <s v="ORD-GER-SMB-20130901"/>
    <s v="{&quot;type&quot;: &quot;buyerDetails&quot;, &quot;info&quot;: [&quot;origin&quot;: &quot;Germany&quot;, &quot;segment&quot;: &quot;Small Business&quot;, &quot;date&quot;: &quot;1&quot;, &quot;month&quot;: &quot;9&quot;, &quot;year&quot;: &quot;2013&quot;, &quot;units&quot;: &quot;1123&quot;]}"/>
    <x v="3"/>
    <x v="1"/>
    <x v="0"/>
    <n v="1123"/>
    <n v="7.0000000000000007E-2"/>
    <x v="0"/>
    <n v="20"/>
    <n v="22460"/>
    <n v="20887.8"/>
    <n v="9657.7999999999993"/>
    <x v="0"/>
    <x v="2"/>
    <x v="0"/>
  </r>
  <r>
    <s v="ORD-USA-MDM-20130901"/>
    <s v="{&quot;type&quot;: &quot;buyerDetails&quot;, &quot;info&quot;: [&quot;origin&quot;: &quot;United States of America&quot;, &quot;segment&quot;: &quot;Midmarket&quot;, &quot;date&quot;: &quot;1&quot;, &quot;month&quot;: &quot;9&quot;, &quot;year&quot;: &quot;2013&quot;, &quot;units&quot;: &quot;2931&quot;]}"/>
    <x v="2"/>
    <x v="0"/>
    <x v="0"/>
    <n v="2931"/>
    <n v="7.0000000000000007E-2"/>
    <x v="0"/>
    <n v="20"/>
    <n v="58620"/>
    <n v="54516.6"/>
    <n v="25206.6"/>
    <x v="0"/>
    <x v="2"/>
    <x v="0"/>
  </r>
  <r>
    <s v="ORD-GER-ENT-20130901"/>
    <s v="{&quot;type&quot;: &quot;buyerDetails&quot;, &quot;info&quot;: [&quot;origin&quot;: &quot;Germany&quot;, &quot;segment&quot;: &quot;Enterprise&quot;, &quot;date&quot;: &quot;1&quot;, &quot;month&quot;: &quot;9&quot;, &quot;year&quot;: &quot;2013&quot;, &quot;units&quot;: &quot;994&quot;]}"/>
    <x v="3"/>
    <x v="3"/>
    <x v="4"/>
    <n v="994"/>
    <n v="7.0000000000000007E-2"/>
    <x v="0"/>
    <n v="350"/>
    <n v="347900"/>
    <n v="323547"/>
    <n v="124747"/>
    <x v="0"/>
    <x v="2"/>
    <x v="0"/>
  </r>
  <r>
    <s v="ORD-CND-SMB-20130901"/>
    <s v="{&quot;type&quot;: &quot;buyerDetails&quot;, &quot;info&quot;: [&quot;origin&quot;: &quot;Canada&quot;, &quot;segment&quot;: &quot;Small Business&quot;, &quot;date&quot;: &quot;1&quot;, &quot;month&quot;: &quot;9&quot;, &quot;year&quot;: &quot;2013&quot;, &quot;units&quot;: &quot;1283&quot;]}"/>
    <x v="4"/>
    <x v="1"/>
    <x v="3"/>
    <n v="1283"/>
    <n v="0.08"/>
    <x v="0"/>
    <n v="15"/>
    <n v="19245"/>
    <n v="17705.400000000001"/>
    <n v="11290.400000000001"/>
    <x v="0"/>
    <x v="2"/>
    <x v="0"/>
  </r>
  <r>
    <s v="ORD-GER-GOV-20130901"/>
    <s v="{&quot;type&quot;: &quot;buyerDetails&quot;, &quot;info&quot;: [&quot;origin&quot;: &quot;Germany&quot;, &quot;segment&quot;: &quot;Government&quot;, &quot;date&quot;: &quot;1&quot;, &quot;month&quot;: &quot;9&quot;, &quot;year&quot;: &quot;2013&quot;, &quot;units&quot;: &quot;2409&quot;]}"/>
    <x v="3"/>
    <x v="2"/>
    <x v="0"/>
    <n v="2409"/>
    <n v="0.08"/>
    <x v="0"/>
    <n v="20"/>
    <n v="48180"/>
    <n v="44325.599999999999"/>
    <n v="20235.599999999999"/>
    <x v="0"/>
    <x v="2"/>
    <x v="0"/>
  </r>
  <r>
    <s v="ORD-FRA-SMB-20130901"/>
    <s v="{&quot;type&quot;: &quot;buyerDetails&quot;, &quot;info&quot;: [&quot;origin&quot;: &quot;France&quot;, &quot;segment&quot;: &quot;Small Business&quot;, &quot;date&quot;: &quot;1&quot;, &quot;month&quot;: &quot;9&quot;, &quot;year&quot;: &quot;2013&quot;, &quot;units&quot;: &quot;322&quot;]}"/>
    <x v="0"/>
    <x v="1"/>
    <x v="3"/>
    <n v="322"/>
    <n v="0.09"/>
    <x v="0"/>
    <n v="15"/>
    <n v="4830"/>
    <n v="4395.3"/>
    <n v="2785.3"/>
    <x v="0"/>
    <x v="2"/>
    <x v="0"/>
  </r>
  <r>
    <s v="ORD-FRA-CPR-20130901"/>
    <s v="{&quot;type&quot;: &quot;buyerDetails&quot;, &quot;info&quot;: [&quot;origin&quot;: &quot;France&quot;, &quot;segment&quot;: &quot;Channel Partners&quot;, &quot;date&quot;: &quot;1&quot;, &quot;month&quot;: &quot;9&quot;, &quot;year&quot;: &quot;2013&quot;, &quot;units&quot;: &quot;2234&quot;]}"/>
    <x v="0"/>
    <x v="4"/>
    <x v="1"/>
    <n v="2234"/>
    <n v="0.09"/>
    <x v="0"/>
    <n v="300"/>
    <n v="670200"/>
    <n v="609882"/>
    <n v="51382"/>
    <x v="0"/>
    <x v="2"/>
    <x v="0"/>
  </r>
  <r>
    <s v="ORD-MXC-CPR-20130901"/>
    <s v="{&quot;type&quot;: &quot;buyerDetails&quot;, &quot;info&quot;: [&quot;origin&quot;: &quot;Mexico&quot;, &quot;segment&quot;: &quot;Channel Partners&quot;, &quot;date&quot;: &quot;1&quot;, &quot;month&quot;: &quot;9&quot;, &quot;year&quot;: &quot;2013&quot;, &quot;units&quot;: &quot;1005&quot;]}"/>
    <x v="1"/>
    <x v="4"/>
    <x v="1"/>
    <n v="1005"/>
    <n v="0.10999999999999999"/>
    <x v="0"/>
    <n v="300"/>
    <n v="301500"/>
    <n v="268335"/>
    <n v="17085"/>
    <x v="0"/>
    <x v="3"/>
    <x v="0"/>
  </r>
  <r>
    <s v="ORD-MXC-MDM-20130901"/>
    <s v="{&quot;type&quot;: &quot;buyerDetails&quot;, &quot;info&quot;: [&quot;origin&quot;: &quot;Mexico&quot;, &quot;segment&quot;: &quot;Midmarket&quot;, &quot;date&quot;: &quot;1&quot;, &quot;month&quot;: &quot;9&quot;, &quot;year&quot;: &quot;2013&quot;, &quot;units&quot;: &quot;655&quot;]}"/>
    <x v="1"/>
    <x v="0"/>
    <x v="5"/>
    <n v="655"/>
    <n v="0.11"/>
    <x v="0"/>
    <n v="180"/>
    <n v="117900"/>
    <n v="104931"/>
    <n v="26331"/>
    <x v="0"/>
    <x v="3"/>
    <x v="0"/>
  </r>
  <r>
    <s v="ORD-MXC-ENT-20130901"/>
    <s v="{&quot;type&quot;: &quot;buyerDetails&quot;, &quot;info&quot;: [&quot;origin&quot;: &quot;Mexico&quot;, &quot;segment&quot;: &quot;Enterprise&quot;, &quot;date&quot;: &quot;1&quot;, &quot;month&quot;: &quot;9&quot;, &quot;year&quot;: &quot;2013&quot;, &quot;units&quot;: &quot;947&quot;]}"/>
    <x v="1"/>
    <x v="3"/>
    <x v="4"/>
    <n v="947"/>
    <n v="0.11"/>
    <x v="0"/>
    <n v="350"/>
    <n v="331450"/>
    <n v="294990.5"/>
    <n v="105590.5"/>
    <x v="0"/>
    <x v="3"/>
    <x v="0"/>
  </r>
  <r>
    <s v="ORD-FRA-GOV-20130901"/>
    <s v="{&quot;type&quot;: &quot;buyerDetails&quot;, &quot;info&quot;: [&quot;origin&quot;: &quot;France&quot;, &quot;segment&quot;: &quot;Government&quot;, &quot;date&quot;: &quot;1&quot;, &quot;month&quot;: &quot;9&quot;, &quot;year&quot;: &quot;2013&quot;, &quot;units&quot;: &quot;2805&quot;]}"/>
    <x v="0"/>
    <x v="2"/>
    <x v="5"/>
    <n v="2805"/>
    <n v="0.11"/>
    <x v="0"/>
    <n v="180"/>
    <n v="504900"/>
    <n v="449361"/>
    <n v="112761"/>
    <x v="0"/>
    <x v="3"/>
    <x v="0"/>
  </r>
  <r>
    <s v="ORD-USA-GOV-20130901"/>
    <s v="{&quot;type&quot;: &quot;buyerDetails&quot;, &quot;info&quot;: [&quot;origin&quot;: &quot;United States of America&quot;, &quot;segment&quot;: &quot;Government&quot;, &quot;date&quot;: &quot;1&quot;, &quot;month&quot;: &quot;9&quot;, &quot;year&quot;: &quot;2013&quot;, &quot;units&quot;: &quot;380&quot;]}"/>
    <x v="2"/>
    <x v="2"/>
    <x v="0"/>
    <n v="380"/>
    <n v="0.11000000000000001"/>
    <x v="0"/>
    <n v="20"/>
    <n v="7600"/>
    <n v="6764"/>
    <n v="2964"/>
    <x v="0"/>
    <x v="3"/>
    <x v="0"/>
  </r>
  <r>
    <s v="ORD-CND-GOV-20130901"/>
    <s v="{&quot;type&quot;: &quot;buyerDetails&quot;, &quot;info&quot;: [&quot;origin&quot;: &quot;Canada&quot;, &quot;segment&quot;: &quot;Government&quot;, &quot;date&quot;: &quot;1&quot;, &quot;month&quot;: &quot;9&quot;, &quot;year&quot;: &quot;2013&quot;, &quot;units&quot;: &quot;623&quot;]}"/>
    <x v="4"/>
    <x v="2"/>
    <x v="1"/>
    <n v="623"/>
    <n v="0.12"/>
    <x v="0"/>
    <n v="300"/>
    <n v="186900"/>
    <n v="164472"/>
    <n v="8722"/>
    <x v="0"/>
    <x v="3"/>
    <x v="0"/>
  </r>
  <r>
    <s v="ORD-CND-ENT-20130901"/>
    <s v="{&quot;type&quot;: &quot;buyerDetails&quot;, &quot;info&quot;: [&quot;origin&quot;: &quot;Canada&quot;, &quot;segment&quot;: &quot;Enterprise&quot;, &quot;date&quot;: &quot;1&quot;, &quot;month&quot;: &quot;9&quot;, &quot;year&quot;: &quot;2013&quot;, &quot;units&quot;: &quot;2416&quot;]}"/>
    <x v="4"/>
    <x v="3"/>
    <x v="2"/>
    <n v="2416"/>
    <n v="0.12"/>
    <x v="0"/>
    <n v="20"/>
    <n v="48320"/>
    <n v="42521.599999999999"/>
    <n v="35273.599999999999"/>
    <x v="0"/>
    <x v="3"/>
    <x v="0"/>
  </r>
  <r>
    <s v="ORD-CND-CPR-20130901"/>
    <s v="{&quot;type&quot;: &quot;buyerDetails&quot;, &quot;info&quot;: [&quot;origin&quot;: &quot;Canada&quot;, &quot;segment&quot;: &quot;Channel Partners&quot;, &quot;date&quot;: &quot;1&quot;, &quot;month&quot;: &quot;9&quot;, &quot;year&quot;: &quot;2013&quot;, &quot;units&quot;: &quot;2761&quot;]}"/>
    <x v="4"/>
    <x v="4"/>
    <x v="4"/>
    <n v="2761"/>
    <n v="0.12000000000000001"/>
    <x v="0"/>
    <n v="350"/>
    <n v="966350"/>
    <n v="850388"/>
    <n v="298188"/>
    <x v="0"/>
    <x v="3"/>
    <x v="0"/>
  </r>
  <r>
    <s v="ORD-GER-GOV-20130901"/>
    <s v="{&quot;type&quot;: &quot;buyerDetails&quot;, &quot;info&quot;: [&quot;origin&quot;: &quot;Germany&quot;, &quot;segment&quot;: &quot;Government&quot;, &quot;date&quot;: &quot;1&quot;, &quot;month&quot;: &quot;9&quot;, &quot;year&quot;: &quot;2013&quot;, &quot;units&quot;: &quot;442&quot;]}"/>
    <x v="3"/>
    <x v="2"/>
    <x v="2"/>
    <n v="442"/>
    <n v="0.13"/>
    <x v="0"/>
    <n v="20"/>
    <n v="8840"/>
    <n v="7690.8"/>
    <n v="6364.8"/>
    <x v="0"/>
    <x v="3"/>
    <x v="0"/>
  </r>
  <r>
    <s v="ORD-GER-MDM-20130901"/>
    <s v="{&quot;type&quot;: &quot;buyerDetails&quot;, &quot;info&quot;: [&quot;origin&quot;: &quot;Germany&quot;, &quot;segment&quot;: &quot;Midmarket&quot;, &quot;date&quot;: &quot;1&quot;, &quot;month&quot;: &quot;9&quot;, &quot;year&quot;: &quot;2013&quot;, &quot;units&quot;: &quot;660&quot;]}"/>
    <x v="3"/>
    <x v="0"/>
    <x v="5"/>
    <n v="660"/>
    <n v="0.13"/>
    <x v="0"/>
    <n v="180"/>
    <n v="118800"/>
    <n v="103356"/>
    <n v="24156"/>
    <x v="0"/>
    <x v="3"/>
    <x v="0"/>
  </r>
  <r>
    <s v="ORD-FRA-ENT-20130901"/>
    <s v="{&quot;type&quot;: &quot;buyerDetails&quot;, &quot;info&quot;: [&quot;origin&quot;: &quot;France&quot;, &quot;segment&quot;: &quot;Enterprise&quot;, &quot;date&quot;: &quot;1&quot;, &quot;month&quot;: &quot;9&quot;, &quot;year&quot;: &quot;2013&quot;, &quot;units&quot;: &quot;1023&quot;]}"/>
    <x v="0"/>
    <x v="3"/>
    <x v="2"/>
    <n v="1023"/>
    <n v="0.14000000000000001"/>
    <x v="0"/>
    <n v="20"/>
    <n v="20460"/>
    <n v="17595.599999999999"/>
    <n v="14526.599999999999"/>
    <x v="0"/>
    <x v="3"/>
    <x v="0"/>
  </r>
  <r>
    <s v="ORD-CND-MDM-20130901"/>
    <s v="{&quot;type&quot;: &quot;buyerDetails&quot;, &quot;info&quot;: [&quot;origin&quot;: &quot;Canada&quot;, &quot;segment&quot;: &quot;Midmarket&quot;, &quot;date&quot;: &quot;1&quot;, &quot;month&quot;: &quot;9&quot;, &quot;year&quot;: &quot;2013&quot;, &quot;units&quot;: &quot;2470&quot;]}"/>
    <x v="4"/>
    <x v="0"/>
    <x v="0"/>
    <n v="2470"/>
    <n v="0.14000000000000001"/>
    <x v="0"/>
    <n v="20"/>
    <n v="49400"/>
    <n v="42484"/>
    <n v="17784"/>
    <x v="0"/>
    <x v="3"/>
    <x v="0"/>
  </r>
  <r>
    <s v="ORD-CND-ENT-20131001"/>
    <s v="{&quot;type&quot;: &quot;buyerDetails&quot;, &quot;info&quot;: [&quot;origin&quot;: &quot;Canada&quot;, &quot;segment&quot;: &quot;Enterprise&quot;, &quot;date&quot;: &quot;1&quot;, &quot;month&quot;: &quot;10&quot;, &quot;year&quot;: &quot;2013&quot;, &quot;units&quot;: &quot;345&quot;]}"/>
    <x v="4"/>
    <x v="3"/>
    <x v="3"/>
    <n v="345"/>
    <n v="0"/>
    <x v="1"/>
    <n v="15"/>
    <n v="5175"/>
    <n v="5175"/>
    <n v="3450"/>
    <x v="0"/>
    <x v="0"/>
    <x v="1"/>
  </r>
  <r>
    <s v="ORD-CND-ENT-20131001"/>
    <s v="{&quot;type&quot;: &quot;buyerDetails&quot;, &quot;info&quot;: [&quot;origin&quot;: &quot;Canada&quot;, &quot;segment&quot;: &quot;Enterprise&quot;, &quot;date&quot;: &quot;1&quot;, &quot;month&quot;: &quot;10&quot;, &quot;year&quot;: &quot;2013&quot;, &quot;units&quot;: &quot;345&quot;]}"/>
    <x v="4"/>
    <x v="3"/>
    <x v="5"/>
    <n v="345"/>
    <n v="0"/>
    <x v="1"/>
    <n v="180"/>
    <n v="62100"/>
    <n v="62100"/>
    <n v="20700"/>
    <x v="0"/>
    <x v="0"/>
    <x v="1"/>
  </r>
  <r>
    <s v="ORD-USA-ENT-20131001"/>
    <s v="{&quot;type&quot;: &quot;buyerDetails&quot;, &quot;info&quot;: [&quot;origin&quot;: &quot;United States of America&quot;, &quot;segment&quot;: &quot;Enterprise&quot;, &quot;date&quot;: &quot;1&quot;, &quot;month&quot;: &quot;10&quot;, &quot;year&quot;: &quot;2013&quot;, &quot;units&quot;: &quot;663&quot;]}"/>
    <x v="2"/>
    <x v="3"/>
    <x v="3"/>
    <n v="663"/>
    <n v="0.01"/>
    <x v="1"/>
    <n v="15"/>
    <n v="9945"/>
    <n v="9845.5499999999993"/>
    <n v="6530.5499999999993"/>
    <x v="0"/>
    <x v="1"/>
    <x v="1"/>
  </r>
  <r>
    <s v="ORD-GER-CPR-20131001"/>
    <s v="{&quot;type&quot;: &quot;buyerDetails&quot;, &quot;info&quot;: [&quot;origin&quot;: &quot;Germany&quot;, &quot;segment&quot;: &quot;Channel Partners&quot;, &quot;date&quot;: &quot;1&quot;, &quot;month&quot;: &quot;10&quot;, &quot;year&quot;: &quot;2013&quot;, &quot;units&quot;: &quot;766&quot;]}"/>
    <x v="3"/>
    <x v="4"/>
    <x v="0"/>
    <n v="766"/>
    <n v="0.01"/>
    <x v="1"/>
    <n v="20"/>
    <n v="15320"/>
    <n v="15166.8"/>
    <n v="7506.7999999999993"/>
    <x v="0"/>
    <x v="1"/>
    <x v="1"/>
  </r>
  <r>
    <s v="ORD-MXC-SMB-20131001"/>
    <s v="{&quot;type&quot;: &quot;buyerDetails&quot;, &quot;info&quot;: [&quot;origin&quot;: &quot;Mexico&quot;, &quot;segment&quot;: &quot;Small Business&quot;, &quot;date&quot;: &quot;1&quot;, &quot;month&quot;: &quot;10&quot;, &quot;year&quot;: &quot;2013&quot;, &quot;units&quot;: &quot;494&quot;]}"/>
    <x v="1"/>
    <x v="1"/>
    <x v="2"/>
    <n v="494"/>
    <n v="0.01"/>
    <x v="1"/>
    <n v="20"/>
    <n v="9880"/>
    <n v="9781.2000000000007"/>
    <n v="8299.2000000000007"/>
    <x v="0"/>
    <x v="1"/>
    <x v="1"/>
  </r>
  <r>
    <s v="ORD-GER-CPR-20131001"/>
    <s v="{&quot;type&quot;: &quot;buyerDetails&quot;, &quot;info&quot;: [&quot;origin&quot;: &quot;Germany&quot;, &quot;segment&quot;: &quot;Channel Partners&quot;, &quot;date&quot;: &quot;1&quot;, &quot;month&quot;: &quot;10&quot;, &quot;year&quot;: &quot;2013&quot;, &quot;units&quot;: &quot;766&quot;]}"/>
    <x v="3"/>
    <x v="4"/>
    <x v="2"/>
    <n v="766"/>
    <n v="0.01"/>
    <x v="1"/>
    <n v="20"/>
    <n v="15320"/>
    <n v="15166.8"/>
    <n v="12868.8"/>
    <x v="0"/>
    <x v="1"/>
    <x v="1"/>
  </r>
  <r>
    <s v="ORD-MXC-SMB-20131001"/>
    <s v="{&quot;type&quot;: &quot;buyerDetails&quot;, &quot;info&quot;: [&quot;origin&quot;: &quot;Mexico&quot;, &quot;segment&quot;: &quot;Small Business&quot;, &quot;date&quot;: &quot;1&quot;, &quot;month&quot;: &quot;10&quot;, &quot;year&quot;: &quot;2013&quot;, &quot;units&quot;: &quot;494&quot;]}"/>
    <x v="1"/>
    <x v="1"/>
    <x v="1"/>
    <n v="494"/>
    <n v="0.01"/>
    <x v="1"/>
    <n v="300"/>
    <n v="148200"/>
    <n v="146718"/>
    <n v="23218"/>
    <x v="0"/>
    <x v="1"/>
    <x v="1"/>
  </r>
  <r>
    <s v="ORD-USA-ENT-20131001"/>
    <s v="{&quot;type&quot;: &quot;buyerDetails&quot;, &quot;info&quot;: [&quot;origin&quot;: &quot;United States of America&quot;, &quot;segment&quot;: &quot;Enterprise&quot;, &quot;date&quot;: &quot;1&quot;, &quot;month&quot;: &quot;10&quot;, &quot;year&quot;: &quot;2013&quot;, &quot;units&quot;: &quot;663&quot;]}"/>
    <x v="2"/>
    <x v="3"/>
    <x v="5"/>
    <n v="663"/>
    <n v="0.01"/>
    <x v="1"/>
    <n v="180"/>
    <n v="119340"/>
    <n v="118146.6"/>
    <n v="38586.600000000006"/>
    <x v="0"/>
    <x v="1"/>
    <x v="1"/>
  </r>
  <r>
    <s v="ORD-GER-SMB-20131001"/>
    <s v="{&quot;type&quot;: &quot;buyerDetails&quot;, &quot;info&quot;: [&quot;origin&quot;: &quot;Germany&quot;, &quot;segment&quot;: &quot;Small Business&quot;, &quot;date&quot;: &quot;1&quot;, &quot;month&quot;: &quot;10&quot;, &quot;year&quot;: &quot;2013&quot;, &quot;units&quot;: &quot;214&quot;]}"/>
    <x v="3"/>
    <x v="1"/>
    <x v="2"/>
    <n v="214"/>
    <n v="0.02"/>
    <x v="1"/>
    <n v="20"/>
    <n v="4280"/>
    <n v="4194.3999999999996"/>
    <n v="3552.3999999999996"/>
    <x v="0"/>
    <x v="1"/>
    <x v="1"/>
  </r>
  <r>
    <s v="ORD-GER-ENT-20131001"/>
    <s v="{&quot;type&quot;: &quot;buyerDetails&quot;, &quot;info&quot;: [&quot;origin&quot;: &quot;Germany&quot;, &quot;segment&quot;: &quot;Enterprise&quot;, &quot;date&quot;: &quot;1&quot;, &quot;month&quot;: &quot;10&quot;, &quot;year&quot;: &quot;2013&quot;, &quot;units&quot;: &quot;809&quot;]}"/>
    <x v="3"/>
    <x v="3"/>
    <x v="0"/>
    <n v="809"/>
    <n v="0.02"/>
    <x v="1"/>
    <n v="20"/>
    <n v="16180"/>
    <n v="15856.4"/>
    <n v="7766.4"/>
    <x v="0"/>
    <x v="1"/>
    <x v="1"/>
  </r>
  <r>
    <s v="ORD-GER-SMB-20131001"/>
    <s v="{&quot;type&quot;: &quot;buyerDetails&quot;, &quot;info&quot;: [&quot;origin&quot;: &quot;Germany&quot;, &quot;segment&quot;: &quot;Small Business&quot;, &quot;date&quot;: &quot;1&quot;, &quot;month&quot;: &quot;10&quot;, &quot;year&quot;: &quot;2013&quot;, &quot;units&quot;: &quot;214&quot;]}"/>
    <x v="3"/>
    <x v="1"/>
    <x v="1"/>
    <n v="214"/>
    <n v="0.02"/>
    <x v="1"/>
    <n v="300"/>
    <n v="64200"/>
    <n v="62916"/>
    <n v="9416"/>
    <x v="0"/>
    <x v="1"/>
    <x v="1"/>
  </r>
  <r>
    <s v="ORD-MXC-ENT-20131001"/>
    <s v="{&quot;type&quot;: &quot;buyerDetails&quot;, &quot;info&quot;: [&quot;origin&quot;: &quot;Mexico&quot;, &quot;segment&quot;: &quot;Enterprise&quot;, &quot;date&quot;: &quot;1&quot;, &quot;month&quot;: &quot;10&quot;, &quot;year&quot;: &quot;2013&quot;, &quot;units&quot;: &quot;2145&quot;]}"/>
    <x v="1"/>
    <x v="3"/>
    <x v="0"/>
    <n v="2145"/>
    <n v="0.02"/>
    <x v="1"/>
    <n v="20"/>
    <n v="42900"/>
    <n v="42042"/>
    <n v="20592"/>
    <x v="0"/>
    <x v="1"/>
    <x v="1"/>
  </r>
  <r>
    <s v="ORD-GER-ENT-20131001"/>
    <s v="{&quot;type&quot;: &quot;buyerDetails&quot;, &quot;info&quot;: [&quot;origin&quot;: &quot;Germany&quot;, &quot;segment&quot;: &quot;Enterprise&quot;, &quot;date&quot;: &quot;1&quot;, &quot;month&quot;: &quot;10&quot;, &quot;year&quot;: &quot;2013&quot;, &quot;units&quot;: &quot;809&quot;]}"/>
    <x v="3"/>
    <x v="3"/>
    <x v="5"/>
    <n v="809"/>
    <n v="0.02"/>
    <x v="1"/>
    <n v="180"/>
    <n v="145620"/>
    <n v="142707.6"/>
    <n v="45627.600000000006"/>
    <x v="0"/>
    <x v="1"/>
    <x v="1"/>
  </r>
  <r>
    <s v="ORD-MXC-ENT-20131001"/>
    <s v="{&quot;type&quot;: &quot;buyerDetails&quot;, &quot;info&quot;: [&quot;origin&quot;: &quot;Mexico&quot;, &quot;segment&quot;: &quot;Enterprise&quot;, &quot;date&quot;: &quot;1&quot;, &quot;month&quot;: &quot;10&quot;, &quot;year&quot;: &quot;2013&quot;, &quot;units&quot;: &quot;2145&quot;]}"/>
    <x v="1"/>
    <x v="3"/>
    <x v="5"/>
    <n v="2145"/>
    <n v="0.02"/>
    <x v="1"/>
    <n v="180"/>
    <n v="386100"/>
    <n v="378378"/>
    <n v="120978"/>
    <x v="0"/>
    <x v="1"/>
    <x v="1"/>
  </r>
  <r>
    <s v="ORD-GER-GOV-20131001"/>
    <s v="{&quot;type&quot;: &quot;buyerDetails&quot;, &quot;info&quot;: [&quot;origin&quot;: &quot;Germany&quot;, &quot;segment&quot;: &quot;Government&quot;, &quot;date&quot;: &quot;1&quot;, &quot;month&quot;: &quot;10&quot;, &quot;year&quot;: &quot;2013&quot;, &quot;units&quot;: &quot;2966&quot;]}"/>
    <x v="3"/>
    <x v="2"/>
    <x v="5"/>
    <n v="2966"/>
    <n v="0.02"/>
    <x v="1"/>
    <n v="180"/>
    <n v="533880"/>
    <n v="523202.39999999997"/>
    <n v="167282.39999999997"/>
    <x v="0"/>
    <x v="1"/>
    <x v="1"/>
  </r>
  <r>
    <s v="ORD-GER-GOV-20131001"/>
    <s v="{&quot;type&quot;: &quot;buyerDetails&quot;, &quot;info&quot;: [&quot;origin&quot;: &quot;Germany&quot;, &quot;segment&quot;: &quot;Government&quot;, &quot;date&quot;: &quot;1&quot;, &quot;month&quot;: &quot;10&quot;, &quot;year&quot;: &quot;2013&quot;, &quot;units&quot;: &quot;2966&quot;]}"/>
    <x v="3"/>
    <x v="2"/>
    <x v="4"/>
    <n v="2966"/>
    <n v="0.02"/>
    <x v="1"/>
    <n v="350"/>
    <n v="1038100"/>
    <n v="1017338"/>
    <n v="424138"/>
    <x v="0"/>
    <x v="1"/>
    <x v="1"/>
  </r>
  <r>
    <s v="ORD-GER-MDM-20131001"/>
    <s v="{&quot;type&quot;: &quot;buyerDetails&quot;, &quot;info&quot;: [&quot;origin&quot;: &quot;Germany&quot;, &quot;segment&quot;: &quot;Midmarket&quot;, &quot;date&quot;: &quot;1&quot;, &quot;month&quot;: &quot;10&quot;, &quot;year&quot;: &quot;2013&quot;, &quot;units&quot;: &quot;1945&quot;]}"/>
    <x v="3"/>
    <x v="0"/>
    <x v="0"/>
    <n v="1945"/>
    <n v="0.03"/>
    <x v="1"/>
    <n v="20"/>
    <n v="38900"/>
    <n v="37733"/>
    <n v="18283"/>
    <x v="0"/>
    <x v="1"/>
    <x v="1"/>
  </r>
  <r>
    <s v="ORD-GER-MDM-20131001"/>
    <s v="{&quot;type&quot;: &quot;buyerDetails&quot;, &quot;info&quot;: [&quot;origin&quot;: &quot;Germany&quot;, &quot;segment&quot;: &quot;Midmarket&quot;, &quot;date&quot;: &quot;1&quot;, &quot;month&quot;: &quot;10&quot;, &quot;year&quot;: &quot;2013&quot;, &quot;units&quot;: &quot;1945&quot;]}"/>
    <x v="3"/>
    <x v="0"/>
    <x v="1"/>
    <n v="1945"/>
    <n v="0.03"/>
    <x v="1"/>
    <n v="300"/>
    <n v="583500"/>
    <n v="565995"/>
    <n v="79745"/>
    <x v="0"/>
    <x v="1"/>
    <x v="1"/>
  </r>
  <r>
    <s v="ORD-USA-MDM-20131001"/>
    <s v="{&quot;type&quot;: &quot;buyerDetails&quot;, &quot;info&quot;: [&quot;origin&quot;: &quot;United States of America&quot;, &quot;segment&quot;: &quot;Midmarket&quot;, &quot;date&quot;: &quot;1&quot;, &quot;month&quot;: &quot;10&quot;, &quot;year&quot;: &quot;2013&quot;, &quot;units&quot;: &quot;671&quot;]}"/>
    <x v="2"/>
    <x v="0"/>
    <x v="0"/>
    <n v="671"/>
    <n v="0.04"/>
    <x v="1"/>
    <n v="20"/>
    <n v="13420"/>
    <n v="12883.199999999999"/>
    <n v="6173.1999999999989"/>
    <x v="0"/>
    <x v="1"/>
    <x v="1"/>
  </r>
  <r>
    <s v="ORD-MXC-MDM-20131001"/>
    <s v="{&quot;type&quot;: &quot;buyerDetails&quot;, &quot;info&quot;: [&quot;origin&quot;: &quot;Mexico&quot;, &quot;segment&quot;: &quot;Midmarket&quot;, &quot;date&quot;: &quot;1&quot;, &quot;month&quot;: &quot;10&quot;, &quot;year&quot;: &quot;2013&quot;, &quot;units&quot;: &quot;1514&quot;]}"/>
    <x v="1"/>
    <x v="0"/>
    <x v="0"/>
    <n v="1514"/>
    <n v="0.04"/>
    <x v="1"/>
    <n v="20"/>
    <n v="30280"/>
    <n v="29068.799999999999"/>
    <n v="13928.8"/>
    <x v="0"/>
    <x v="1"/>
    <x v="1"/>
  </r>
  <r>
    <s v="ORD-CND-GOV-20131001"/>
    <s v="{&quot;type&quot;: &quot;buyerDetails&quot;, &quot;info&quot;: [&quot;origin&quot;: &quot;Canada&quot;, &quot;segment&quot;: &quot;Government&quot;, &quot;date&quot;: &quot;1&quot;, &quot;month&quot;: &quot;10&quot;, &quot;year&quot;: &quot;2013&quot;, &quot;units&quot;: &quot;2851&quot;]}"/>
    <x v="4"/>
    <x v="2"/>
    <x v="3"/>
    <n v="2851"/>
    <n v="0.04"/>
    <x v="1"/>
    <n v="15"/>
    <n v="42765"/>
    <n v="41054.400000000001"/>
    <n v="26799.4"/>
    <x v="0"/>
    <x v="1"/>
    <x v="1"/>
  </r>
  <r>
    <s v="ORD-CND-GOV-20131001"/>
    <s v="{&quot;type&quot;: &quot;buyerDetails&quot;, &quot;info&quot;: [&quot;origin&quot;: &quot;Canada&quot;, &quot;segment&quot;: &quot;Government&quot;, &quot;date&quot;: &quot;1&quot;, &quot;month&quot;: &quot;10&quot;, &quot;year&quot;: &quot;2013&quot;, &quot;units&quot;: &quot;2851&quot;]}"/>
    <x v="4"/>
    <x v="2"/>
    <x v="2"/>
    <n v="2851"/>
    <n v="0.04"/>
    <x v="1"/>
    <n v="20"/>
    <n v="57020"/>
    <n v="54739.199999999997"/>
    <n v="46186.2"/>
    <x v="0"/>
    <x v="1"/>
    <x v="1"/>
  </r>
  <r>
    <s v="ORD-MXC-MDM-20131001"/>
    <s v="{&quot;type&quot;: &quot;buyerDetails&quot;, &quot;info&quot;: [&quot;origin&quot;: &quot;Mexico&quot;, &quot;segment&quot;: &quot;Midmarket&quot;, &quot;date&quot;: &quot;1&quot;, &quot;month&quot;: &quot;10&quot;, &quot;year&quot;: &quot;2013&quot;, &quot;units&quot;: &quot;1514&quot;]}"/>
    <x v="1"/>
    <x v="0"/>
    <x v="1"/>
    <n v="1514"/>
    <n v="0.04"/>
    <x v="1"/>
    <n v="300"/>
    <n v="454200"/>
    <n v="436032"/>
    <n v="57532"/>
    <x v="0"/>
    <x v="1"/>
    <x v="1"/>
  </r>
  <r>
    <s v="ORD-USA-MDM-20131001"/>
    <s v="{&quot;type&quot;: &quot;buyerDetails&quot;, &quot;info&quot;: [&quot;origin&quot;: &quot;United States of America&quot;, &quot;segment&quot;: &quot;Midmarket&quot;, &quot;date&quot;: &quot;1&quot;, &quot;month&quot;: &quot;10&quot;, &quot;year&quot;: &quot;2013&quot;, &quot;units&quot;: &quot;671&quot;]}"/>
    <x v="2"/>
    <x v="0"/>
    <x v="4"/>
    <n v="671"/>
    <n v="0.04"/>
    <x v="1"/>
    <n v="350"/>
    <n v="234850"/>
    <n v="225456"/>
    <n v="91256"/>
    <x v="0"/>
    <x v="1"/>
    <x v="1"/>
  </r>
  <r>
    <s v="ORD-GER-GOV-20131001"/>
    <s v="{&quot;type&quot;: &quot;buyerDetails&quot;, &quot;info&quot;: [&quot;origin&quot;: &quot;Germany&quot;, &quot;segment&quot;: &quot;Government&quot;, &quot;date&quot;: &quot;1&quot;, &quot;month&quot;: &quot;10&quot;, &quot;year&quot;: &quot;2013&quot;, &quot;units&quot;: &quot;1159&quot;]}"/>
    <x v="3"/>
    <x v="2"/>
    <x v="3"/>
    <n v="1159"/>
    <n v="4.9999999999999996E-2"/>
    <x v="1"/>
    <n v="15"/>
    <n v="17385"/>
    <n v="16515.75"/>
    <n v="10720.75"/>
    <x v="0"/>
    <x v="2"/>
    <x v="1"/>
  </r>
  <r>
    <s v="ORD-GER-GOV-20131001"/>
    <s v="{&quot;type&quot;: &quot;buyerDetails&quot;, &quot;info&quot;: [&quot;origin&quot;: &quot;Germany&quot;, &quot;segment&quot;: &quot;Government&quot;, &quot;date&quot;: &quot;1&quot;, &quot;month&quot;: &quot;10&quot;, &quot;year&quot;: &quot;2013&quot;, &quot;units&quot;: &quot;1159&quot;]}"/>
    <x v="3"/>
    <x v="2"/>
    <x v="4"/>
    <n v="1159"/>
    <n v="4.9999999999999996E-2"/>
    <x v="1"/>
    <n v="350"/>
    <n v="405650"/>
    <n v="385367.5"/>
    <n v="153567.5"/>
    <x v="0"/>
    <x v="2"/>
    <x v="1"/>
  </r>
  <r>
    <s v="ORD-FRA-ENT-20131001"/>
    <s v="{&quot;type&quot;: &quot;buyerDetails&quot;, &quot;info&quot;: [&quot;origin&quot;: &quot;France&quot;, &quot;segment&quot;: &quot;Enterprise&quot;, &quot;date&quot;: &quot;1&quot;, &quot;month&quot;: &quot;10&quot;, &quot;year&quot;: &quot;2013&quot;, &quot;units&quot;: &quot;704&quot;]}"/>
    <x v="0"/>
    <x v="3"/>
    <x v="0"/>
    <n v="704"/>
    <n v="0.05"/>
    <x v="1"/>
    <n v="20"/>
    <n v="14080"/>
    <n v="13376"/>
    <n v="6336"/>
    <x v="0"/>
    <x v="2"/>
    <x v="1"/>
  </r>
  <r>
    <s v="ORD-CND-GOV-20131001"/>
    <s v="{&quot;type&quot;: &quot;buyerDetails&quot;, &quot;info&quot;: [&quot;origin&quot;: &quot;Canada&quot;, &quot;segment&quot;: &quot;Government&quot;, &quot;date&quot;: &quot;1&quot;, &quot;month&quot;: &quot;10&quot;, &quot;year&quot;: &quot;2013&quot;, &quot;units&quot;: &quot;1228&quot;]}"/>
    <x v="4"/>
    <x v="2"/>
    <x v="0"/>
    <n v="1228"/>
    <n v="0.05"/>
    <x v="1"/>
    <n v="20"/>
    <n v="24560"/>
    <n v="23332"/>
    <n v="11052"/>
    <x v="0"/>
    <x v="2"/>
    <x v="1"/>
  </r>
  <r>
    <s v="ORD-CND-GOV-20131001"/>
    <s v="{&quot;type&quot;: &quot;buyerDetails&quot;, &quot;info&quot;: [&quot;origin&quot;: &quot;Canada&quot;, &quot;segment&quot;: &quot;Government&quot;, &quot;date&quot;: &quot;1&quot;, &quot;month&quot;: &quot;10&quot;, &quot;year&quot;: &quot;2013&quot;, &quot;units&quot;: &quot;1389&quot;]}"/>
    <x v="4"/>
    <x v="2"/>
    <x v="0"/>
    <n v="1389"/>
    <n v="0.05"/>
    <x v="1"/>
    <n v="20"/>
    <n v="27780"/>
    <n v="26391"/>
    <n v="12501"/>
    <x v="0"/>
    <x v="2"/>
    <x v="1"/>
  </r>
  <r>
    <s v="ORD-FRA-ENT-20131001"/>
    <s v="{&quot;type&quot;: &quot;buyerDetails&quot;, &quot;info&quot;: [&quot;origin&quot;: &quot;France&quot;, &quot;segment&quot;: &quot;Enterprise&quot;, &quot;date&quot;: &quot;1&quot;, &quot;month&quot;: &quot;10&quot;, &quot;year&quot;: &quot;2013&quot;, &quot;units&quot;: &quot;704&quot;]}"/>
    <x v="0"/>
    <x v="3"/>
    <x v="5"/>
    <n v="704"/>
    <n v="0.05"/>
    <x v="1"/>
    <n v="180"/>
    <n v="126720"/>
    <n v="120384"/>
    <n v="35904"/>
    <x v="0"/>
    <x v="2"/>
    <x v="1"/>
  </r>
  <r>
    <s v="ORD-CND-GOV-20131001"/>
    <s v="{&quot;type&quot;: &quot;buyerDetails&quot;, &quot;info&quot;: [&quot;origin&quot;: &quot;Canada&quot;, &quot;segment&quot;: &quot;Government&quot;, &quot;date&quot;: &quot;1&quot;, &quot;month&quot;: &quot;10&quot;, &quot;year&quot;: &quot;2013&quot;, &quot;units&quot;: &quot;1389&quot;]}"/>
    <x v="4"/>
    <x v="2"/>
    <x v="1"/>
    <n v="1389"/>
    <n v="0.05"/>
    <x v="1"/>
    <n v="300"/>
    <n v="416700"/>
    <n v="395865"/>
    <n v="48615"/>
    <x v="0"/>
    <x v="2"/>
    <x v="1"/>
  </r>
  <r>
    <s v="ORD-CND-GOV-20131001"/>
    <s v="{&quot;type&quot;: &quot;buyerDetails&quot;, &quot;info&quot;: [&quot;origin&quot;: &quot;Canada&quot;, &quot;segment&quot;: &quot;Government&quot;, &quot;date&quot;: &quot;1&quot;, &quot;month&quot;: &quot;10&quot;, &quot;year&quot;: &quot;2013&quot;, &quot;units&quot;: &quot;1228&quot;]}"/>
    <x v="4"/>
    <x v="2"/>
    <x v="4"/>
    <n v="1228"/>
    <n v="0.05"/>
    <x v="1"/>
    <n v="350"/>
    <n v="429800"/>
    <n v="408310"/>
    <n v="162710"/>
    <x v="0"/>
    <x v="2"/>
    <x v="1"/>
  </r>
  <r>
    <s v="ORD-USA-GOV-20131001"/>
    <s v="{&quot;type&quot;: &quot;buyerDetails&quot;, &quot;info&quot;: [&quot;origin&quot;: &quot;United States of America&quot;, &quot;segment&quot;: &quot;Government&quot;, &quot;date&quot;: &quot;1&quot;, &quot;month&quot;: &quot;10&quot;, &quot;year&quot;: &quot;2013&quot;, &quot;units&quot;: &quot;727&quot;]}"/>
    <x v="2"/>
    <x v="2"/>
    <x v="0"/>
    <n v="727"/>
    <n v="0.06"/>
    <x v="1"/>
    <n v="20"/>
    <n v="14540"/>
    <n v="13667.599999999999"/>
    <n v="6397.5999999999985"/>
    <x v="0"/>
    <x v="2"/>
    <x v="1"/>
  </r>
  <r>
    <s v="ORD-FRA-GOV-20131001"/>
    <s v="{&quot;type&quot;: &quot;buyerDetails&quot;, &quot;info&quot;: [&quot;origin&quot;: &quot;France&quot;, &quot;segment&quot;: &quot;Government&quot;, &quot;date&quot;: &quot;1&quot;, &quot;month&quot;: &quot;10&quot;, &quot;year&quot;: &quot;2013&quot;, &quot;units&quot;: &quot;1403&quot;]}"/>
    <x v="0"/>
    <x v="2"/>
    <x v="3"/>
    <n v="1403"/>
    <n v="0.06"/>
    <x v="1"/>
    <n v="15"/>
    <n v="21045"/>
    <n v="19782.3"/>
    <n v="12767.3"/>
    <x v="0"/>
    <x v="2"/>
    <x v="1"/>
  </r>
  <r>
    <s v="ORD-CND-CPR-20131001"/>
    <s v="{&quot;type&quot;: &quot;buyerDetails&quot;, &quot;info&quot;: [&quot;origin&quot;: &quot;Canada&quot;, &quot;segment&quot;: &quot;Channel Partners&quot;, &quot;date&quot;: &quot;1&quot;, &quot;month&quot;: &quot;10&quot;, &quot;year&quot;: &quot;2013&quot;, &quot;units&quot;: &quot;2299&quot;]}"/>
    <x v="4"/>
    <x v="4"/>
    <x v="0"/>
    <n v="2299"/>
    <n v="0.06"/>
    <x v="1"/>
    <n v="20"/>
    <n v="45980"/>
    <n v="43221.2"/>
    <n v="20231.199999999997"/>
    <x v="0"/>
    <x v="2"/>
    <x v="1"/>
  </r>
  <r>
    <s v="ORD-CND-CPR-20131001"/>
    <s v="{&quot;type&quot;: &quot;buyerDetails&quot;, &quot;info&quot;: [&quot;origin&quot;: &quot;Canada&quot;, &quot;segment&quot;: &quot;Channel Partners&quot;, &quot;date&quot;: &quot;1&quot;, &quot;month&quot;: &quot;10&quot;, &quot;year&quot;: &quot;2013&quot;, &quot;units&quot;: &quot;2299&quot;]}"/>
    <x v="4"/>
    <x v="4"/>
    <x v="2"/>
    <n v="2299"/>
    <n v="0.06"/>
    <x v="1"/>
    <n v="20"/>
    <n v="45980"/>
    <n v="43221.2"/>
    <n v="36324.199999999997"/>
    <x v="0"/>
    <x v="2"/>
    <x v="1"/>
  </r>
  <r>
    <s v="ORD-FRA-SMB-20131001"/>
    <s v="{&quot;type&quot;: &quot;buyerDetails&quot;, &quot;info&quot;: [&quot;origin&quot;: &quot;France&quot;, &quot;segment&quot;: &quot;Small Business&quot;, &quot;date&quot;: &quot;1&quot;, &quot;month&quot;: &quot;10&quot;, &quot;year&quot;: &quot;2013&quot;, &quot;units&quot;: &quot;1221&quot;]}"/>
    <x v="0"/>
    <x v="1"/>
    <x v="1"/>
    <n v="1221"/>
    <n v="0.06"/>
    <x v="1"/>
    <n v="300"/>
    <n v="366300"/>
    <n v="344322"/>
    <n v="39072"/>
    <x v="0"/>
    <x v="2"/>
    <x v="1"/>
  </r>
  <r>
    <s v="ORD-FRA-SMB-20131001"/>
    <s v="{&quot;type&quot;: &quot;buyerDetails&quot;, &quot;info&quot;: [&quot;origin&quot;: &quot;France&quot;, &quot;segment&quot;: &quot;Small Business&quot;, &quot;date&quot;: &quot;1&quot;, &quot;month&quot;: &quot;10&quot;, &quot;year&quot;: &quot;2013&quot;, &quot;units&quot;: &quot;1221&quot;]}"/>
    <x v="0"/>
    <x v="1"/>
    <x v="5"/>
    <n v="1221"/>
    <n v="0.06"/>
    <x v="1"/>
    <n v="180"/>
    <n v="219780"/>
    <n v="206593.19999999998"/>
    <n v="60073.199999999983"/>
    <x v="0"/>
    <x v="2"/>
    <x v="1"/>
  </r>
  <r>
    <s v="ORD-USA-GOV-20131001"/>
    <s v="{&quot;type&quot;: &quot;buyerDetails&quot;, &quot;info&quot;: [&quot;origin&quot;: &quot;United States of America&quot;, &quot;segment&quot;: &quot;Government&quot;, &quot;date&quot;: &quot;1&quot;, &quot;month&quot;: &quot;10&quot;, &quot;year&quot;: &quot;2013&quot;, &quot;units&quot;: &quot;727&quot;]}"/>
    <x v="2"/>
    <x v="2"/>
    <x v="4"/>
    <n v="727"/>
    <n v="0.06"/>
    <x v="1"/>
    <n v="350"/>
    <n v="254450"/>
    <n v="239183"/>
    <n v="93783"/>
    <x v="0"/>
    <x v="2"/>
    <x v="1"/>
  </r>
  <r>
    <s v="ORD-FRA-GOV-20131001"/>
    <s v="{&quot;type&quot;: &quot;buyerDetails&quot;, &quot;info&quot;: [&quot;origin&quot;: &quot;France&quot;, &quot;segment&quot;: &quot;Government&quot;, &quot;date&quot;: &quot;1&quot;, &quot;month&quot;: &quot;10&quot;, &quot;year&quot;: &quot;2013&quot;, &quot;units&quot;: &quot;2076&quot;]}"/>
    <x v="0"/>
    <x v="2"/>
    <x v="5"/>
    <n v="2076"/>
    <n v="0.06"/>
    <x v="1"/>
    <n v="180"/>
    <n v="373680"/>
    <n v="351259.19999999995"/>
    <n v="102139.19999999995"/>
    <x v="0"/>
    <x v="2"/>
    <x v="1"/>
  </r>
  <r>
    <s v="ORD-FRA-GOV-20131001"/>
    <s v="{&quot;type&quot;: &quot;buyerDetails&quot;, &quot;info&quot;: [&quot;origin&quot;: &quot;France&quot;, &quot;segment&quot;: &quot;Government&quot;, &quot;date&quot;: &quot;1&quot;, &quot;month&quot;: &quot;10&quot;, &quot;year&quot;: &quot;2013&quot;, &quot;units&quot;: &quot;1403&quot;]}"/>
    <x v="0"/>
    <x v="2"/>
    <x v="4"/>
    <n v="1403"/>
    <n v="0.06"/>
    <x v="1"/>
    <n v="350"/>
    <n v="491050"/>
    <n v="461587"/>
    <n v="180987"/>
    <x v="0"/>
    <x v="2"/>
    <x v="1"/>
  </r>
  <r>
    <s v="ORD-FRA-GOV-20131001"/>
    <s v="{&quot;type&quot;: &quot;buyerDetails&quot;, &quot;info&quot;: [&quot;origin&quot;: &quot;France&quot;, &quot;segment&quot;: &quot;Government&quot;, &quot;date&quot;: &quot;1&quot;, &quot;month&quot;: &quot;10&quot;, &quot;year&quot;: &quot;2013&quot;, &quot;units&quot;: &quot;2076&quot;]}"/>
    <x v="0"/>
    <x v="2"/>
    <x v="4"/>
    <n v="2076"/>
    <n v="0.06"/>
    <x v="1"/>
    <n v="350"/>
    <n v="726600"/>
    <n v="683004"/>
    <n v="267804"/>
    <x v="0"/>
    <x v="2"/>
    <x v="1"/>
  </r>
  <r>
    <s v="ORD-FRA-GOV-20131001"/>
    <s v="{&quot;type&quot;: &quot;buyerDetails&quot;, &quot;info&quot;: [&quot;origin&quot;: &quot;France&quot;, &quot;segment&quot;: &quot;Government&quot;, &quot;date&quot;: &quot;1&quot;, &quot;month&quot;: &quot;10&quot;, &quot;year&quot;: &quot;2013&quot;, &quot;units&quot;: &quot;1757&quot;]}"/>
    <x v="0"/>
    <x v="2"/>
    <x v="0"/>
    <n v="1757"/>
    <n v="6.0000000000000005E-2"/>
    <x v="1"/>
    <n v="20"/>
    <n v="35140"/>
    <n v="33031.599999999999"/>
    <n v="15461.599999999999"/>
    <x v="0"/>
    <x v="2"/>
    <x v="1"/>
  </r>
  <r>
    <s v="ORD-FRA-GOV-20131001"/>
    <s v="{&quot;type&quot;: &quot;buyerDetails&quot;, &quot;info&quot;: [&quot;origin&quot;: &quot;France&quot;, &quot;segment&quot;: &quot;Government&quot;, &quot;date&quot;: &quot;1&quot;, &quot;month&quot;: &quot;10&quot;, &quot;year&quot;: &quot;2013&quot;, &quot;units&quot;: &quot;1757&quot;]}"/>
    <x v="0"/>
    <x v="2"/>
    <x v="3"/>
    <n v="1757"/>
    <n v="6.0000000000000005E-2"/>
    <x v="1"/>
    <n v="15"/>
    <n v="26355"/>
    <n v="24773.699999999997"/>
    <n v="15988.699999999997"/>
    <x v="0"/>
    <x v="2"/>
    <x v="1"/>
  </r>
  <r>
    <s v="ORD-MXC-CPR-20131001"/>
    <s v="{&quot;type&quot;: &quot;buyerDetails&quot;, &quot;info&quot;: [&quot;origin&quot;: &quot;Mexico&quot;, &quot;segment&quot;: &quot;Channel Partners&quot;, &quot;date&quot;: &quot;1&quot;, &quot;month&quot;: &quot;10&quot;, &quot;year&quot;: &quot;2013&quot;, &quot;units&quot;: &quot;367&quot;]}"/>
    <x v="1"/>
    <x v="4"/>
    <x v="0"/>
    <n v="367"/>
    <n v="0.09"/>
    <x v="1"/>
    <n v="20"/>
    <n v="7340"/>
    <n v="6679.4000000000005"/>
    <n v="3009.4000000000005"/>
    <x v="0"/>
    <x v="2"/>
    <x v="1"/>
  </r>
  <r>
    <s v="ORD-MXC-CPR-20131001"/>
    <s v="{&quot;type&quot;: &quot;buyerDetails&quot;, &quot;info&quot;: [&quot;origin&quot;: &quot;Mexico&quot;, &quot;segment&quot;: &quot;Channel Partners&quot;, &quot;date&quot;: &quot;1&quot;, &quot;month&quot;: &quot;10&quot;, &quot;year&quot;: &quot;2013&quot;, &quot;units&quot;: &quot;367&quot;]}"/>
    <x v="1"/>
    <x v="4"/>
    <x v="2"/>
    <n v="367"/>
    <n v="0.09"/>
    <x v="1"/>
    <n v="20"/>
    <n v="7340"/>
    <n v="6679.4000000000005"/>
    <n v="5578.4000000000005"/>
    <x v="0"/>
    <x v="2"/>
    <x v="1"/>
  </r>
  <r>
    <s v="ORD-USA-CPR-20131001"/>
    <s v="{&quot;type&quot;: &quot;buyerDetails&quot;, &quot;info&quot;: [&quot;origin&quot;: &quot;United States of America&quot;, &quot;segment&quot;: &quot;Channel Partners&quot;, &quot;date&quot;: &quot;1&quot;, &quot;month&quot;: &quot;10&quot;, &quot;year&quot;: &quot;2013&quot;, &quot;units&quot;: &quot;386&quot;]}"/>
    <x v="2"/>
    <x v="4"/>
    <x v="0"/>
    <n v="386"/>
    <n v="9.9999999999999992E-2"/>
    <x v="1"/>
    <n v="20"/>
    <n v="7720"/>
    <n v="6948"/>
    <n v="3088"/>
    <x v="0"/>
    <x v="3"/>
    <x v="1"/>
  </r>
  <r>
    <s v="ORD-USA-CPR-20131001"/>
    <s v="{&quot;type&quot;: &quot;buyerDetails&quot;, &quot;info&quot;: [&quot;origin&quot;: &quot;United States of America&quot;, &quot;segment&quot;: &quot;Channel Partners&quot;, &quot;date&quot;: &quot;1&quot;, &quot;month&quot;: &quot;10&quot;, &quot;year&quot;: &quot;2013&quot;, &quot;units&quot;: &quot;386&quot;]}"/>
    <x v="2"/>
    <x v="4"/>
    <x v="2"/>
    <n v="386"/>
    <n v="9.9999999999999992E-2"/>
    <x v="1"/>
    <n v="20"/>
    <n v="7720"/>
    <n v="6948"/>
    <n v="5790"/>
    <x v="0"/>
    <x v="3"/>
    <x v="1"/>
  </r>
  <r>
    <s v="ORD-FRA-MDM-20131001"/>
    <s v="{&quot;type&quot;: &quot;buyerDetails&quot;, &quot;info&quot;: [&quot;origin&quot;: &quot;France&quot;, &quot;segment&quot;: &quot;Midmarket&quot;, &quot;date&quot;: &quot;1&quot;, &quot;month&quot;: &quot;10&quot;, &quot;year&quot;: &quot;2013&quot;, &quot;units&quot;: &quot;2167&quot;]}"/>
    <x v="0"/>
    <x v="0"/>
    <x v="0"/>
    <n v="2167"/>
    <n v="0.1"/>
    <x v="1"/>
    <n v="20"/>
    <n v="43340"/>
    <n v="39006"/>
    <n v="17336"/>
    <x v="0"/>
    <x v="3"/>
    <x v="1"/>
  </r>
  <r>
    <s v="ORD-FRA-MDM-20131001"/>
    <s v="{&quot;type&quot;: &quot;buyerDetails&quot;, &quot;info&quot;: [&quot;origin&quot;: &quot;France&quot;, &quot;segment&quot;: &quot;Midmarket&quot;, &quot;date&quot;: &quot;1&quot;, &quot;month&quot;: &quot;10&quot;, &quot;year&quot;: &quot;2013&quot;, &quot;units&quot;: &quot;2167&quot;]}"/>
    <x v="0"/>
    <x v="0"/>
    <x v="1"/>
    <n v="2167"/>
    <n v="0.1"/>
    <x v="1"/>
    <n v="300"/>
    <n v="650100"/>
    <n v="585090"/>
    <n v="43340"/>
    <x v="0"/>
    <x v="3"/>
    <x v="1"/>
  </r>
  <r>
    <s v="ORD-USA-SMB-20131001"/>
    <s v="{&quot;type&quot;: &quot;buyerDetails&quot;, &quot;info&quot;: [&quot;origin&quot;: &quot;United States of America&quot;, &quot;segment&quot;: &quot;Small Business&quot;, &quot;date&quot;: &quot;1&quot;, &quot;month&quot;: &quot;10&quot;, &quot;year&quot;: &quot;2013&quot;, &quot;units&quot;: &quot;2294&quot;]}"/>
    <x v="2"/>
    <x v="1"/>
    <x v="1"/>
    <n v="2294"/>
    <n v="0.1"/>
    <x v="1"/>
    <n v="300"/>
    <n v="688200"/>
    <n v="619380"/>
    <n v="45880"/>
    <x v="0"/>
    <x v="3"/>
    <x v="1"/>
  </r>
  <r>
    <s v="ORD-USA-SMB-20131001"/>
    <s v="{&quot;type&quot;: &quot;buyerDetails&quot;, &quot;info&quot;: [&quot;origin&quot;: &quot;United States of America&quot;, &quot;segment&quot;: &quot;Small Business&quot;, &quot;date&quot;: &quot;1&quot;, &quot;month&quot;: &quot;10&quot;, &quot;year&quot;: &quot;2013&quot;, &quot;units&quot;: &quot;2294&quot;]}"/>
    <x v="2"/>
    <x v="1"/>
    <x v="5"/>
    <n v="2294"/>
    <n v="0.1"/>
    <x v="1"/>
    <n v="180"/>
    <n v="412920"/>
    <n v="371628"/>
    <n v="96348"/>
    <x v="0"/>
    <x v="3"/>
    <x v="1"/>
  </r>
  <r>
    <s v="ORD-FRA-CPR-20131001"/>
    <s v="{&quot;type&quot;: &quot;buyerDetails&quot;, &quot;info&quot;: [&quot;origin&quot;: &quot;France&quot;, &quot;segment&quot;: &quot;Channel Partners&quot;, &quot;date&quot;: &quot;1&quot;, &quot;month&quot;: &quot;10&quot;, &quot;year&quot;: &quot;2013&quot;, &quot;units&quot;: &quot;1198&quot;]}"/>
    <x v="0"/>
    <x v="4"/>
    <x v="0"/>
    <n v="1198"/>
    <n v="0.10999999999999999"/>
    <x v="1"/>
    <n v="20"/>
    <n v="23960"/>
    <n v="21324.400000000001"/>
    <n v="9344.4000000000015"/>
    <x v="0"/>
    <x v="3"/>
    <x v="1"/>
  </r>
  <r>
    <s v="ORD-FRA-CPR-20131001"/>
    <s v="{&quot;type&quot;: &quot;buyerDetails&quot;, &quot;info&quot;: [&quot;origin&quot;: &quot;France&quot;, &quot;segment&quot;: &quot;Channel Partners&quot;, &quot;date&quot;: &quot;1&quot;, &quot;month&quot;: &quot;10&quot;, &quot;year&quot;: &quot;2013&quot;, &quot;units&quot;: &quot;1198&quot;]}"/>
    <x v="0"/>
    <x v="4"/>
    <x v="2"/>
    <n v="1198"/>
    <n v="0.10999999999999999"/>
    <x v="1"/>
    <n v="20"/>
    <n v="23960"/>
    <n v="21324.400000000001"/>
    <n v="17730.400000000001"/>
    <x v="0"/>
    <x v="3"/>
    <x v="1"/>
  </r>
  <r>
    <s v="ORD-MXC-GOV-20131001"/>
    <s v="{&quot;type&quot;: &quot;buyerDetails&quot;, &quot;info&quot;: [&quot;origin&quot;: &quot;Mexico&quot;, &quot;segment&quot;: &quot;Government&quot;, &quot;date&quot;: &quot;1&quot;, &quot;month&quot;: &quot;10&quot;, &quot;year&quot;: &quot;2013&quot;, &quot;units&quot;: &quot;344&quot;]}"/>
    <x v="1"/>
    <x v="2"/>
    <x v="5"/>
    <n v="344"/>
    <n v="0.11"/>
    <x v="1"/>
    <n v="180"/>
    <n v="61920"/>
    <n v="55108.800000000003"/>
    <n v="13828.800000000003"/>
    <x v="0"/>
    <x v="3"/>
    <x v="1"/>
  </r>
  <r>
    <s v="ORD-GER-GOV-20131001"/>
    <s v="{&quot;type&quot;: &quot;buyerDetails&quot;, &quot;info&quot;: [&quot;origin&quot;: &quot;Germany&quot;, &quot;segment&quot;: &quot;Government&quot;, &quot;date&quot;: &quot;1&quot;, &quot;month&quot;: &quot;10&quot;, &quot;year&quot;: &quot;2013&quot;, &quot;units&quot;: &quot;2992&quot;]}"/>
    <x v="3"/>
    <x v="2"/>
    <x v="0"/>
    <n v="2992"/>
    <n v="0.11"/>
    <x v="1"/>
    <n v="20"/>
    <n v="59840"/>
    <n v="53257.599999999999"/>
    <n v="23337.599999999999"/>
    <x v="0"/>
    <x v="3"/>
    <x v="1"/>
  </r>
  <r>
    <s v="ORD-GER-GOV-20131001"/>
    <s v="{&quot;type&quot;: &quot;buyerDetails&quot;, &quot;info&quot;: [&quot;origin&quot;: &quot;Germany&quot;, &quot;segment&quot;: &quot;Government&quot;, &quot;date&quot;: &quot;1&quot;, &quot;month&quot;: &quot;10&quot;, &quot;year&quot;: &quot;2013&quot;, &quot;units&quot;: &quot;2992&quot;]}"/>
    <x v="3"/>
    <x v="2"/>
    <x v="3"/>
    <n v="2992"/>
    <n v="0.11"/>
    <x v="1"/>
    <n v="15"/>
    <n v="44880"/>
    <n v="39943.199999999997"/>
    <n v="24983.199999999997"/>
    <x v="0"/>
    <x v="3"/>
    <x v="1"/>
  </r>
  <r>
    <s v="ORD-MXC-GOV-20131001"/>
    <s v="{&quot;type&quot;: &quot;buyerDetails&quot;, &quot;info&quot;: [&quot;origin&quot;: &quot;Mexico&quot;, &quot;segment&quot;: &quot;Government&quot;, &quot;date&quot;: &quot;1&quot;, &quot;month&quot;: &quot;10&quot;, &quot;year&quot;: &quot;2013&quot;, &quot;units&quot;: &quot;344&quot;]}"/>
    <x v="1"/>
    <x v="2"/>
    <x v="4"/>
    <n v="344"/>
    <n v="0.11"/>
    <x v="1"/>
    <n v="350"/>
    <n v="120400"/>
    <n v="107156"/>
    <n v="38356"/>
    <x v="0"/>
    <x v="3"/>
    <x v="1"/>
  </r>
  <r>
    <s v="ORD-MXC-GOV-20131001"/>
    <s v="{&quot;type&quot;: &quot;buyerDetails&quot;, &quot;info&quot;: [&quot;origin&quot;: &quot;Mexico&quot;, &quot;segment&quot;: &quot;Government&quot;, &quot;date&quot;: &quot;1&quot;, &quot;month&quot;: &quot;10&quot;, &quot;year&quot;: &quot;2013&quot;, &quot;units&quot;: &quot;1715&quot;]}"/>
    <x v="1"/>
    <x v="2"/>
    <x v="0"/>
    <n v="1715"/>
    <n v="0.12"/>
    <x v="1"/>
    <n v="20"/>
    <n v="34300"/>
    <n v="30184"/>
    <n v="13034"/>
    <x v="0"/>
    <x v="3"/>
    <x v="1"/>
  </r>
  <r>
    <s v="ORD-MXC-GOV-20131001"/>
    <s v="{&quot;type&quot;: &quot;buyerDetails&quot;, &quot;info&quot;: [&quot;origin&quot;: &quot;Mexico&quot;, &quot;segment&quot;: &quot;Government&quot;, &quot;date&quot;: &quot;1&quot;, &quot;month&quot;: &quot;10&quot;, &quot;year&quot;: &quot;2013&quot;, &quot;units&quot;: &quot;1715&quot;]}"/>
    <x v="1"/>
    <x v="2"/>
    <x v="3"/>
    <n v="1715"/>
    <n v="0.12"/>
    <x v="1"/>
    <n v="15"/>
    <n v="25725"/>
    <n v="22638"/>
    <n v="14063"/>
    <x v="0"/>
    <x v="3"/>
    <x v="1"/>
  </r>
  <r>
    <s v="ORD-USA-GOV-20131001"/>
    <s v="{&quot;type&quot;: &quot;buyerDetails&quot;, &quot;info&quot;: [&quot;origin&quot;: &quot;United States of America&quot;, &quot;segment&quot;: &quot;Government&quot;, &quot;date&quot;: &quot;1&quot;, &quot;month&quot;: &quot;10&quot;, &quot;year&quot;: &quot;2013&quot;, &quot;units&quot;: &quot;2996&quot;]}"/>
    <x v="2"/>
    <x v="2"/>
    <x v="3"/>
    <n v="2996"/>
    <n v="0.13999999999999999"/>
    <x v="1"/>
    <n v="15"/>
    <n v="44940"/>
    <n v="38648.400000000001"/>
    <n v="23668.400000000001"/>
    <x v="0"/>
    <x v="3"/>
    <x v="1"/>
  </r>
  <r>
    <s v="ORD-USA-GOV-20131001"/>
    <s v="{&quot;type&quot;: &quot;buyerDetails&quot;, &quot;info&quot;: [&quot;origin&quot;: &quot;United States of America&quot;, &quot;segment&quot;: &quot;Government&quot;, &quot;date&quot;: &quot;1&quot;, &quot;month&quot;: &quot;10&quot;, &quot;year&quot;: &quot;2013&quot;, &quot;units&quot;: &quot;2996&quot;]}"/>
    <x v="2"/>
    <x v="2"/>
    <x v="2"/>
    <n v="2996"/>
    <n v="0.13999999999999999"/>
    <x v="1"/>
    <n v="20"/>
    <n v="59920"/>
    <n v="51531.199999999997"/>
    <n v="42543.199999999997"/>
    <x v="0"/>
    <x v="3"/>
    <x v="1"/>
  </r>
  <r>
    <s v="ORD-CND-SMB-20131001"/>
    <s v="{&quot;type&quot;: &quot;buyerDetails&quot;, &quot;info&quot;: [&quot;origin&quot;: &quot;Canada&quot;, &quot;segment&quot;: &quot;Small Business&quot;, &quot;date&quot;: &quot;1&quot;, &quot;month&quot;: &quot;10&quot;, &quot;year&quot;: &quot;2013&quot;, &quot;units&quot;: &quot;269&quot;]}"/>
    <x v="4"/>
    <x v="1"/>
    <x v="1"/>
    <n v="269"/>
    <n v="0.14000000000000001"/>
    <x v="1"/>
    <n v="300"/>
    <n v="80700"/>
    <n v="69402"/>
    <n v="2152"/>
    <x v="0"/>
    <x v="3"/>
    <x v="1"/>
  </r>
  <r>
    <s v="ORD-CND-SMB-20131001"/>
    <s v="{&quot;type&quot;: &quot;buyerDetails&quot;, &quot;info&quot;: [&quot;origin&quot;: &quot;Canada&quot;, &quot;segment&quot;: &quot;Small Business&quot;, &quot;date&quot;: &quot;1&quot;, &quot;month&quot;: &quot;10&quot;, &quot;year&quot;: &quot;2013&quot;, &quot;units&quot;: &quot;269&quot;]}"/>
    <x v="4"/>
    <x v="1"/>
    <x v="5"/>
    <n v="269"/>
    <n v="0.14000000000000001"/>
    <x v="1"/>
    <n v="180"/>
    <n v="48420"/>
    <n v="41641.199999999997"/>
    <n v="9361.1999999999971"/>
    <x v="0"/>
    <x v="3"/>
    <x v="1"/>
  </r>
  <r>
    <s v="ORD-CND-MDM-20131001"/>
    <s v="{&quot;type&quot;: &quot;buyerDetails&quot;, &quot;info&quot;: [&quot;origin&quot;: &quot;Canada&quot;, &quot;segment&quot;: &quot;Midmarket&quot;, &quot;date&quot;: &quot;1&quot;, &quot;month&quot;: &quot;10&quot;, &quot;year&quot;: &quot;2013&quot;, &quot;units&quot;: &quot;1743&quot;]}"/>
    <x v="4"/>
    <x v="0"/>
    <x v="0"/>
    <n v="1743"/>
    <n v="0.14000000000000001"/>
    <x v="1"/>
    <n v="20"/>
    <n v="34860"/>
    <n v="29979.599999999999"/>
    <n v="12549.599999999999"/>
    <x v="0"/>
    <x v="3"/>
    <x v="1"/>
  </r>
  <r>
    <s v="ORD-MXC-GOV-20131001"/>
    <s v="{&quot;type&quot;: &quot;buyerDetails&quot;, &quot;info&quot;: [&quot;origin&quot;: &quot;Mexico&quot;, &quot;segment&quot;: &quot;Government&quot;, &quot;date&quot;: &quot;1&quot;, &quot;month&quot;: &quot;10&quot;, &quot;year&quot;: &quot;2013&quot;, &quot;units&quot;: &quot;1727&quot;]}"/>
    <x v="1"/>
    <x v="2"/>
    <x v="3"/>
    <n v="1727"/>
    <n v="0.14000000000000001"/>
    <x v="1"/>
    <n v="15"/>
    <n v="25905"/>
    <n v="22278.3"/>
    <n v="13643.3"/>
    <x v="0"/>
    <x v="3"/>
    <x v="1"/>
  </r>
  <r>
    <s v="ORD-MXC-GOV-20131001"/>
    <s v="{&quot;type&quot;: &quot;buyerDetails&quot;, &quot;info&quot;: [&quot;origin&quot;: &quot;Mexico&quot;, &quot;segment&quot;: &quot;Government&quot;, &quot;date&quot;: &quot;1&quot;, &quot;month&quot;: &quot;10&quot;, &quot;year&quot;: &quot;2013&quot;, &quot;units&quot;: &quot;1727&quot;]}"/>
    <x v="1"/>
    <x v="2"/>
    <x v="4"/>
    <n v="1727"/>
    <n v="0.14000000000000001"/>
    <x v="1"/>
    <n v="350"/>
    <n v="604450"/>
    <n v="519827"/>
    <n v="174427"/>
    <x v="0"/>
    <x v="3"/>
    <x v="1"/>
  </r>
  <r>
    <s v="ORD-CND-MDM-20131001"/>
    <s v="{&quot;type&quot;: &quot;buyerDetails&quot;, &quot;info&quot;: [&quot;origin&quot;: &quot;Canada&quot;, &quot;segment&quot;: &quot;Midmarket&quot;, &quot;date&quot;: &quot;1&quot;, &quot;month&quot;: &quot;10&quot;, &quot;year&quot;: &quot;2013&quot;, &quot;units&quot;: &quot;1743&quot;]}"/>
    <x v="4"/>
    <x v="0"/>
    <x v="4"/>
    <n v="1743"/>
    <n v="0.14000000000000001"/>
    <x v="1"/>
    <n v="350"/>
    <n v="610050"/>
    <n v="524643"/>
    <n v="176043"/>
    <x v="0"/>
    <x v="3"/>
    <x v="1"/>
  </r>
  <r>
    <s v="ORD-USA-GOV-20131001"/>
    <s v="{&quot;type&quot;: &quot;buyerDetails&quot;, &quot;info&quot;: [&quot;origin&quot;: &quot;United States of America&quot;, &quot;segment&quot;: &quot;Government&quot;, &quot;date&quot;: &quot;1&quot;, &quot;month&quot;: &quot;10&quot;, &quot;year&quot;: &quot;2013&quot;, &quot;units&quot;: &quot;267&quot;]}"/>
    <x v="2"/>
    <x v="2"/>
    <x v="1"/>
    <n v="267"/>
    <n v="0.15"/>
    <x v="1"/>
    <n v="300"/>
    <n v="80100"/>
    <n v="68085"/>
    <n v="1335"/>
    <x v="0"/>
    <x v="3"/>
    <x v="1"/>
  </r>
  <r>
    <s v="ORD-USA-GOV-20131001"/>
    <s v="{&quot;type&quot;: &quot;buyerDetails&quot;, &quot;info&quot;: [&quot;origin&quot;: &quot;United States of America&quot;, &quot;segment&quot;: &quot;Government&quot;, &quot;date&quot;: &quot;1&quot;, &quot;month&quot;: &quot;10&quot;, &quot;year&quot;: &quot;2013&quot;, &quot;units&quot;: &quot;267&quot;]}"/>
    <x v="2"/>
    <x v="2"/>
    <x v="0"/>
    <n v="267"/>
    <n v="0.15"/>
    <x v="1"/>
    <n v="20"/>
    <n v="5340"/>
    <n v="4539"/>
    <n v="1869"/>
    <x v="0"/>
    <x v="3"/>
    <x v="1"/>
  </r>
  <r>
    <s v="ORD-USA-CPR-20131101"/>
    <s v="{&quot;type&quot;: &quot;buyerDetails&quot;, &quot;info&quot;: [&quot;origin&quot;: &quot;United States of America&quot;, &quot;segment&quot;: &quot;Channel Partners&quot;, &quot;date&quot;: &quot;1&quot;, &quot;month&quot;: &quot;11&quot;, &quot;year&quot;: &quot;2013&quot;, &quot;units&quot;: &quot;912&quot;]}"/>
    <x v="2"/>
    <x v="4"/>
    <x v="0"/>
    <n v="912"/>
    <n v="0"/>
    <x v="2"/>
    <n v="20"/>
    <n v="18240"/>
    <n v="18240"/>
    <n v="9120"/>
    <x v="0"/>
    <x v="0"/>
    <x v="2"/>
  </r>
  <r>
    <s v="ORD-CND-GOV-20131101"/>
    <s v="{&quot;type&quot;: &quot;buyerDetails&quot;, &quot;info&quot;: [&quot;origin&quot;: &quot;Canada&quot;, &quot;segment&quot;: &quot;Government&quot;, &quot;date&quot;: &quot;1&quot;, &quot;month&quot;: &quot;11&quot;, &quot;year&quot;: &quot;2013&quot;, &quot;units&quot;: &quot;1725&quot;]}"/>
    <x v="4"/>
    <x v="2"/>
    <x v="0"/>
    <n v="1725"/>
    <n v="0"/>
    <x v="2"/>
    <n v="20"/>
    <n v="34500"/>
    <n v="34500"/>
    <n v="17250"/>
    <x v="0"/>
    <x v="0"/>
    <x v="2"/>
  </r>
  <r>
    <s v="ORD-FRA-MDM-20131101"/>
    <s v="{&quot;type&quot;: &quot;buyerDetails&quot;, &quot;info&quot;: [&quot;origin&quot;: &quot;France&quot;, &quot;segment&quot;: &quot;Midmarket&quot;, &quot;date&quot;: &quot;1&quot;, &quot;month&quot;: &quot;11&quot;, &quot;year&quot;: &quot;2013&quot;, &quot;units&quot;: &quot;321&quot;]}"/>
    <x v="0"/>
    <x v="0"/>
    <x v="4"/>
    <n v="321"/>
    <n v="0.01"/>
    <x v="2"/>
    <n v="350"/>
    <n v="112350"/>
    <n v="111226.5"/>
    <n v="47026.5"/>
    <x v="0"/>
    <x v="1"/>
    <x v="2"/>
  </r>
  <r>
    <s v="ORD-CND-GOV-20131101"/>
    <s v="{&quot;type&quot;: &quot;buyerDetails&quot;, &quot;info&quot;: [&quot;origin&quot;: &quot;Canada&quot;, &quot;segment&quot;: &quot;Government&quot;, &quot;date&quot;: &quot;1&quot;, &quot;month&quot;: &quot;11&quot;, &quot;year&quot;: &quot;2013&quot;, &quot;units&quot;: &quot;2092&quot;]}"/>
    <x v="4"/>
    <x v="2"/>
    <x v="5"/>
    <n v="2092"/>
    <n v="0.01"/>
    <x v="2"/>
    <n v="180"/>
    <n v="376560"/>
    <n v="372794.4"/>
    <n v="121754.40000000002"/>
    <x v="0"/>
    <x v="1"/>
    <x v="2"/>
  </r>
  <r>
    <s v="ORD-MXC-ENT-20131101"/>
    <s v="{&quot;type&quot;: &quot;buyerDetails&quot;, &quot;info&quot;: [&quot;origin&quot;: &quot;Mexico&quot;, &quot;segment&quot;: &quot;Enterprise&quot;, &quot;date&quot;: &quot;1&quot;, &quot;month&quot;: &quot;11&quot;, &quot;year&quot;: &quot;2013&quot;, &quot;units&quot;: &quot;1660&quot;]}"/>
    <x v="1"/>
    <x v="3"/>
    <x v="3"/>
    <n v="1660"/>
    <n v="0.02"/>
    <x v="2"/>
    <n v="15"/>
    <n v="24900"/>
    <n v="24402"/>
    <n v="16102"/>
    <x v="0"/>
    <x v="1"/>
    <x v="2"/>
  </r>
  <r>
    <s v="ORD-FRA-CPR-20131101"/>
    <s v="{&quot;type&quot;: &quot;buyerDetails&quot;, &quot;info&quot;: [&quot;origin&quot;: &quot;France&quot;, &quot;segment&quot;: &quot;Channel Partners&quot;, &quot;date&quot;: &quot;1&quot;, &quot;month&quot;: &quot;11&quot;, &quot;year&quot;: &quot;2013&quot;, &quot;units&quot;: &quot;1785&quot;]}"/>
    <x v="0"/>
    <x v="4"/>
    <x v="0"/>
    <n v="1785"/>
    <n v="0.02"/>
    <x v="2"/>
    <n v="20"/>
    <n v="35700"/>
    <n v="34986"/>
    <n v="17136"/>
    <x v="0"/>
    <x v="1"/>
    <x v="2"/>
  </r>
  <r>
    <s v="ORD-FRA-GOV-20131101"/>
    <s v="{&quot;type&quot;: &quot;buyerDetails&quot;, &quot;info&quot;: [&quot;origin&quot;: &quot;France&quot;, &quot;segment&quot;: &quot;Government&quot;, &quot;date&quot;: &quot;1&quot;, &quot;month&quot;: &quot;11&quot;, &quot;year&quot;: &quot;2013&quot;, &quot;units&quot;: &quot;2145&quot;]}"/>
    <x v="0"/>
    <x v="2"/>
    <x v="2"/>
    <n v="2145"/>
    <n v="0.02"/>
    <x v="2"/>
    <n v="20"/>
    <n v="42900"/>
    <n v="42042"/>
    <n v="35607"/>
    <x v="0"/>
    <x v="1"/>
    <x v="2"/>
  </r>
  <r>
    <s v="ORD-GER-GOV-20131101"/>
    <s v="{&quot;type&quot;: &quot;buyerDetails&quot;, &quot;info&quot;: [&quot;origin&quot;: &quot;Germany&quot;, &quot;segment&quot;: &quot;Government&quot;, &quot;date&quot;: &quot;1&quot;, &quot;month&quot;: &quot;11&quot;, &quot;year&quot;: &quot;2013&quot;, &quot;units&quot;: &quot;1016&quot;]}"/>
    <x v="3"/>
    <x v="2"/>
    <x v="2"/>
    <n v="1016"/>
    <n v="0.05"/>
    <x v="2"/>
    <n v="20"/>
    <n v="20320"/>
    <n v="19304"/>
    <n v="16256"/>
    <x v="0"/>
    <x v="2"/>
    <x v="2"/>
  </r>
  <r>
    <s v="ORD-USA-GOV-20131101"/>
    <s v="{&quot;type&quot;: &quot;buyerDetails&quot;, &quot;info&quot;: [&quot;origin&quot;: &quot;United States of America&quot;, &quot;segment&quot;: &quot;Government&quot;, &quot;date&quot;: &quot;1&quot;, &quot;month&quot;: &quot;11&quot;, &quot;year&quot;: &quot;2013&quot;, &quot;units&quot;: &quot;1265&quot;]}"/>
    <x v="2"/>
    <x v="2"/>
    <x v="1"/>
    <n v="1265"/>
    <n v="0.05"/>
    <x v="2"/>
    <n v="300"/>
    <n v="379500"/>
    <n v="360525"/>
    <n v="44275"/>
    <x v="0"/>
    <x v="2"/>
    <x v="2"/>
  </r>
  <r>
    <s v="ORD-GER-GOV-20131101"/>
    <s v="{&quot;type&quot;: &quot;buyerDetails&quot;, &quot;info&quot;: [&quot;origin&quot;: &quot;Germany&quot;, &quot;segment&quot;: &quot;Government&quot;, &quot;date&quot;: &quot;1&quot;, &quot;month&quot;: &quot;11&quot;, &quot;year&quot;: &quot;2013&quot;, &quot;units&quot;: &quot;2297&quot;]}"/>
    <x v="3"/>
    <x v="2"/>
    <x v="1"/>
    <n v="2297"/>
    <n v="0.05"/>
    <x v="2"/>
    <n v="300"/>
    <n v="689100"/>
    <n v="654645"/>
    <n v="80395"/>
    <x v="0"/>
    <x v="2"/>
    <x v="2"/>
  </r>
  <r>
    <s v="ORD-USA-GOV-20131101"/>
    <s v="{&quot;type&quot;: &quot;buyerDetails&quot;, &quot;info&quot;: [&quot;origin&quot;: &quot;United States of America&quot;, &quot;segment&quot;: &quot;Government&quot;, &quot;date&quot;: &quot;1&quot;, &quot;month&quot;: &quot;11&quot;, &quot;year&quot;: &quot;2013&quot;, &quot;units&quot;: &quot;263&quot;]}"/>
    <x v="2"/>
    <x v="2"/>
    <x v="2"/>
    <n v="263"/>
    <n v="0.06"/>
    <x v="2"/>
    <n v="20"/>
    <n v="5260"/>
    <n v="4944.3999999999996"/>
    <n v="4155.3999999999996"/>
    <x v="0"/>
    <x v="2"/>
    <x v="2"/>
  </r>
  <r>
    <s v="ORD-MXC-GOV-20131101"/>
    <s v="{&quot;type&quot;: &quot;buyerDetails&quot;, &quot;info&quot;: [&quot;origin&quot;: &quot;Mexico&quot;, &quot;segment&quot;: &quot;Government&quot;, &quot;date&quot;: &quot;1&quot;, &quot;month&quot;: &quot;11&quot;, &quot;year&quot;: &quot;2013&quot;, &quot;units&quot;: &quot;1123&quot;]}"/>
    <x v="1"/>
    <x v="2"/>
    <x v="1"/>
    <n v="1123"/>
    <n v="0.06"/>
    <x v="2"/>
    <n v="300"/>
    <n v="336900"/>
    <n v="316686"/>
    <n v="35936"/>
    <x v="0"/>
    <x v="2"/>
    <x v="2"/>
  </r>
  <r>
    <s v="ORD-CND-SMB-20131101"/>
    <s v="{&quot;type&quot;: &quot;buyerDetails&quot;, &quot;info&quot;: [&quot;origin&quot;: &quot;Canada&quot;, &quot;segment&quot;: &quot;Small Business&quot;, &quot;date&quot;: &quot;1&quot;, &quot;month&quot;: &quot;11&quot;, &quot;year&quot;: &quot;2013&quot;, &quot;units&quot;: &quot;1404&quot;]}"/>
    <x v="4"/>
    <x v="1"/>
    <x v="0"/>
    <n v="1404"/>
    <n v="7.0000000000000007E-2"/>
    <x v="2"/>
    <n v="20"/>
    <n v="28080"/>
    <n v="26114.399999999998"/>
    <n v="12074.399999999998"/>
    <x v="0"/>
    <x v="2"/>
    <x v="2"/>
  </r>
  <r>
    <s v="ORD-GER-ENT-20131101"/>
    <s v="{&quot;type&quot;: &quot;buyerDetails&quot;, &quot;info&quot;: [&quot;origin&quot;: &quot;Germany&quot;, &quot;segment&quot;: &quot;Enterprise&quot;, &quot;date&quot;: &quot;1&quot;, &quot;month&quot;: &quot;11&quot;, &quot;year&quot;: &quot;2013&quot;, &quot;units&quot;: &quot;2500&quot;]}"/>
    <x v="3"/>
    <x v="3"/>
    <x v="3"/>
    <n v="2500"/>
    <n v="7.0000000000000007E-2"/>
    <x v="2"/>
    <n v="15"/>
    <n v="37500"/>
    <n v="34875"/>
    <n v="22375"/>
    <x v="0"/>
    <x v="2"/>
    <x v="2"/>
  </r>
  <r>
    <s v="ORD-MXC-CPR-20131101"/>
    <s v="{&quot;type&quot;: &quot;buyerDetails&quot;, &quot;info&quot;: [&quot;origin&quot;: &quot;Mexico&quot;, &quot;segment&quot;: &quot;Channel Partners&quot;, &quot;date&quot;: &quot;1&quot;, &quot;month&quot;: &quot;11&quot;, &quot;year&quot;: &quot;2013&quot;, &quot;units&quot;: &quot;2763&quot;]}"/>
    <x v="1"/>
    <x v="4"/>
    <x v="0"/>
    <n v="2763"/>
    <n v="7.0000000000000007E-2"/>
    <x v="2"/>
    <n v="20"/>
    <n v="55260"/>
    <n v="51391.799999999996"/>
    <n v="23761.799999999996"/>
    <x v="0"/>
    <x v="2"/>
    <x v="2"/>
  </r>
  <r>
    <s v="ORD-FRA-SMB-20131101"/>
    <s v="{&quot;type&quot;: &quot;buyerDetails&quot;, &quot;info&quot;: [&quot;origin&quot;: &quot;France&quot;, &quot;segment&quot;: &quot;Small Business&quot;, &quot;date&quot;: &quot;1&quot;, &quot;month&quot;: &quot;11&quot;, &quot;year&quot;: &quot;2013&quot;, &quot;units&quot;: &quot;386&quot;]}"/>
    <x v="0"/>
    <x v="1"/>
    <x v="5"/>
    <n v="386"/>
    <n v="0.08"/>
    <x v="2"/>
    <n v="180"/>
    <n v="69480"/>
    <n v="63921.600000000006"/>
    <n v="17601.600000000006"/>
    <x v="0"/>
    <x v="2"/>
    <x v="2"/>
  </r>
  <r>
    <s v="ORD-GER-GOV-20131101"/>
    <s v="{&quot;type&quot;: &quot;buyerDetails&quot;, &quot;info&quot;: [&quot;origin&quot;: &quot;Germany&quot;, &quot;segment&quot;: &quot;Government&quot;, &quot;date&quot;: &quot;1&quot;, &quot;month&quot;: &quot;11&quot;, &quot;year&quot;: &quot;2013&quot;, &quot;units&quot;: &quot;2146&quot;]}"/>
    <x v="3"/>
    <x v="2"/>
    <x v="0"/>
    <n v="2146"/>
    <n v="0.08"/>
    <x v="2"/>
    <n v="20"/>
    <n v="42920"/>
    <n v="39486.400000000001"/>
    <n v="18026.400000000001"/>
    <x v="0"/>
    <x v="2"/>
    <x v="2"/>
  </r>
  <r>
    <s v="ORD-GER-CPR-20131101"/>
    <s v="{&quot;type&quot;: &quot;buyerDetails&quot;, &quot;info&quot;: [&quot;origin&quot;: &quot;Germany&quot;, &quot;segment&quot;: &quot;Channel Partners&quot;, &quot;date&quot;: &quot;1&quot;, &quot;month&quot;: &quot;11&quot;, &quot;year&quot;: &quot;2013&quot;, &quot;units&quot;: &quot;1775&quot;]}"/>
    <x v="3"/>
    <x v="4"/>
    <x v="0"/>
    <n v="1775"/>
    <n v="0.09"/>
    <x v="2"/>
    <n v="20"/>
    <n v="35500"/>
    <n v="32305"/>
    <n v="14555"/>
    <x v="0"/>
    <x v="2"/>
    <x v="2"/>
  </r>
  <r>
    <s v="ORD-FRA-ENT-20131101"/>
    <s v="{&quot;type&quot;: &quot;buyerDetails&quot;, &quot;info&quot;: [&quot;origin&quot;: &quot;France&quot;, &quot;segment&quot;: &quot;Enterprise&quot;, &quot;date&quot;: &quot;1&quot;, &quot;month&quot;: &quot;11&quot;, &quot;year&quot;: &quot;2013&quot;, &quot;units&quot;: &quot;1857&quot;]}"/>
    <x v="0"/>
    <x v="3"/>
    <x v="3"/>
    <n v="1857"/>
    <n v="0.09"/>
    <x v="2"/>
    <n v="15"/>
    <n v="27855"/>
    <n v="25348.05"/>
    <n v="16063.05"/>
    <x v="0"/>
    <x v="2"/>
    <x v="2"/>
  </r>
  <r>
    <s v="ORD-GER-MDM-20131101"/>
    <s v="{&quot;type&quot;: &quot;buyerDetails&quot;, &quot;info&quot;: [&quot;origin&quot;: &quot;Germany&quot;, &quot;segment&quot;: &quot;Midmarket&quot;, &quot;date&quot;: &quot;1&quot;, &quot;month&quot;: &quot;11&quot;, &quot;year&quot;: &quot;2013&quot;, &quot;units&quot;: &quot;970&quot;]}"/>
    <x v="3"/>
    <x v="0"/>
    <x v="4"/>
    <n v="970"/>
    <n v="0.09"/>
    <x v="2"/>
    <n v="350"/>
    <n v="339500"/>
    <n v="308945"/>
    <n v="114945"/>
    <x v="0"/>
    <x v="2"/>
    <x v="2"/>
  </r>
  <r>
    <s v="ORD-FRA-GOV-20131101"/>
    <s v="{&quot;type&quot;: &quot;buyerDetails&quot;, &quot;info&quot;: [&quot;origin&quot;: &quot;France&quot;, &quot;segment&quot;: &quot;Government&quot;, &quot;date&quot;: &quot;1&quot;, &quot;month&quot;: &quot;11&quot;, &quot;year&quot;: &quot;2013&quot;, &quot;units&quot;: &quot;2682&quot;]}"/>
    <x v="0"/>
    <x v="2"/>
    <x v="1"/>
    <n v="2682"/>
    <n v="9.0000000000000011E-2"/>
    <x v="2"/>
    <n v="300"/>
    <n v="804600"/>
    <n v="732186"/>
    <n v="61686"/>
    <x v="0"/>
    <x v="2"/>
    <x v="2"/>
  </r>
  <r>
    <s v="ORD-USA-ENT-20131101"/>
    <s v="{&quot;type&quot;: &quot;buyerDetails&quot;, &quot;info&quot;: [&quot;origin&quot;: &quot;United States of America&quot;, &quot;segment&quot;: &quot;Enterprise&quot;, &quot;date&quot;: &quot;1&quot;, &quot;month&quot;: &quot;11&quot;, &quot;year&quot;: &quot;2013&quot;, &quot;units&quot;: &quot;1804&quot;]}"/>
    <x v="2"/>
    <x v="3"/>
    <x v="3"/>
    <n v="1804"/>
    <n v="0.1"/>
    <x v="2"/>
    <n v="15"/>
    <n v="27060"/>
    <n v="24354"/>
    <n v="15334"/>
    <x v="0"/>
    <x v="3"/>
    <x v="2"/>
  </r>
  <r>
    <s v="ORD-CND-MDM-20131101"/>
    <s v="{&quot;type&quot;: &quot;buyerDetails&quot;, &quot;info&quot;: [&quot;origin&quot;: &quot;Canada&quot;, &quot;segment&quot;: &quot;Midmarket&quot;, &quot;date&quot;: &quot;1&quot;, &quot;month&quot;: &quot;11&quot;, &quot;year&quot;: &quot;2013&quot;, &quot;units&quot;: &quot;1560&quot;]}"/>
    <x v="4"/>
    <x v="0"/>
    <x v="2"/>
    <n v="1560"/>
    <n v="0.11"/>
    <x v="2"/>
    <n v="20"/>
    <n v="31200"/>
    <n v="27768"/>
    <n v="23088"/>
    <x v="0"/>
    <x v="3"/>
    <x v="2"/>
  </r>
  <r>
    <s v="ORD-MXC-GOV-20131101"/>
    <s v="{&quot;type&quot;: &quot;buyerDetails&quot;, &quot;info&quot;: [&quot;origin&quot;: &quot;Mexico&quot;, &quot;segment&quot;: &quot;Government&quot;, &quot;date&quot;: &quot;1&quot;, &quot;month&quot;: &quot;11&quot;, &quot;year&quot;: &quot;2013&quot;, &quot;units&quot;: &quot;2706&quot;]}"/>
    <x v="1"/>
    <x v="2"/>
    <x v="2"/>
    <n v="2706"/>
    <n v="0.11"/>
    <x v="2"/>
    <n v="20"/>
    <n v="54120"/>
    <n v="48166.8"/>
    <n v="40048.800000000003"/>
    <x v="0"/>
    <x v="3"/>
    <x v="2"/>
  </r>
  <r>
    <s v="ORD-CND-GOV-20131101"/>
    <s v="{&quot;type&quot;: &quot;buyerDetails&quot;, &quot;info&quot;: [&quot;origin&quot;: &quot;Canada&quot;, &quot;segment&quot;: &quot;Government&quot;, &quot;date&quot;: &quot;1&quot;, &quot;month&quot;: &quot;11&quot;, &quot;year&quot;: &quot;2013&quot;, &quot;units&quot;: &quot;2935&quot;]}"/>
    <x v="4"/>
    <x v="2"/>
    <x v="1"/>
    <n v="2935"/>
    <n v="0.11"/>
    <x v="2"/>
    <n v="300"/>
    <n v="880500"/>
    <n v="783645"/>
    <n v="49895"/>
    <x v="0"/>
    <x v="3"/>
    <x v="2"/>
  </r>
  <r>
    <s v="ORD-USA-MDM-20131101"/>
    <s v="{&quot;type&quot;: &quot;buyerDetails&quot;, &quot;info&quot;: [&quot;origin&quot;: &quot;United States of America&quot;, &quot;segment&quot;: &quot;Midmarket&quot;, &quot;date&quot;: &quot;1&quot;, &quot;month&quot;: &quot;11&quot;, &quot;year&quot;: &quot;2013&quot;, &quot;units&quot;: &quot;2548&quot;]}"/>
    <x v="2"/>
    <x v="0"/>
    <x v="4"/>
    <n v="2548"/>
    <n v="0.12"/>
    <x v="2"/>
    <n v="350"/>
    <n v="891800"/>
    <n v="784784"/>
    <n v="275184"/>
    <x v="0"/>
    <x v="3"/>
    <x v="2"/>
  </r>
  <r>
    <s v="ORD-MXC-SMB-20131101"/>
    <s v="{&quot;type&quot;: &quot;buyerDetails&quot;, &quot;info&quot;: [&quot;origin&quot;: &quot;Mexico&quot;, &quot;segment&quot;: &quot;Small Business&quot;, &quot;date&quot;: &quot;1&quot;, &quot;month&quot;: &quot;11&quot;, &quot;year&quot;: &quot;2013&quot;, &quot;units&quot;: &quot;2605&quot;]}"/>
    <x v="1"/>
    <x v="1"/>
    <x v="5"/>
    <n v="2605"/>
    <n v="0.13"/>
    <x v="2"/>
    <n v="180"/>
    <n v="468900"/>
    <n v="407943"/>
    <n v="95343"/>
    <x v="0"/>
    <x v="3"/>
    <x v="2"/>
  </r>
  <r>
    <s v="ORD-FRA-GOV-20131101"/>
    <s v="{&quot;type&quot;: &quot;buyerDetails&quot;, &quot;info&quot;: [&quot;origin&quot;: &quot;France&quot;, &quot;segment&quot;: &quot;Government&quot;, &quot;date&quot;: &quot;1&quot;, &quot;month&quot;: &quot;11&quot;, &quot;year&quot;: &quot;2013&quot;, &quot;units&quot;: &quot;1922&quot;]}"/>
    <x v="0"/>
    <x v="2"/>
    <x v="0"/>
    <n v="1922"/>
    <n v="0.14000000000000001"/>
    <x v="2"/>
    <n v="20"/>
    <n v="38440"/>
    <n v="33058.400000000001"/>
    <n v="13838.400000000001"/>
    <x v="0"/>
    <x v="3"/>
    <x v="2"/>
  </r>
  <r>
    <s v="ORD-CND-CPR-20131101"/>
    <s v="{&quot;type&quot;: &quot;buyerDetails&quot;, &quot;info&quot;: [&quot;origin&quot;: &quot;Canada&quot;, &quot;segment&quot;: &quot;Channel Partners&quot;, &quot;date&quot;: &quot;1&quot;, &quot;month&quot;: &quot;11&quot;, &quot;year&quot;: &quot;2013&quot;, &quot;units&quot;: &quot;2222&quot;]}"/>
    <x v="4"/>
    <x v="4"/>
    <x v="0"/>
    <n v="2222"/>
    <n v="0.14000000000000001"/>
    <x v="2"/>
    <n v="20"/>
    <n v="44440"/>
    <n v="38218.400000000001"/>
    <n v="15998.400000000001"/>
    <x v="0"/>
    <x v="3"/>
    <x v="2"/>
  </r>
  <r>
    <s v="ORD-GER-SMB-20131101"/>
    <s v="{&quot;type&quot;: &quot;buyerDetails&quot;, &quot;info&quot;: [&quot;origin&quot;: &quot;Germany&quot;, &quot;segment&quot;: &quot;Small Business&quot;, &quot;date&quot;: &quot;1&quot;, &quot;month&quot;: &quot;11&quot;, &quot;year&quot;: &quot;2013&quot;, &quot;units&quot;: &quot;2536&quot;]}"/>
    <x v="3"/>
    <x v="1"/>
    <x v="5"/>
    <n v="2536"/>
    <n v="0.14000000000000001"/>
    <x v="2"/>
    <n v="180"/>
    <n v="456480"/>
    <n v="392572.8"/>
    <n v="88252.799999999988"/>
    <x v="0"/>
    <x v="3"/>
    <x v="2"/>
  </r>
  <r>
    <s v="ORD-MXC-MDM-20131101"/>
    <s v="{&quot;type&quot;: &quot;buyerDetails&quot;, &quot;info&quot;: [&quot;origin&quot;: &quot;Mexico&quot;, &quot;segment&quot;: &quot;Midmarket&quot;, &quot;date&quot;: &quot;1&quot;, &quot;month&quot;: &quot;11&quot;, &quot;year&quot;: &quot;2013&quot;, &quot;units&quot;: &quot;1870&quot;]}"/>
    <x v="1"/>
    <x v="0"/>
    <x v="4"/>
    <n v="1870"/>
    <n v="0.14000000000000001"/>
    <x v="2"/>
    <n v="350"/>
    <n v="654500"/>
    <n v="562870"/>
    <n v="188870"/>
    <x v="0"/>
    <x v="3"/>
    <x v="2"/>
  </r>
  <r>
    <s v="ORD-USA-GOV-20131101"/>
    <s v="{&quot;type&quot;: &quot;buyerDetails&quot;, &quot;info&quot;: [&quot;origin&quot;: &quot;United States of America&quot;, &quot;segment&quot;: &quot;Government&quot;, &quot;date&quot;: &quot;1&quot;, &quot;month&quot;: &quot;11&quot;, &quot;year&quot;: &quot;2013&quot;, &quot;units&quot;: &quot;2007&quot;]}"/>
    <x v="2"/>
    <x v="2"/>
    <x v="0"/>
    <n v="2007"/>
    <n v="0.15"/>
    <x v="2"/>
    <n v="20"/>
    <n v="40140"/>
    <n v="34119"/>
    <n v="14049"/>
    <x v="0"/>
    <x v="3"/>
    <x v="2"/>
  </r>
  <r>
    <s v="ORD-CND-ENT-20131101"/>
    <s v="{&quot;type&quot;: &quot;buyerDetails&quot;, &quot;info&quot;: [&quot;origin&quot;: &quot;Canada&quot;, &quot;segment&quot;: &quot;Enterprise&quot;, &quot;date&quot;: &quot;1&quot;, &quot;month&quot;: &quot;11&quot;, &quot;year&quot;: &quot;2013&quot;, &quot;units&quot;: &quot;2954&quot;]}"/>
    <x v="4"/>
    <x v="3"/>
    <x v="1"/>
    <n v="2954"/>
    <n v="0.15"/>
    <x v="2"/>
    <n v="300"/>
    <n v="886200"/>
    <n v="753270"/>
    <n v="14770"/>
    <x v="0"/>
    <x v="3"/>
    <x v="2"/>
  </r>
  <r>
    <s v="ORD-MXC-GOV-20131101"/>
    <s v="{&quot;type&quot;: &quot;buyerDetails&quot;, &quot;info&quot;: [&quot;origin&quot;: &quot;Mexico&quot;, &quot;segment&quot;: &quot;Government&quot;, &quot;date&quot;: &quot;1&quot;, &quot;month&quot;: &quot;11&quot;, &quot;year&quot;: &quot;2013&quot;, &quot;units&quot;: &quot;2151&quot;]}"/>
    <x v="1"/>
    <x v="2"/>
    <x v="0"/>
    <n v="2151"/>
    <n v="0.15"/>
    <x v="2"/>
    <n v="20"/>
    <n v="43020"/>
    <n v="36567"/>
    <n v="15057"/>
    <x v="0"/>
    <x v="3"/>
    <x v="2"/>
  </r>
  <r>
    <s v="ORD-USA-SMB-20131101"/>
    <s v="{&quot;type&quot;: &quot;buyerDetails&quot;, &quot;info&quot;: [&quot;origin&quot;: &quot;United States of America&quot;, &quot;segment&quot;: &quot;Small Business&quot;, &quot;date&quot;: &quot;1&quot;, &quot;month&quot;: &quot;11&quot;, &quot;year&quot;: &quot;2013&quot;, &quot;units&quot;: &quot;2574&quot;]}"/>
    <x v="2"/>
    <x v="1"/>
    <x v="5"/>
    <n v="2574"/>
    <n v="0.15"/>
    <x v="2"/>
    <n v="180"/>
    <n v="463320"/>
    <n v="393822"/>
    <n v="84942"/>
    <x v="0"/>
    <x v="3"/>
    <x v="2"/>
  </r>
  <r>
    <s v="ORD-CND-MDM-20131201"/>
    <s v="{&quot;type&quot;: &quot;buyerDetails&quot;, &quot;info&quot;: [&quot;origin&quot;: &quot;Canada&quot;, &quot;segment&quot;: &quot;Midmarket&quot;, &quot;date&quot;: &quot;1&quot;, &quot;month&quot;: &quot;12&quot;, &quot;year&quot;: &quot;2013&quot;, &quot;units&quot;: &quot;2152&quot;]}"/>
    <x v="4"/>
    <x v="0"/>
    <x v="0"/>
    <n v="2152"/>
    <n v="0"/>
    <x v="3"/>
    <n v="20"/>
    <n v="43040"/>
    <n v="43040"/>
    <n v="21520"/>
    <x v="0"/>
    <x v="0"/>
    <x v="3"/>
  </r>
  <r>
    <s v="ORD-USA-GOV-20131201"/>
    <s v="{&quot;type&quot;: &quot;buyerDetails&quot;, &quot;info&quot;: [&quot;origin&quot;: &quot;United States of America&quot;, &quot;segment&quot;: &quot;Government&quot;, &quot;date&quot;: &quot;1&quot;, &quot;month&quot;: &quot;12&quot;, &quot;year&quot;: &quot;2013&quot;, &quot;units&quot;: &quot;266&quot;]}"/>
    <x v="2"/>
    <x v="2"/>
    <x v="1"/>
    <n v="266"/>
    <n v="0.02"/>
    <x v="3"/>
    <n v="300"/>
    <n v="79800"/>
    <n v="78204"/>
    <n v="11704"/>
    <x v="0"/>
    <x v="1"/>
    <x v="3"/>
  </r>
  <r>
    <s v="ORD-USA-MDM-20131201"/>
    <s v="{&quot;type&quot;: &quot;buyerDetails&quot;, &quot;info&quot;: [&quot;origin&quot;: &quot;United States of America&quot;, &quot;segment&quot;: &quot;Midmarket&quot;, &quot;date&quot;: &quot;1&quot;, &quot;month&quot;: &quot;12&quot;, &quot;year&quot;: &quot;2013&quot;, &quot;units&quot;: &quot;1925&quot;]}"/>
    <x v="2"/>
    <x v="0"/>
    <x v="0"/>
    <n v="1925"/>
    <n v="0.02"/>
    <x v="3"/>
    <n v="20"/>
    <n v="38500"/>
    <n v="37730"/>
    <n v="18480"/>
    <x v="0"/>
    <x v="1"/>
    <x v="3"/>
  </r>
  <r>
    <s v="ORD-USA-GOV-20131201"/>
    <s v="{&quot;type&quot;: &quot;buyerDetails&quot;, &quot;info&quot;: [&quot;origin&quot;: &quot;United States of America&quot;, &quot;segment&quot;: &quot;Government&quot;, &quot;date&quot;: &quot;1&quot;, &quot;month&quot;: &quot;12&quot;, &quot;year&quot;: &quot;2013&quot;, &quot;units&quot;: &quot;2013&quot;]}"/>
    <x v="2"/>
    <x v="2"/>
    <x v="0"/>
    <n v="2013"/>
    <n v="0.02"/>
    <x v="3"/>
    <n v="20"/>
    <n v="40260"/>
    <n v="39454.800000000003"/>
    <n v="19324.800000000003"/>
    <x v="0"/>
    <x v="1"/>
    <x v="3"/>
  </r>
  <r>
    <s v="ORD-MXC-GOV-20131201"/>
    <s v="{&quot;type&quot;: &quot;buyerDetails&quot;, &quot;info&quot;: [&quot;origin&quot;: &quot;Mexico&quot;, &quot;segment&quot;: &quot;Government&quot;, &quot;date&quot;: &quot;1&quot;, &quot;month&quot;: &quot;12&quot;, &quot;year&quot;: &quot;2013&quot;, &quot;units&quot;: &quot;544&quot;]}"/>
    <x v="1"/>
    <x v="2"/>
    <x v="5"/>
    <n v="544"/>
    <n v="0.02"/>
    <x v="3"/>
    <n v="180"/>
    <n v="97920"/>
    <n v="95961.599999999991"/>
    <n v="30681.599999999991"/>
    <x v="0"/>
    <x v="1"/>
    <x v="3"/>
  </r>
  <r>
    <s v="ORD-MXC-GOV-20131201"/>
    <s v="{&quot;type&quot;: &quot;buyerDetails&quot;, &quot;info&quot;: [&quot;origin&quot;: &quot;Mexico&quot;, &quot;segment&quot;: &quot;Government&quot;, &quot;date&quot;: &quot;1&quot;, &quot;month&quot;: &quot;12&quot;, &quot;year&quot;: &quot;2013&quot;, &quot;units&quot;: &quot;1940&quot;]}"/>
    <x v="1"/>
    <x v="2"/>
    <x v="1"/>
    <n v="1940"/>
    <n v="0.02"/>
    <x v="3"/>
    <n v="300"/>
    <n v="582000"/>
    <n v="570360"/>
    <n v="85360"/>
    <x v="0"/>
    <x v="1"/>
    <x v="3"/>
  </r>
  <r>
    <s v="ORD-CND-CPR-20131201"/>
    <s v="{&quot;type&quot;: &quot;buyerDetails&quot;, &quot;info&quot;: [&quot;origin&quot;: &quot;Canada&quot;, &quot;segment&quot;: &quot;Channel Partners&quot;, &quot;date&quot;: &quot;1&quot;, &quot;month&quot;: &quot;12&quot;, &quot;year&quot;: &quot;2013&quot;, &quot;units&quot;: &quot;908&quot;]}"/>
    <x v="4"/>
    <x v="4"/>
    <x v="2"/>
    <n v="908"/>
    <n v="0.03"/>
    <x v="3"/>
    <n v="20"/>
    <n v="18160"/>
    <n v="17615.2"/>
    <n v="14891.2"/>
    <x v="0"/>
    <x v="1"/>
    <x v="3"/>
  </r>
  <r>
    <s v="ORD-FRA-MDM-20131201"/>
    <s v="{&quot;type&quot;: &quot;buyerDetails&quot;, &quot;info&quot;: [&quot;origin&quot;: &quot;France&quot;, &quot;segment&quot;: &quot;Midmarket&quot;, &quot;date&quot;: &quot;1&quot;, &quot;month&quot;: &quot;12&quot;, &quot;year&quot;: &quot;2013&quot;, &quot;units&quot;: &quot;2261&quot;]}"/>
    <x v="0"/>
    <x v="0"/>
    <x v="0"/>
    <n v="2261"/>
    <n v="3.9999999999999994E-2"/>
    <x v="3"/>
    <n v="20"/>
    <n v="45220"/>
    <n v="43411.199999999997"/>
    <n v="20801.199999999997"/>
    <x v="0"/>
    <x v="1"/>
    <x v="3"/>
  </r>
  <r>
    <s v="ORD-CND-GOV-20131201"/>
    <s v="{&quot;type&quot;: &quot;buyerDetails&quot;, &quot;info&quot;: [&quot;origin&quot;: &quot;Canada&quot;, &quot;segment&quot;: &quot;Government&quot;, &quot;date&quot;: &quot;1&quot;, &quot;month&quot;: &quot;12&quot;, &quot;year&quot;: &quot;2013&quot;, &quot;units&quot;: &quot;1778&quot;]}"/>
    <x v="4"/>
    <x v="2"/>
    <x v="4"/>
    <n v="1778"/>
    <n v="0.04"/>
    <x v="3"/>
    <n v="350"/>
    <n v="622300"/>
    <n v="597408"/>
    <n v="241808"/>
    <x v="0"/>
    <x v="1"/>
    <x v="3"/>
  </r>
  <r>
    <s v="ORD-MXC-SMB-20131201"/>
    <s v="{&quot;type&quot;: &quot;buyerDetails&quot;, &quot;info&quot;: [&quot;origin&quot;: &quot;Mexico&quot;, &quot;segment&quot;: &quot;Small Business&quot;, &quot;date&quot;: &quot;1&quot;, &quot;month&quot;: &quot;12&quot;, &quot;year&quot;: &quot;2013&quot;, &quot;units&quot;: &quot;1100&quot;]}"/>
    <x v="1"/>
    <x v="1"/>
    <x v="3"/>
    <n v="1100"/>
    <n v="0.05"/>
    <x v="3"/>
    <n v="15"/>
    <n v="16500"/>
    <n v="15675"/>
    <n v="10175"/>
    <x v="0"/>
    <x v="2"/>
    <x v="3"/>
  </r>
  <r>
    <s v="ORD-CND-GOV-20131201"/>
    <s v="{&quot;type&quot;: &quot;buyerDetails&quot;, &quot;info&quot;: [&quot;origin&quot;: &quot;Canada&quot;, &quot;segment&quot;: &quot;Government&quot;, &quot;date&quot;: &quot;1&quot;, &quot;month&quot;: &quot;12&quot;, &quot;year&quot;: &quot;2013&quot;, &quot;units&quot;: &quot;1802&quot;]}"/>
    <x v="4"/>
    <x v="2"/>
    <x v="0"/>
    <n v="1802"/>
    <n v="0.05"/>
    <x v="3"/>
    <n v="20"/>
    <n v="36040"/>
    <n v="34238"/>
    <n v="16218"/>
    <x v="0"/>
    <x v="2"/>
    <x v="3"/>
  </r>
  <r>
    <s v="ORD-GER-MDM-20131201"/>
    <s v="{&quot;type&quot;: &quot;buyerDetails&quot;, &quot;info&quot;: [&quot;origin&quot;: &quot;Germany&quot;, &quot;segment&quot;: &quot;Midmarket&quot;, &quot;date&quot;: &quot;1&quot;, &quot;month&quot;: &quot;12&quot;, &quot;year&quot;: &quot;2013&quot;, &quot;units&quot;: &quot;2116&quot;]}"/>
    <x v="3"/>
    <x v="0"/>
    <x v="0"/>
    <n v="2116"/>
    <n v="0.05"/>
    <x v="3"/>
    <n v="20"/>
    <n v="42320"/>
    <n v="40204"/>
    <n v="19044"/>
    <x v="0"/>
    <x v="2"/>
    <x v="3"/>
  </r>
  <r>
    <s v="ORD-FRA-GOV-20131201"/>
    <s v="{&quot;type&quot;: &quot;buyerDetails&quot;, &quot;info&quot;: [&quot;origin&quot;: &quot;France&quot;, &quot;segment&quot;: &quot;Government&quot;, &quot;date&quot;: &quot;1&quot;, &quot;month&quot;: &quot;12&quot;, &quot;year&quot;: &quot;2013&quot;, &quot;units&quot;: &quot;2136&quot;]}"/>
    <x v="0"/>
    <x v="2"/>
    <x v="0"/>
    <n v="2136"/>
    <n v="0.05"/>
    <x v="3"/>
    <n v="20"/>
    <n v="42720"/>
    <n v="40584"/>
    <n v="19224"/>
    <x v="0"/>
    <x v="2"/>
    <x v="3"/>
  </r>
  <r>
    <s v="ORD-FRA-GOV-20131201"/>
    <s v="{&quot;type&quot;: &quot;buyerDetails&quot;, &quot;info&quot;: [&quot;origin&quot;: &quot;France&quot;, &quot;segment&quot;: &quot;Government&quot;, &quot;date&quot;: &quot;1&quot;, &quot;month&quot;: &quot;12&quot;, &quot;year&quot;: &quot;2013&quot;, &quot;units&quot;: &quot;1033&quot;]}"/>
    <x v="0"/>
    <x v="2"/>
    <x v="5"/>
    <n v="1033"/>
    <n v="0.05"/>
    <x v="3"/>
    <n v="180"/>
    <n v="185940"/>
    <n v="176643"/>
    <n v="52683"/>
    <x v="0"/>
    <x v="2"/>
    <x v="3"/>
  </r>
  <r>
    <s v="ORD-GER-ENT-20131201"/>
    <s v="{&quot;type&quot;: &quot;buyerDetails&quot;, &quot;info&quot;: [&quot;origin&quot;: &quot;Germany&quot;, &quot;segment&quot;: &quot;Enterprise&quot;, &quot;date&quot;: &quot;1&quot;, &quot;month&quot;: &quot;12&quot;, &quot;year&quot;: &quot;2013&quot;, &quot;units&quot;: &quot;887&quot;]}"/>
    <x v="3"/>
    <x v="3"/>
    <x v="2"/>
    <n v="887"/>
    <n v="0.06"/>
    <x v="3"/>
    <n v="20"/>
    <n v="17740"/>
    <n v="16675.599999999999"/>
    <n v="14014.599999999999"/>
    <x v="0"/>
    <x v="2"/>
    <x v="3"/>
  </r>
  <r>
    <s v="ORD-CND-SMB-20131201"/>
    <s v="{&quot;type&quot;: &quot;buyerDetails&quot;, &quot;info&quot;: [&quot;origin&quot;: &quot;Canada&quot;, &quot;segment&quot;: &quot;Small Business&quot;, &quot;date&quot;: &quot;1&quot;, &quot;month&quot;: &quot;12&quot;, &quot;year&quot;: &quot;2013&quot;, &quot;units&quot;: &quot;2436&quot;]}"/>
    <x v="4"/>
    <x v="1"/>
    <x v="1"/>
    <n v="2436"/>
    <n v="0.06"/>
    <x v="3"/>
    <n v="300"/>
    <n v="730800"/>
    <n v="686952"/>
    <n v="77952"/>
    <x v="0"/>
    <x v="2"/>
    <x v="3"/>
  </r>
  <r>
    <s v="ORD-GER-GOV-20131201"/>
    <s v="{&quot;type&quot;: &quot;buyerDetails&quot;, &quot;info&quot;: [&quot;origin&quot;: &quot;Germany&quot;, &quot;segment&quot;: &quot;Government&quot;, &quot;date&quot;: &quot;1&quot;, &quot;month&quot;: &quot;12&quot;, &quot;year&quot;: &quot;2013&quot;, &quot;units&quot;: &quot;2125&quot;]}"/>
    <x v="3"/>
    <x v="2"/>
    <x v="0"/>
    <n v="2125"/>
    <n v="7.0000000000000007E-2"/>
    <x v="3"/>
    <n v="20"/>
    <n v="42500"/>
    <n v="39525"/>
    <n v="18275"/>
    <x v="0"/>
    <x v="2"/>
    <x v="3"/>
  </r>
  <r>
    <s v="ORD-GER-GOV-20131201"/>
    <s v="{&quot;type&quot;: &quot;buyerDetails&quot;, &quot;info&quot;: [&quot;origin&quot;: &quot;Germany&quot;, &quot;segment&quot;: &quot;Government&quot;, &quot;date&quot;: &quot;1&quot;, &quot;month&quot;: &quot;12&quot;, &quot;year&quot;: &quot;2013&quot;, &quot;units&quot;: &quot;588&quot;]}"/>
    <x v="3"/>
    <x v="2"/>
    <x v="5"/>
    <n v="588"/>
    <n v="7.0000000000000007E-2"/>
    <x v="3"/>
    <n v="180"/>
    <n v="105840"/>
    <n v="98431.2"/>
    <n v="27871.199999999997"/>
    <x v="0"/>
    <x v="2"/>
    <x v="3"/>
  </r>
  <r>
    <s v="ORD-USA-GOV-20131201"/>
    <s v="{&quot;type&quot;: &quot;buyerDetails&quot;, &quot;info&quot;: [&quot;origin&quot;: &quot;United States of America&quot;, &quot;segment&quot;: &quot;Government&quot;, &quot;date&quot;: &quot;1&quot;, &quot;month&quot;: &quot;12&quot;, &quot;year&quot;: &quot;2013&quot;, &quot;units&quot;: &quot;1421&quot;]}"/>
    <x v="2"/>
    <x v="2"/>
    <x v="5"/>
    <n v="1421"/>
    <n v="7.0000000000000007E-2"/>
    <x v="3"/>
    <n v="180"/>
    <n v="255780"/>
    <n v="237875.4"/>
    <n v="67355.399999999994"/>
    <x v="0"/>
    <x v="2"/>
    <x v="3"/>
  </r>
  <r>
    <s v="ORD-MXC-GOV-20131201"/>
    <s v="{&quot;type&quot;: &quot;buyerDetails&quot;, &quot;info&quot;: [&quot;origin&quot;: &quot;Mexico&quot;, &quot;segment&quot;: &quot;Government&quot;, &quot;date&quot;: &quot;1&quot;, &quot;month&quot;: &quot;12&quot;, &quot;year&quot;: &quot;2013&quot;, &quot;units&quot;: &quot;1946&quot;]}"/>
    <x v="1"/>
    <x v="2"/>
    <x v="0"/>
    <n v="1946"/>
    <n v="0.08"/>
    <x v="3"/>
    <n v="20"/>
    <n v="38920"/>
    <n v="35806.400000000001"/>
    <n v="16346.400000000001"/>
    <x v="0"/>
    <x v="2"/>
    <x v="3"/>
  </r>
  <r>
    <s v="ORD-USA-SMB-20131201"/>
    <s v="{&quot;type&quot;: &quot;buyerDetails&quot;, &quot;info&quot;: [&quot;origin&quot;: &quot;United States of America&quot;, &quot;segment&quot;: &quot;Small Business&quot;, &quot;date&quot;: &quot;1&quot;, &quot;month&quot;: &quot;12&quot;, &quot;year&quot;: &quot;2013&quot;, &quot;units&quot;: &quot;808&quot;]}"/>
    <x v="2"/>
    <x v="1"/>
    <x v="1"/>
    <n v="808"/>
    <n v="0.08"/>
    <x v="3"/>
    <n v="300"/>
    <n v="242400"/>
    <n v="223008"/>
    <n v="21008"/>
    <x v="0"/>
    <x v="2"/>
    <x v="3"/>
  </r>
  <r>
    <s v="ORD-MXC-CPR-20131201"/>
    <s v="{&quot;type&quot;: &quot;buyerDetails&quot;, &quot;info&quot;: [&quot;origin&quot;: &quot;Mexico&quot;, &quot;segment&quot;: &quot;Channel Partners&quot;, &quot;date&quot;: &quot;1&quot;, &quot;month&quot;: &quot;12&quot;, &quot;year&quot;: &quot;2013&quot;, &quot;units&quot;: &quot;1375&quot;]}"/>
    <x v="1"/>
    <x v="4"/>
    <x v="4"/>
    <n v="1375"/>
    <n v="0.08"/>
    <x v="3"/>
    <n v="350"/>
    <n v="481250"/>
    <n v="442750"/>
    <n v="167750"/>
    <x v="0"/>
    <x v="2"/>
    <x v="3"/>
  </r>
  <r>
    <s v="ORD-GER-SMB-20131201"/>
    <s v="{&quot;type&quot;: &quot;buyerDetails&quot;, &quot;info&quot;: [&quot;origin&quot;: &quot;Germany&quot;, &quot;segment&quot;: &quot;Small Business&quot;, &quot;date&quot;: &quot;1&quot;, &quot;month&quot;: &quot;12&quot;, &quot;year&quot;: &quot;2013&quot;, &quot;units&quot;: &quot;334&quot;]}"/>
    <x v="3"/>
    <x v="1"/>
    <x v="3"/>
    <n v="334"/>
    <n v="0.09"/>
    <x v="3"/>
    <n v="15"/>
    <n v="5010"/>
    <n v="4559.1000000000004"/>
    <n v="2889.1000000000004"/>
    <x v="0"/>
    <x v="2"/>
    <x v="3"/>
  </r>
  <r>
    <s v="ORD-CND-GOV-20131201"/>
    <s v="{&quot;type&quot;: &quot;buyerDetails&quot;, &quot;info&quot;: [&quot;origin&quot;: &quot;Canada&quot;, &quot;segment&quot;: &quot;Government&quot;, &quot;date&quot;: &quot;1&quot;, &quot;month&quot;: &quot;12&quot;, &quot;year&quot;: &quot;2013&quot;, &quot;units&quot;: &quot;1611&quot;]}"/>
    <x v="4"/>
    <x v="2"/>
    <x v="3"/>
    <n v="1611"/>
    <n v="0.09"/>
    <x v="3"/>
    <n v="15"/>
    <n v="24165"/>
    <n v="21990.15"/>
    <n v="13935.150000000001"/>
    <x v="0"/>
    <x v="2"/>
    <x v="3"/>
  </r>
  <r>
    <s v="ORD-FRA-CPR-20131201"/>
    <s v="{&quot;type&quot;: &quot;buyerDetails&quot;, &quot;info&quot;: [&quot;origin&quot;: &quot;France&quot;, &quot;segment&quot;: &quot;Channel Partners&quot;, &quot;date&quot;: &quot;1&quot;, &quot;month&quot;: &quot;12&quot;, &quot;year&quot;: &quot;2013&quot;, &quot;units&quot;: &quot;306&quot;]}"/>
    <x v="0"/>
    <x v="4"/>
    <x v="4"/>
    <n v="306"/>
    <n v="9.0000000000000011E-2"/>
    <x v="3"/>
    <n v="350"/>
    <n v="107100"/>
    <n v="97461"/>
    <n v="36261"/>
    <x v="0"/>
    <x v="2"/>
    <x v="3"/>
  </r>
  <r>
    <s v="ORD-FRA-ENT-20131201"/>
    <s v="{&quot;type&quot;: &quot;buyerDetails&quot;, &quot;info&quot;: [&quot;origin&quot;: &quot;France&quot;, &quot;segment&quot;: &quot;Enterprise&quot;, &quot;date&quot;: &quot;1&quot;, &quot;month&quot;: &quot;12&quot;, &quot;year&quot;: &quot;2013&quot;, &quot;units&quot;: &quot;1482&quot;]}"/>
    <x v="0"/>
    <x v="3"/>
    <x v="2"/>
    <n v="1482"/>
    <n v="0.1"/>
    <x v="3"/>
    <n v="20"/>
    <n v="29640"/>
    <n v="26676"/>
    <n v="22230"/>
    <x v="0"/>
    <x v="3"/>
    <x v="3"/>
  </r>
  <r>
    <s v="ORD-GER-GOV-20131201"/>
    <s v="{&quot;type&quot;: &quot;buyerDetails&quot;, &quot;info&quot;: [&quot;origin&quot;: &quot;Germany&quot;, &quot;segment&quot;: &quot;Government&quot;, &quot;date&quot;: &quot;1&quot;, &quot;month&quot;: &quot;12&quot;, &quot;year&quot;: &quot;2013&quot;, &quot;units&quot;: &quot;1870&quot;]}"/>
    <x v="3"/>
    <x v="2"/>
    <x v="1"/>
    <n v="1870"/>
    <n v="0.1"/>
    <x v="3"/>
    <n v="300"/>
    <n v="561000"/>
    <n v="504900"/>
    <n v="37400"/>
    <x v="0"/>
    <x v="3"/>
    <x v="3"/>
  </r>
  <r>
    <s v="ORD-CND-ENT-20131201"/>
    <s v="{&quot;type&quot;: &quot;buyerDetails&quot;, &quot;info&quot;: [&quot;origin&quot;: &quot;Canada&quot;, &quot;segment&quot;: &quot;Enterprise&quot;, &quot;date&quot;: &quot;1&quot;, &quot;month&quot;: &quot;12&quot;, &quot;year&quot;: &quot;2013&quot;, &quot;units&quot;: &quot;1916&quot;]}"/>
    <x v="4"/>
    <x v="3"/>
    <x v="5"/>
    <n v="1916"/>
    <n v="0.1"/>
    <x v="3"/>
    <n v="180"/>
    <n v="344880"/>
    <n v="310392"/>
    <n v="80472"/>
    <x v="0"/>
    <x v="3"/>
    <x v="3"/>
  </r>
  <r>
    <s v="ORD-MXC-MDM-20131201"/>
    <s v="{&quot;type&quot;: &quot;buyerDetails&quot;, &quot;info&quot;: [&quot;origin&quot;: &quot;Mexico&quot;, &quot;segment&quot;: &quot;Midmarket&quot;, &quot;date&quot;: &quot;1&quot;, &quot;month&quot;: &quot;12&quot;, &quot;year&quot;: &quot;2013&quot;, &quot;units&quot;: &quot;380&quot;]}"/>
    <x v="1"/>
    <x v="0"/>
    <x v="0"/>
    <n v="380"/>
    <n v="0.12"/>
    <x v="3"/>
    <n v="20"/>
    <n v="7600"/>
    <n v="6688"/>
    <n v="2888"/>
    <x v="0"/>
    <x v="3"/>
    <x v="3"/>
  </r>
  <r>
    <s v="ORD-FRA-SMB-20131201"/>
    <s v="{&quot;type&quot;: &quot;buyerDetails&quot;, &quot;info&quot;: [&quot;origin&quot;: &quot;France&quot;, &quot;segment&quot;: &quot;Small Business&quot;, &quot;date&quot;: &quot;1&quot;, &quot;month&quot;: &quot;12&quot;, &quot;year&quot;: &quot;2013&quot;, &quot;units&quot;: &quot;1186&quot;]}"/>
    <x v="0"/>
    <x v="1"/>
    <x v="3"/>
    <n v="1186"/>
    <n v="0.12"/>
    <x v="3"/>
    <n v="15"/>
    <n v="17790"/>
    <n v="15655.2"/>
    <n v="9725.2000000000007"/>
    <x v="0"/>
    <x v="3"/>
    <x v="3"/>
  </r>
  <r>
    <s v="ORD-GER-CPR-20131201"/>
    <s v="{&quot;type&quot;: &quot;buyerDetails&quot;, &quot;info&quot;: [&quot;origin&quot;: &quot;Germany&quot;, &quot;segment&quot;: &quot;Channel Partners&quot;, &quot;date&quot;: &quot;1&quot;, &quot;month&quot;: &quot;12&quot;, &quot;year&quot;: &quot;2013&quot;, &quot;units&quot;: &quot;1770&quot;]}"/>
    <x v="3"/>
    <x v="4"/>
    <x v="4"/>
    <n v="1770"/>
    <n v="0.13"/>
    <x v="3"/>
    <n v="350"/>
    <n v="619500"/>
    <n v="538965"/>
    <n v="184965"/>
    <x v="0"/>
    <x v="3"/>
    <x v="3"/>
  </r>
  <r>
    <s v="ORD-USA-CPR-20131201"/>
    <s v="{&quot;type&quot;: &quot;buyerDetails&quot;, &quot;info&quot;: [&quot;origin&quot;: &quot;United States of America&quot;, &quot;segment&quot;: &quot;Channel Partners&quot;, &quot;date&quot;: &quot;1&quot;, &quot;month&quot;: &quot;12&quot;, &quot;year&quot;: &quot;2013&quot;, &quot;units&quot;: &quot;2015&quot;]}"/>
    <x v="2"/>
    <x v="4"/>
    <x v="4"/>
    <n v="2015"/>
    <n v="0.13999999999999999"/>
    <x v="3"/>
    <n v="350"/>
    <n v="705250"/>
    <n v="606515"/>
    <n v="203515"/>
    <x v="0"/>
    <x v="3"/>
    <x v="3"/>
  </r>
  <r>
    <s v="ORD-FRA-GOV-20131201"/>
    <s v="{&quot;type&quot;: &quot;buyerDetails&quot;, &quot;info&quot;: [&quot;origin&quot;: &quot;France&quot;, &quot;segment&quot;: &quot;Government&quot;, &quot;date&quot;: &quot;1&quot;, &quot;month&quot;: &quot;12&quot;, &quot;year&quot;: &quot;2013&quot;, &quot;units&quot;: &quot;1281&quot;]}"/>
    <x v="0"/>
    <x v="2"/>
    <x v="1"/>
    <n v="1281"/>
    <n v="0.14000000000000001"/>
    <x v="3"/>
    <n v="300"/>
    <n v="384300"/>
    <n v="330498"/>
    <n v="10248"/>
    <x v="0"/>
    <x v="3"/>
    <x v="3"/>
  </r>
  <r>
    <s v="ORD-MXC-ENT-20131201"/>
    <s v="{&quot;type&quot;: &quot;buyerDetails&quot;, &quot;info&quot;: [&quot;origin&quot;: &quot;Mexico&quot;, &quot;segment&quot;: &quot;Enterprise&quot;, &quot;date&quot;: &quot;1&quot;, &quot;month&quot;: &quot;12&quot;, &quot;year&quot;: &quot;2013&quot;, &quot;units&quot;: &quot;2821&quot;]}"/>
    <x v="1"/>
    <x v="3"/>
    <x v="2"/>
    <n v="2821"/>
    <n v="0.14000000000000001"/>
    <x v="3"/>
    <n v="20"/>
    <n v="56420"/>
    <n v="48521.2"/>
    <n v="40058.199999999997"/>
    <x v="0"/>
    <x v="3"/>
    <x v="3"/>
  </r>
  <r>
    <s v="ORD-USA-ENT-20131201"/>
    <s v="{&quot;type&quot;: &quot;buyerDetails&quot;, &quot;info&quot;: [&quot;origin&quot;: &quot;United States of America&quot;, &quot;segment&quot;: &quot;Enterprise&quot;, &quot;date&quot;: &quot;1&quot;, &quot;month&quot;: &quot;12&quot;, &quot;year&quot;: &quot;2013&quot;, &quot;units&quot;: &quot;2438&quot;]}"/>
    <x v="2"/>
    <x v="3"/>
    <x v="5"/>
    <n v="2438"/>
    <n v="0.15"/>
    <x v="3"/>
    <n v="180"/>
    <n v="438840"/>
    <n v="373014"/>
    <n v="80454"/>
    <x v="0"/>
    <x v="3"/>
    <x v="3"/>
  </r>
  <r>
    <s v="ORD-GER-GOV-20140101"/>
    <s v="{&quot;type&quot;: &quot;buyerDetails&quot;, &quot;info&quot;: [&quot;origin&quot;: &quot;Germany&quot;, &quot;segment&quot;: &quot;Government&quot;, &quot;date&quot;: &quot;1&quot;, &quot;month&quot;: &quot;1&quot;, &quot;year&quot;: &quot;2014&quot;, &quot;units&quot;: &quot;1321&quot;]}"/>
    <x v="3"/>
    <x v="2"/>
    <x v="2"/>
    <n v="1321"/>
    <n v="0"/>
    <x v="4"/>
    <n v="20"/>
    <n v="26420"/>
    <n v="26420"/>
    <n v="22457"/>
    <x v="1"/>
    <x v="0"/>
    <x v="4"/>
  </r>
  <r>
    <s v="ORD-CND-GOV-20140101"/>
    <s v="{&quot;type&quot;: &quot;buyerDetails&quot;, &quot;info&quot;: [&quot;origin&quot;: &quot;Canada&quot;, &quot;segment&quot;: &quot;Government&quot;, &quot;date&quot;: &quot;1&quot;, &quot;month&quot;: &quot;1&quot;, &quot;year&quot;: &quot;2014&quot;, &quot;units&quot;: &quot;1618&quot;]}"/>
    <x v="4"/>
    <x v="2"/>
    <x v="2"/>
    <n v="1618"/>
    <n v="0"/>
    <x v="4"/>
    <n v="20"/>
    <n v="32360"/>
    <n v="32360"/>
    <n v="27506"/>
    <x v="1"/>
    <x v="0"/>
    <x v="4"/>
  </r>
  <r>
    <s v="ORD-MXC-GOV-20140101"/>
    <s v="{&quot;type&quot;: &quot;buyerDetails&quot;, &quot;info&quot;: [&quot;origin&quot;: &quot;Mexico&quot;, &quot;segment&quot;: &quot;Government&quot;, &quot;date&quot;: &quot;1&quot;, &quot;month&quot;: &quot;1&quot;, &quot;year&quot;: &quot;2014&quot;, &quot;units&quot;: &quot;1493&quot;]}"/>
    <x v="1"/>
    <x v="2"/>
    <x v="5"/>
    <n v="1493"/>
    <n v="0"/>
    <x v="4"/>
    <n v="180"/>
    <n v="268740"/>
    <n v="268740"/>
    <n v="89580"/>
    <x v="1"/>
    <x v="0"/>
    <x v="4"/>
  </r>
  <r>
    <s v="ORD-FRA-GOV-20140101"/>
    <s v="{&quot;type&quot;: &quot;buyerDetails&quot;, &quot;info&quot;: [&quot;origin&quot;: &quot;France&quot;, &quot;segment&quot;: &quot;Government&quot;, &quot;date&quot;: &quot;1&quot;, &quot;month&quot;: &quot;1&quot;, &quot;year&quot;: &quot;2014&quot;, &quot;units&quot;: &quot;3945&quot;]}"/>
    <x v="0"/>
    <x v="2"/>
    <x v="0"/>
    <n v="3945"/>
    <n v="9.9999999999999985E-3"/>
    <x v="4"/>
    <n v="20"/>
    <n v="78900"/>
    <n v="78111"/>
    <n v="38661"/>
    <x v="1"/>
    <x v="1"/>
    <x v="4"/>
  </r>
  <r>
    <s v="ORD-GER-CPR-20140101"/>
    <s v="{&quot;type&quot;: &quot;buyerDetails&quot;, &quot;info&quot;: [&quot;origin&quot;: &quot;Germany&quot;, &quot;segment&quot;: &quot;Channel Partners&quot;, &quot;date&quot;: &quot;1&quot;, &quot;month&quot;: &quot;1&quot;, &quot;year&quot;: &quot;2014&quot;, &quot;units&quot;: &quot;2479&quot;]}"/>
    <x v="3"/>
    <x v="4"/>
    <x v="1"/>
    <n v="2479"/>
    <n v="3.0000000000000002E-2"/>
    <x v="4"/>
    <n v="300"/>
    <n v="743700"/>
    <n v="721389"/>
    <n v="101639"/>
    <x v="1"/>
    <x v="1"/>
    <x v="4"/>
  </r>
  <r>
    <s v="ORD-FRA-SMB-20140101"/>
    <s v="{&quot;type&quot;: &quot;buyerDetails&quot;, &quot;info&quot;: [&quot;origin&quot;: &quot;France&quot;, &quot;segment&quot;: &quot;Small Business&quot;, &quot;date&quot;: &quot;1&quot;, &quot;month&quot;: &quot;1&quot;, &quot;year&quot;: &quot;2014&quot;, &quot;units&quot;: &quot;2434&quot;]}"/>
    <x v="0"/>
    <x v="1"/>
    <x v="0"/>
    <n v="2434"/>
    <n v="3.0006162695152012E-2"/>
    <x v="4"/>
    <n v="20"/>
    <n v="48680"/>
    <n v="47219.3"/>
    <n v="22879.300000000003"/>
    <x v="1"/>
    <x v="1"/>
    <x v="4"/>
  </r>
  <r>
    <s v="ORD-CND-GOV-20140101"/>
    <s v="{&quot;type&quot;: &quot;buyerDetails&quot;, &quot;info&quot;: [&quot;origin&quot;: &quot;Canada&quot;, &quot;segment&quot;: &quot;Government&quot;, &quot;date&quot;: &quot;1&quot;, &quot;month&quot;: &quot;1&quot;, &quot;year&quot;: &quot;2014&quot;, &quot;units&quot;: &quot;4251&quot;]}"/>
    <x v="4"/>
    <x v="2"/>
    <x v="0"/>
    <n v="4251"/>
    <n v="0.04"/>
    <x v="4"/>
    <n v="20"/>
    <n v="85020"/>
    <n v="81619.199999999997"/>
    <n v="39109.199999999997"/>
    <x v="1"/>
    <x v="1"/>
    <x v="4"/>
  </r>
  <r>
    <s v="ORD-GER-GOV-20140101"/>
    <s v="{&quot;type&quot;: &quot;buyerDetails&quot;, &quot;info&quot;: [&quot;origin&quot;: &quot;Germany&quot;, &quot;segment&quot;: &quot;Government&quot;, &quot;date&quot;: &quot;1&quot;, &quot;month&quot;: &quot;1&quot;, &quot;year&quot;: &quot;2014&quot;, &quot;units&quot;: &quot;1372&quot;]}"/>
    <x v="3"/>
    <x v="2"/>
    <x v="0"/>
    <n v="1372"/>
    <n v="4.9999999999999996E-2"/>
    <x v="4"/>
    <n v="20"/>
    <n v="27440"/>
    <n v="26068"/>
    <n v="12348"/>
    <x v="1"/>
    <x v="2"/>
    <x v="4"/>
  </r>
  <r>
    <s v="ORD-USA-MDM-20140101"/>
    <s v="{&quot;type&quot;: &quot;buyerDetails&quot;, &quot;info&quot;: [&quot;origin&quot;: &quot;United States of America&quot;, &quot;segment&quot;: &quot;Midmarket&quot;, &quot;date&quot;: &quot;1&quot;, &quot;month&quot;: &quot;1&quot;, &quot;year&quot;: &quot;2014&quot;, &quot;units&quot;: &quot;555&quot;]}"/>
    <x v="2"/>
    <x v="0"/>
    <x v="5"/>
    <n v="555"/>
    <n v="0.05"/>
    <x v="4"/>
    <n v="180"/>
    <n v="99900"/>
    <n v="94905"/>
    <n v="28305"/>
    <x v="1"/>
    <x v="2"/>
    <x v="4"/>
  </r>
  <r>
    <s v="ORD-MXC-MDM-20140101"/>
    <s v="{&quot;type&quot;: &quot;buyerDetails&quot;, &quot;info&quot;: [&quot;origin&quot;: &quot;Mexico&quot;, &quot;segment&quot;: &quot;Midmarket&quot;, &quot;date&quot;: &quot;1&quot;, &quot;month&quot;: &quot;1&quot;, &quot;year&quot;: &quot;2014&quot;, &quot;units&quot;: &quot;2861&quot;]}"/>
    <x v="1"/>
    <x v="0"/>
    <x v="5"/>
    <n v="2861"/>
    <n v="0.05"/>
    <x v="4"/>
    <n v="180"/>
    <n v="514980"/>
    <n v="489231"/>
    <n v="145911"/>
    <x v="1"/>
    <x v="2"/>
    <x v="4"/>
  </r>
  <r>
    <s v="ORD-FRA-GOV-20140101"/>
    <s v="{&quot;type&quot;: &quot;buyerDetails&quot;, &quot;info&quot;: [&quot;origin&quot;: &quot;France&quot;, &quot;segment&quot;: &quot;Government&quot;, &quot;date&quot;: &quot;1&quot;, &quot;month&quot;: &quot;1&quot;, &quot;year&quot;: &quot;2014&quot;, &quot;units&quot;: &quot;1384&quot;]}"/>
    <x v="0"/>
    <x v="2"/>
    <x v="3"/>
    <n v="1384"/>
    <n v="5.0018063583815026E-2"/>
    <x v="4"/>
    <n v="15"/>
    <n v="20760"/>
    <n v="19721.625"/>
    <n v="12801.625"/>
    <x v="1"/>
    <x v="2"/>
    <x v="4"/>
  </r>
  <r>
    <s v="ORD-FRA-ENT-20140101"/>
    <s v="{&quot;type&quot;: &quot;buyerDetails&quot;, &quot;info&quot;: [&quot;origin&quot;: &quot;France&quot;, &quot;segment&quot;: &quot;Enterprise&quot;, &quot;date&quot;: &quot;1&quot;, &quot;month&quot;: &quot;1&quot;, &quot;year&quot;: &quot;2014&quot;, &quot;units&quot;: &quot;1987&quot;]}"/>
    <x v="0"/>
    <x v="3"/>
    <x v="4"/>
    <n v="1987"/>
    <n v="6.0015098137896329E-2"/>
    <x v="4"/>
    <n v="350"/>
    <n v="695450"/>
    <n v="653712.5"/>
    <n v="256312.5"/>
    <x v="1"/>
    <x v="2"/>
    <x v="4"/>
  </r>
  <r>
    <s v="ORD-USA-GOV-20140101"/>
    <s v="{&quot;type&quot;: &quot;buyerDetails&quot;, &quot;info&quot;: [&quot;origin&quot;: &quot;United States of America&quot;, &quot;segment&quot;: &quot;Government&quot;, &quot;date&quot;: &quot;1&quot;, &quot;month&quot;: &quot;1&quot;, &quot;year&quot;: &quot;2014&quot;, &quot;units&quot;: &quot;1117&quot;]}"/>
    <x v="2"/>
    <x v="2"/>
    <x v="2"/>
    <n v="1117"/>
    <n v="6.0026857654431512E-2"/>
    <x v="4"/>
    <n v="20"/>
    <n v="22340"/>
    <n v="20999"/>
    <n v="17648"/>
    <x v="1"/>
    <x v="2"/>
    <x v="4"/>
  </r>
  <r>
    <s v="ORD-MXC-CPR-20140101"/>
    <s v="{&quot;type&quot;: &quot;buyerDetails&quot;, &quot;info&quot;: [&quot;origin&quot;: &quot;Mexico&quot;, &quot;segment&quot;: &quot;Channel Partners&quot;, &quot;date&quot;: &quot;1&quot;, &quot;month&quot;: &quot;1&quot;, &quot;year&quot;: &quot;2014&quot;, &quot;units&quot;: &quot;2340&quot;]}"/>
    <x v="1"/>
    <x v="4"/>
    <x v="3"/>
    <n v="2340"/>
    <n v="6.9999999999999993E-2"/>
    <x v="4"/>
    <n v="15"/>
    <n v="35100"/>
    <n v="32643"/>
    <n v="20943"/>
    <x v="1"/>
    <x v="2"/>
    <x v="4"/>
  </r>
  <r>
    <s v="ORD-CND-CPR-20140101"/>
    <s v="{&quot;type&quot;: &quot;buyerDetails&quot;, &quot;info&quot;: [&quot;origin&quot;: &quot;Canada&quot;, &quot;segment&quot;: &quot;Channel Partners&quot;, &quot;date&quot;: &quot;1&quot;, &quot;month&quot;: &quot;1&quot;, &quot;year&quot;: &quot;2014&quot;, &quot;units&quot;: &quot;3244&quot;]}"/>
    <x v="4"/>
    <x v="4"/>
    <x v="1"/>
    <n v="3244"/>
    <n v="7.0010789149198518E-2"/>
    <x v="4"/>
    <n v="300"/>
    <n v="973200"/>
    <n v="905065.5"/>
    <n v="94065.5"/>
    <x v="1"/>
    <x v="2"/>
    <x v="4"/>
  </r>
  <r>
    <s v="ORD-MXC-GOV-20140101"/>
    <s v="{&quot;type&quot;: &quot;buyerDetails&quot;, &quot;info&quot;: [&quot;origin&quot;: &quot;Mexico&quot;, &quot;segment&quot;: &quot;Government&quot;, &quot;date&quot;: &quot;1&quot;, &quot;month&quot;: &quot;1&quot;, &quot;year&quot;: &quot;2014&quot;, &quot;units&quot;: &quot;2417&quot;]}"/>
    <x v="1"/>
    <x v="2"/>
    <x v="0"/>
    <n v="2417"/>
    <n v="0.09"/>
    <x v="4"/>
    <n v="20"/>
    <n v="48340"/>
    <n v="43989.4"/>
    <n v="19819.400000000001"/>
    <x v="1"/>
    <x v="2"/>
    <x v="4"/>
  </r>
  <r>
    <s v="ORD-MXC-SMB-20140101"/>
    <s v="{&quot;type&quot;: &quot;buyerDetails&quot;, &quot;info&quot;: [&quot;origin&quot;: &quot;Mexico&quot;, &quot;segment&quot;: &quot;Small Business&quot;, &quot;date&quot;: &quot;1&quot;, &quot;month&quot;: &quot;1&quot;, &quot;year&quot;: &quot;2014&quot;, &quot;units&quot;: &quot;2565&quot;]}"/>
    <x v="1"/>
    <x v="1"/>
    <x v="0"/>
    <n v="2565"/>
    <n v="0.09"/>
    <x v="4"/>
    <n v="20"/>
    <n v="51300"/>
    <n v="46683"/>
    <n v="21033"/>
    <x v="1"/>
    <x v="2"/>
    <x v="4"/>
  </r>
  <r>
    <s v="ORD-USA-CPR-20140101"/>
    <s v="{&quot;type&quot;: &quot;buyerDetails&quot;, &quot;info&quot;: [&quot;origin&quot;: &quot;United States of America&quot;, &quot;segment&quot;: &quot;Channel Partners&quot;, &quot;date&quot;: &quot;1&quot;, &quot;month&quot;: &quot;1&quot;, &quot;year&quot;: &quot;2014&quot;, &quot;units&quot;: &quot;1956&quot;]}"/>
    <x v="2"/>
    <x v="4"/>
    <x v="1"/>
    <n v="1956"/>
    <n v="0.09"/>
    <x v="4"/>
    <n v="300"/>
    <n v="586800"/>
    <n v="533988"/>
    <n v="44988"/>
    <x v="1"/>
    <x v="2"/>
    <x v="4"/>
  </r>
  <r>
    <s v="ORD-GER-MDM-20140101"/>
    <s v="{&quot;type&quot;: &quot;buyerDetails&quot;, &quot;info&quot;: [&quot;origin&quot;: &quot;Germany&quot;, &quot;segment&quot;: &quot;Midmarket&quot;, &quot;date&quot;: &quot;1&quot;, &quot;month&quot;: &quot;1&quot;, &quot;year&quot;: &quot;2014&quot;, &quot;units&quot;: &quot;681&quot;]}"/>
    <x v="3"/>
    <x v="0"/>
    <x v="5"/>
    <n v="681"/>
    <n v="0.1"/>
    <x v="4"/>
    <n v="180"/>
    <n v="122580"/>
    <n v="110322"/>
    <n v="28602"/>
    <x v="1"/>
    <x v="3"/>
    <x v="4"/>
  </r>
  <r>
    <s v="ORD-USA-ENT-20140101"/>
    <s v="{&quot;type&quot;: &quot;buyerDetails&quot;, &quot;info&quot;: [&quot;origin&quot;: &quot;United States of America&quot;, &quot;segment&quot;: &quot;Enterprise&quot;, &quot;date&quot;: &quot;1&quot;, &quot;month&quot;: &quot;1&quot;, &quot;year&quot;: &quot;2014&quot;, &quot;units&quot;: &quot;579&quot;]}"/>
    <x v="2"/>
    <x v="3"/>
    <x v="4"/>
    <n v="579"/>
    <n v="0.1"/>
    <x v="4"/>
    <n v="350"/>
    <n v="202650"/>
    <n v="182385"/>
    <n v="66585"/>
    <x v="1"/>
    <x v="3"/>
    <x v="4"/>
  </r>
  <r>
    <s v="ORD-GER-GOV-20140101"/>
    <s v="{&quot;type&quot;: &quot;buyerDetails&quot;, &quot;info&quot;: [&quot;origin&quot;: &quot;Germany&quot;, &quot;segment&quot;: &quot;Government&quot;, &quot;date&quot;: &quot;1&quot;, &quot;month&quot;: &quot;1&quot;, &quot;year&quot;: &quot;2014&quot;, &quot;units&quot;: &quot;766&quot;]}"/>
    <x v="3"/>
    <x v="2"/>
    <x v="3"/>
    <n v="766"/>
    <n v="0.11"/>
    <x v="4"/>
    <n v="15"/>
    <n v="11490"/>
    <n v="10226.1"/>
    <n v="6396.1"/>
    <x v="1"/>
    <x v="3"/>
    <x v="4"/>
  </r>
  <r>
    <s v="ORD-CND-SMB-20140101"/>
    <s v="{&quot;type&quot;: &quot;buyerDetails&quot;, &quot;info&quot;: [&quot;origin&quot;: &quot;Canada&quot;, &quot;segment&quot;: &quot;Small Business&quot;, &quot;date&quot;: &quot;1&quot;, &quot;month&quot;: &quot;1&quot;, &quot;year&quot;: &quot;2014&quot;, &quot;units&quot;: &quot;873&quot;]}"/>
    <x v="4"/>
    <x v="1"/>
    <x v="0"/>
    <n v="873"/>
    <n v="0.11"/>
    <x v="4"/>
    <n v="20"/>
    <n v="17460"/>
    <n v="15539.4"/>
    <n v="6809.4"/>
    <x v="1"/>
    <x v="3"/>
    <x v="4"/>
  </r>
  <r>
    <s v="ORD-MXC-ENT-20140101"/>
    <s v="{&quot;type&quot;: &quot;buyerDetails&quot;, &quot;info&quot;: [&quot;origin&quot;: &quot;Mexico&quot;, &quot;segment&quot;: &quot;Enterprise&quot;, &quot;date&quot;: &quot;1&quot;, &quot;month&quot;: &quot;1&quot;, &quot;year&quot;: &quot;2014&quot;, &quot;units&quot;: &quot;554&quot;]}"/>
    <x v="1"/>
    <x v="3"/>
    <x v="1"/>
    <n v="554"/>
    <n v="0.11"/>
    <x v="4"/>
    <n v="300"/>
    <n v="166200"/>
    <n v="147918"/>
    <n v="9418"/>
    <x v="1"/>
    <x v="3"/>
    <x v="4"/>
  </r>
  <r>
    <s v="ORD-CND-MDM-20140101"/>
    <s v="{&quot;type&quot;: &quot;buyerDetails&quot;, &quot;info&quot;: [&quot;origin&quot;: &quot;Canada&quot;, &quot;segment&quot;: &quot;Midmarket&quot;, &quot;date&quot;: &quot;1&quot;, &quot;month&quot;: &quot;1&quot;, &quot;year&quot;: &quot;2014&quot;, &quot;units&quot;: &quot;384&quot;]}"/>
    <x v="4"/>
    <x v="0"/>
    <x v="5"/>
    <n v="384"/>
    <n v="0.11"/>
    <x v="4"/>
    <n v="180"/>
    <n v="69120"/>
    <n v="61516.800000000003"/>
    <n v="15436.800000000003"/>
    <x v="1"/>
    <x v="3"/>
    <x v="4"/>
  </r>
  <r>
    <s v="ORD-FRA-CPR-20140101"/>
    <s v="{&quot;type&quot;: &quot;buyerDetails&quot;, &quot;info&quot;: [&quot;origin&quot;: &quot;France&quot;, &quot;segment&quot;: &quot;Channel Partners&quot;, &quot;date&quot;: &quot;1&quot;, &quot;month&quot;: &quot;1&quot;, &quot;year&quot;: &quot;2014&quot;, &quot;units&quot;: &quot;1734&quot;]}"/>
    <x v="0"/>
    <x v="4"/>
    <x v="1"/>
    <n v="1734"/>
    <n v="0.11"/>
    <x v="4"/>
    <n v="300"/>
    <n v="520200"/>
    <n v="462978"/>
    <n v="29478"/>
    <x v="1"/>
    <x v="3"/>
    <x v="4"/>
  </r>
  <r>
    <s v="ORD-MXC-GOV-20140101"/>
    <s v="{&quot;type&quot;: &quot;buyerDetails&quot;, &quot;info&quot;: [&quot;origin&quot;: &quot;Mexico&quot;, &quot;segment&quot;: &quot;Government&quot;, &quot;date&quot;: &quot;1&quot;, &quot;month&quot;: &quot;1&quot;, &quot;year&quot;: &quot;2014&quot;, &quot;units&quot;: &quot;2629&quot;]}"/>
    <x v="1"/>
    <x v="2"/>
    <x v="4"/>
    <n v="2629"/>
    <n v="0.11"/>
    <x v="4"/>
    <n v="350"/>
    <n v="920150"/>
    <n v="818933.5"/>
    <n v="293133.5"/>
    <x v="1"/>
    <x v="3"/>
    <x v="4"/>
  </r>
  <r>
    <s v="ORD-GER-ENT-20140101"/>
    <s v="{&quot;type&quot;: &quot;buyerDetails&quot;, &quot;info&quot;: [&quot;origin&quot;: &quot;Germany&quot;, &quot;segment&quot;: &quot;Enterprise&quot;, &quot;date&quot;: &quot;1&quot;, &quot;month&quot;: &quot;1&quot;, &quot;year&quot;: &quot;2014&quot;, &quot;units&quot;: &quot;3165&quot;]}"/>
    <x v="3"/>
    <x v="3"/>
    <x v="4"/>
    <n v="3165"/>
    <n v="0.11"/>
    <x v="4"/>
    <n v="350"/>
    <n v="1107750"/>
    <n v="985897.5"/>
    <n v="352897.5"/>
    <x v="1"/>
    <x v="3"/>
    <x v="4"/>
  </r>
  <r>
    <s v="ORD-USA-SMB-20140101"/>
    <s v="{&quot;type&quot;: &quot;buyerDetails&quot;, &quot;info&quot;: [&quot;origin&quot;: &quot;United States of America&quot;, &quot;segment&quot;: &quot;Small Business&quot;, &quot;date&quot;: &quot;1&quot;, &quot;month&quot;: &quot;1&quot;, &quot;year&quot;: &quot;2014&quot;, &quot;units&quot;: &quot;3495&quot;]}"/>
    <x v="2"/>
    <x v="1"/>
    <x v="0"/>
    <n v="3495"/>
    <n v="0.12"/>
    <x v="4"/>
    <n v="20"/>
    <n v="69900"/>
    <n v="61512"/>
    <n v="26562"/>
    <x v="1"/>
    <x v="3"/>
    <x v="4"/>
  </r>
  <r>
    <s v="ORD-FRA-GOV-20140101"/>
    <s v="{&quot;type&quot;: &quot;buyerDetails&quot;, &quot;info&quot;: [&quot;origin&quot;: &quot;France&quot;, &quot;segment&quot;: &quot;Government&quot;, &quot;date&quot;: &quot;1&quot;, &quot;month&quot;: &quot;1&quot;, &quot;year&quot;: &quot;2014&quot;, &quot;units&quot;: &quot;2521&quot;]}"/>
    <x v="0"/>
    <x v="2"/>
    <x v="2"/>
    <n v="2521"/>
    <n v="0.12002380007933361"/>
    <x v="4"/>
    <n v="20"/>
    <n v="50420"/>
    <n v="44368.399999999994"/>
    <n v="36805.399999999994"/>
    <x v="1"/>
    <x v="3"/>
    <x v="4"/>
  </r>
  <r>
    <s v="ORD-GER-SMB-20140101"/>
    <s v="{&quot;type&quot;: &quot;buyerDetails&quot;, &quot;info&quot;: [&quot;origin&quot;: &quot;Germany&quot;, &quot;segment&quot;: &quot;Small Business&quot;, &quot;date&quot;: &quot;1&quot;, &quot;month&quot;: &quot;1&quot;, &quot;year&quot;: &quot;2014&quot;, &quot;units&quot;: &quot;807&quot;]}"/>
    <x v="3"/>
    <x v="1"/>
    <x v="0"/>
    <n v="807"/>
    <n v="0.13"/>
    <x v="4"/>
    <n v="20"/>
    <n v="16140"/>
    <n v="14041.8"/>
    <n v="5971.7999999999993"/>
    <x v="1"/>
    <x v="3"/>
    <x v="4"/>
  </r>
  <r>
    <s v="ORD-CND-ENT-20140101"/>
    <s v="{&quot;type&quot;: &quot;buyerDetails&quot;, &quot;info&quot;: [&quot;origin&quot;: &quot;Canada&quot;, &quot;segment&quot;: &quot;Enterprise&quot;, &quot;date&quot;: &quot;1&quot;, &quot;month&quot;: &quot;1&quot;, &quot;year&quot;: &quot;2014&quot;, &quot;units&quot;: &quot;1659&quot;]}"/>
    <x v="4"/>
    <x v="3"/>
    <x v="4"/>
    <n v="1659"/>
    <n v="0.13"/>
    <x v="4"/>
    <n v="350"/>
    <n v="580650"/>
    <n v="505165.5"/>
    <n v="173365.5"/>
    <x v="1"/>
    <x v="3"/>
    <x v="4"/>
  </r>
  <r>
    <s v="ORD-FRA-MDM-20140101"/>
    <s v="{&quot;type&quot;: &quot;buyerDetails&quot;, &quot;info&quot;: [&quot;origin&quot;: &quot;France&quot;, &quot;segment&quot;: &quot;Midmarket&quot;, &quot;date&quot;: &quot;1&quot;, &quot;month&quot;: &quot;1&quot;, &quot;year&quot;: &quot;2014&quot;, &quot;units&quot;: &quot;3997&quot;]}"/>
    <x v="0"/>
    <x v="0"/>
    <x v="5"/>
    <n v="3997"/>
    <n v="0.13001634559252773"/>
    <x v="4"/>
    <n v="180"/>
    <n v="719460"/>
    <n v="625918.43999999994"/>
    <n v="146278.43999999994"/>
    <x v="1"/>
    <x v="3"/>
    <x v="4"/>
  </r>
  <r>
    <s v="ORD-USA-GOV-20140101"/>
    <s v="{&quot;type&quot;: &quot;buyerDetails&quot;, &quot;info&quot;: [&quot;origin&quot;: &quot;United States of America&quot;, &quot;segment&quot;: &quot;Government&quot;, &quot;date&quot;: &quot;1&quot;, &quot;month&quot;: &quot;1&quot;, &quot;year&quot;: &quot;2014&quot;, &quot;units&quot;: &quot;1438&quot;]}"/>
    <x v="2"/>
    <x v="2"/>
    <x v="0"/>
    <n v="1438"/>
    <n v="0.13004569839062188"/>
    <x v="4"/>
    <n v="20"/>
    <n v="28760"/>
    <n v="25019.885714285716"/>
    <n v="10639.885714285716"/>
    <x v="1"/>
    <x v="3"/>
    <x v="4"/>
  </r>
  <r>
    <s v="ORD-USA-GOV-20140101"/>
    <s v="{&quot;type&quot;: &quot;buyerDetails&quot;, &quot;info&quot;: [&quot;origin&quot;: &quot;United States of America&quot;, &quot;segment&quot;: &quot;Government&quot;, &quot;date&quot;: &quot;1&quot;, &quot;month&quot;: &quot;1&quot;, &quot;year&quot;: &quot;2014&quot;, &quot;units&quot;: &quot;982&quot;]}"/>
    <x v="2"/>
    <x v="2"/>
    <x v="3"/>
    <n v="982"/>
    <n v="0.13006619144602852"/>
    <x v="4"/>
    <n v="15"/>
    <n v="14730"/>
    <n v="12814.125"/>
    <n v="7904.125"/>
    <x v="1"/>
    <x v="3"/>
    <x v="4"/>
  </r>
  <r>
    <s v="ORD-CND-GOV-20140101"/>
    <s v="{&quot;type&quot;: &quot;buyerDetails&quot;, &quot;info&quot;: [&quot;origin&quot;: &quot;Canada&quot;, &quot;segment&quot;: &quot;Government&quot;, &quot;date&quot;: &quot;1&quot;, &quot;month&quot;: &quot;1&quot;, &quot;year&quot;: &quot;2014&quot;, &quot;units&quot;: &quot;2227&quot;]}"/>
    <x v="4"/>
    <x v="2"/>
    <x v="3"/>
    <n v="2227"/>
    <n v="0.14003143242029636"/>
    <x v="4"/>
    <n v="15"/>
    <n v="33405"/>
    <n v="28727.25"/>
    <n v="17592.25"/>
    <x v="1"/>
    <x v="3"/>
    <x v="4"/>
  </r>
  <r>
    <s v="ORD-CND-GOV-20140201"/>
    <s v="{&quot;type&quot;: &quot;buyerDetails&quot;, &quot;info&quot;: [&quot;origin&quot;: &quot;Canada&quot;, &quot;segment&quot;: &quot;Government&quot;, &quot;date&quot;: &quot;1&quot;, &quot;month&quot;: &quot;2&quot;, &quot;year&quot;: &quot;2014&quot;, &quot;units&quot;: &quot;292&quot;]}"/>
    <x v="4"/>
    <x v="2"/>
    <x v="0"/>
    <n v="292"/>
    <n v="0"/>
    <x v="5"/>
    <n v="20"/>
    <n v="5840"/>
    <n v="5840"/>
    <n v="2920"/>
    <x v="1"/>
    <x v="0"/>
    <x v="5"/>
  </r>
  <r>
    <s v="ORD-MXC-MDM-20140201"/>
    <s v="{&quot;type&quot;: &quot;buyerDetails&quot;, &quot;info&quot;: [&quot;origin&quot;: &quot;Mexico&quot;, &quot;segment&quot;: &quot;Midmarket&quot;, &quot;date&quot;: &quot;1&quot;, &quot;month&quot;: &quot;2&quot;, &quot;year&quot;: &quot;2014&quot;, &quot;units&quot;: &quot;974&quot;]}"/>
    <x v="1"/>
    <x v="0"/>
    <x v="0"/>
    <n v="974"/>
    <n v="0"/>
    <x v="5"/>
    <n v="20"/>
    <n v="19480"/>
    <n v="19480"/>
    <n v="9740"/>
    <x v="1"/>
    <x v="0"/>
    <x v="5"/>
  </r>
  <r>
    <s v="ORD-CND-SMB-20140201"/>
    <s v="{&quot;type&quot;: &quot;buyerDetails&quot;, &quot;info&quot;: [&quot;origin&quot;: &quot;Canada&quot;, &quot;segment&quot;: &quot;Small Business&quot;, &quot;date&quot;: &quot;1&quot;, &quot;month&quot;: &quot;2&quot;, &quot;year&quot;: &quot;2014&quot;, &quot;units&quot;: &quot;2001&quot;]}"/>
    <x v="4"/>
    <x v="1"/>
    <x v="1"/>
    <n v="2001"/>
    <n v="0"/>
    <x v="5"/>
    <n v="300"/>
    <n v="600300"/>
    <n v="600300"/>
    <n v="100050"/>
    <x v="1"/>
    <x v="0"/>
    <x v="5"/>
  </r>
  <r>
    <s v="ORD-FRA-ENT-20140201"/>
    <s v="{&quot;type&quot;: &quot;buyerDetails&quot;, &quot;info&quot;: [&quot;origin&quot;: &quot;France&quot;, &quot;segment&quot;: &quot;Enterprise&quot;, &quot;date&quot;: &quot;1&quot;, &quot;month&quot;: &quot;2&quot;, &quot;year&quot;: &quot;2014&quot;, &quot;units&quot;: &quot;1804&quot;]}"/>
    <x v="0"/>
    <x v="3"/>
    <x v="5"/>
    <n v="1804"/>
    <n v="0"/>
    <x v="5"/>
    <n v="180"/>
    <n v="324720"/>
    <n v="324720"/>
    <n v="108240"/>
    <x v="1"/>
    <x v="0"/>
    <x v="5"/>
  </r>
  <r>
    <s v="ORD-FRA-GOV-20140201"/>
    <s v="{&quot;type&quot;: &quot;buyerDetails&quot;, &quot;info&quot;: [&quot;origin&quot;: &quot;France&quot;, &quot;segment&quot;: &quot;Government&quot;, &quot;date&quot;: &quot;1&quot;, &quot;month&quot;: &quot;2&quot;, &quot;year&quot;: &quot;2014&quot;, &quot;units&quot;: &quot;2750&quot;]}"/>
    <x v="0"/>
    <x v="2"/>
    <x v="4"/>
    <n v="2750"/>
    <n v="0"/>
    <x v="5"/>
    <n v="350"/>
    <n v="962500"/>
    <n v="962500"/>
    <n v="412500"/>
    <x v="1"/>
    <x v="0"/>
    <x v="5"/>
  </r>
  <r>
    <s v="ORD-FRA-MDM-20140201"/>
    <s v="{&quot;type&quot;: &quot;buyerDetails&quot;, &quot;info&quot;: [&quot;origin&quot;: &quot;France&quot;, &quot;segment&quot;: &quot;Midmarket&quot;, &quot;date&quot;: &quot;1&quot;, &quot;month&quot;: &quot;2&quot;, &quot;year&quot;: &quot;2014&quot;, &quot;units&quot;: &quot;2296&quot;]}"/>
    <x v="0"/>
    <x v="0"/>
    <x v="0"/>
    <n v="2296"/>
    <n v="9.9999999999999985E-3"/>
    <x v="5"/>
    <n v="20"/>
    <n v="45920"/>
    <n v="45460.800000000003"/>
    <n v="22500.800000000003"/>
    <x v="1"/>
    <x v="1"/>
    <x v="5"/>
  </r>
  <r>
    <s v="ORD-USA-MDM-20140201"/>
    <s v="{&quot;type&quot;: &quot;buyerDetails&quot;, &quot;info&quot;: [&quot;origin&quot;: &quot;United States of America&quot;, &quot;segment&quot;: &quot;Midmarket&quot;, &quot;date&quot;: &quot;1&quot;, &quot;month&quot;: &quot;2&quot;, &quot;year&quot;: &quot;2014&quot;, &quot;units&quot;: &quot;1514&quot;]}"/>
    <x v="2"/>
    <x v="0"/>
    <x v="0"/>
    <n v="1514"/>
    <n v="0.01"/>
    <x v="5"/>
    <n v="20"/>
    <n v="30280"/>
    <n v="29977.200000000001"/>
    <n v="14837.2"/>
    <x v="1"/>
    <x v="1"/>
    <x v="5"/>
  </r>
  <r>
    <s v="ORD-USA-CPR-20140201"/>
    <s v="{&quot;type&quot;: &quot;buyerDetails&quot;, &quot;info&quot;: [&quot;origin&quot;: &quot;United States of America&quot;, &quot;segment&quot;: &quot;Channel Partners&quot;, &quot;date&quot;: &quot;1&quot;, &quot;month&quot;: &quot;2&quot;, &quot;year&quot;: &quot;2014&quot;, &quot;units&quot;: &quot;1858&quot;]}"/>
    <x v="2"/>
    <x v="4"/>
    <x v="2"/>
    <n v="1858"/>
    <n v="0.01"/>
    <x v="5"/>
    <n v="20"/>
    <n v="37160"/>
    <n v="36788.400000000001"/>
    <n v="31214.400000000001"/>
    <x v="1"/>
    <x v="1"/>
    <x v="5"/>
  </r>
  <r>
    <s v="ORD-CND-MDM-20140201"/>
    <s v="{&quot;type&quot;: &quot;buyerDetails&quot;, &quot;info&quot;: [&quot;origin&quot;: &quot;Canada&quot;, &quot;segment&quot;: &quot;Midmarket&quot;, &quot;date&quot;: &quot;1&quot;, &quot;month&quot;: &quot;2&quot;, &quot;year&quot;: &quot;2014&quot;, &quot;units&quot;: &quot;2363&quot;]}"/>
    <x v="4"/>
    <x v="0"/>
    <x v="0"/>
    <n v="2363"/>
    <n v="0.02"/>
    <x v="5"/>
    <n v="20"/>
    <n v="47260"/>
    <n v="46314.799999999996"/>
    <n v="22684.799999999996"/>
    <x v="1"/>
    <x v="1"/>
    <x v="5"/>
  </r>
  <r>
    <s v="ORD-GER-GOV-20140201"/>
    <s v="{&quot;type&quot;: &quot;buyerDetails&quot;, &quot;info&quot;: [&quot;origin&quot;: &quot;Germany&quot;, &quot;segment&quot;: &quot;Government&quot;, &quot;date&quot;: &quot;1&quot;, &quot;month&quot;: &quot;2&quot;, &quot;year&quot;: &quot;2014&quot;, &quot;units&quot;: &quot;1958&quot;]}"/>
    <x v="3"/>
    <x v="2"/>
    <x v="3"/>
    <n v="1958"/>
    <n v="0.03"/>
    <x v="5"/>
    <n v="15"/>
    <n v="29370"/>
    <n v="28488.899999999998"/>
    <n v="18698.899999999998"/>
    <x v="1"/>
    <x v="1"/>
    <x v="5"/>
  </r>
  <r>
    <s v="ORD-USA-SMB-20140201"/>
    <s v="{&quot;type&quot;: &quot;buyerDetails&quot;, &quot;info&quot;: [&quot;origin&quot;: &quot;United States of America&quot;, &quot;segment&quot;: &quot;Small Business&quot;, &quot;date&quot;: &quot;1&quot;, &quot;month&quot;: &quot;2&quot;, &quot;year&quot;: &quot;2014&quot;, &quot;units&quot;: &quot;2844&quot;]}"/>
    <x v="2"/>
    <x v="1"/>
    <x v="1"/>
    <n v="2844"/>
    <n v="0.03"/>
    <x v="5"/>
    <n v="300"/>
    <n v="853200"/>
    <n v="827604"/>
    <n v="116604"/>
    <x v="1"/>
    <x v="1"/>
    <x v="5"/>
  </r>
  <r>
    <s v="ORD-MXC-GOV-20140201"/>
    <s v="{&quot;type&quot;: &quot;buyerDetails&quot;, &quot;info&quot;: [&quot;origin&quot;: &quot;Mexico&quot;, &quot;segment&quot;: &quot;Government&quot;, &quot;date&quot;: &quot;1&quot;, &quot;month&quot;: &quot;2&quot;, &quot;year&quot;: &quot;2014&quot;, &quot;units&quot;: &quot;1865&quot;]}"/>
    <x v="1"/>
    <x v="2"/>
    <x v="4"/>
    <n v="1865"/>
    <n v="0.04"/>
    <x v="5"/>
    <n v="350"/>
    <n v="652750"/>
    <n v="626640"/>
    <n v="253640"/>
    <x v="1"/>
    <x v="1"/>
    <x v="5"/>
  </r>
  <r>
    <s v="ORD-FRA-GOV-20140201"/>
    <s v="{&quot;type&quot;: &quot;buyerDetails&quot;, &quot;info&quot;: [&quot;origin&quot;: &quot;France&quot;, &quot;segment&quot;: &quot;Government&quot;, &quot;date&quot;: &quot;1&quot;, &quot;month&quot;: &quot;2&quot;, &quot;year&quot;: &quot;2014&quot;, &quot;units&quot;: &quot;1303&quot;]}"/>
    <x v="0"/>
    <x v="2"/>
    <x v="0"/>
    <n v="1303"/>
    <n v="0.05"/>
    <x v="5"/>
    <n v="20"/>
    <n v="26060"/>
    <n v="24757"/>
    <n v="11727"/>
    <x v="1"/>
    <x v="2"/>
    <x v="5"/>
  </r>
  <r>
    <s v="ORD-GER-CPR-20140201"/>
    <s v="{&quot;type&quot;: &quot;buyerDetails&quot;, &quot;info&quot;: [&quot;origin&quot;: &quot;Germany&quot;, &quot;segment&quot;: &quot;Channel Partners&quot;, &quot;date&quot;: &quot;1&quot;, &quot;month&quot;: &quot;2&quot;, &quot;year&quot;: &quot;2014&quot;, &quot;units&quot;: &quot;1116&quot;]}"/>
    <x v="3"/>
    <x v="4"/>
    <x v="2"/>
    <n v="1116"/>
    <n v="0.05"/>
    <x v="5"/>
    <n v="20"/>
    <n v="22320"/>
    <n v="21204"/>
    <n v="17856"/>
    <x v="1"/>
    <x v="2"/>
    <x v="5"/>
  </r>
  <r>
    <s v="ORD-FRA-CPR-20140201"/>
    <s v="{&quot;type&quot;: &quot;buyerDetails&quot;, &quot;info&quot;: [&quot;origin&quot;: &quot;France&quot;, &quot;segment&quot;: &quot;Channel Partners&quot;, &quot;date&quot;: &quot;1&quot;, &quot;month&quot;: &quot;2&quot;, &quot;year&quot;: &quot;2014&quot;, &quot;units&quot;: &quot;1865&quot;]}"/>
    <x v="0"/>
    <x v="4"/>
    <x v="2"/>
    <n v="1865"/>
    <n v="0.05"/>
    <x v="5"/>
    <n v="20"/>
    <n v="37300"/>
    <n v="35435"/>
    <n v="29840"/>
    <x v="1"/>
    <x v="2"/>
    <x v="5"/>
  </r>
  <r>
    <s v="ORD-GER-ENT-20140201"/>
    <s v="{&quot;type&quot;: &quot;buyerDetails&quot;, &quot;info&quot;: [&quot;origin&quot;: &quot;Germany&quot;, &quot;segment&quot;: &quot;Enterprise&quot;, &quot;date&quot;: &quot;1&quot;, &quot;month&quot;: &quot;2&quot;, &quot;year&quot;: &quot;2014&quot;, &quot;units&quot;: &quot;807&quot;]}"/>
    <x v="3"/>
    <x v="3"/>
    <x v="5"/>
    <n v="807"/>
    <n v="0.05"/>
    <x v="5"/>
    <n v="180"/>
    <n v="145260"/>
    <n v="137997"/>
    <n v="41157"/>
    <x v="1"/>
    <x v="2"/>
    <x v="5"/>
  </r>
  <r>
    <s v="ORD-GER-GOV-20140201"/>
    <s v="{&quot;type&quot;: &quot;buyerDetails&quot;, &quot;info&quot;: [&quot;origin&quot;: &quot;Germany&quot;, &quot;segment&quot;: &quot;Government&quot;, &quot;date&quot;: &quot;1&quot;, &quot;month&quot;: &quot;2&quot;, &quot;year&quot;: &quot;2014&quot;, &quot;units&quot;: &quot;1350&quot;]}"/>
    <x v="3"/>
    <x v="2"/>
    <x v="4"/>
    <n v="1350"/>
    <n v="0.05"/>
    <x v="5"/>
    <n v="350"/>
    <n v="472500"/>
    <n v="448875"/>
    <n v="178875"/>
    <x v="1"/>
    <x v="2"/>
    <x v="5"/>
  </r>
  <r>
    <s v="ORD-CND-ENT-20140201"/>
    <s v="{&quot;type&quot;: &quot;buyerDetails&quot;, &quot;info&quot;: [&quot;origin&quot;: &quot;Canada&quot;, &quot;segment&quot;: &quot;Enterprise&quot;, &quot;date&quot;: &quot;1&quot;, &quot;month&quot;: &quot;2&quot;, &quot;year&quot;: &quot;2014&quot;, &quot;units&quot;: &quot;952&quot;]}"/>
    <x v="4"/>
    <x v="3"/>
    <x v="5"/>
    <n v="952"/>
    <n v="0.06"/>
    <x v="5"/>
    <n v="180"/>
    <n v="171360"/>
    <n v="161078.39999999999"/>
    <n v="46838.399999999994"/>
    <x v="1"/>
    <x v="2"/>
    <x v="5"/>
  </r>
  <r>
    <s v="ORD-USA-ENT-20140201"/>
    <s v="{&quot;type&quot;: &quot;buyerDetails&quot;, &quot;info&quot;: [&quot;origin&quot;: &quot;United States of America&quot;, &quot;segment&quot;: &quot;Enterprise&quot;, &quot;date&quot;: &quot;1&quot;, &quot;month&quot;: &quot;2&quot;, &quot;year&quot;: &quot;2014&quot;, &quot;units&quot;: &quot;2755&quot;]}"/>
    <x v="2"/>
    <x v="3"/>
    <x v="5"/>
    <n v="2755"/>
    <n v="0.06"/>
    <x v="5"/>
    <n v="180"/>
    <n v="495900"/>
    <n v="466146"/>
    <n v="135546"/>
    <x v="1"/>
    <x v="2"/>
    <x v="5"/>
  </r>
  <r>
    <s v="ORD-MXC-CPR-20140201"/>
    <s v="{&quot;type&quot;: &quot;buyerDetails&quot;, &quot;info&quot;: [&quot;origin&quot;: &quot;Mexico&quot;, &quot;segment&quot;: &quot;Channel Partners&quot;, &quot;date&quot;: &quot;1&quot;, &quot;month&quot;: &quot;2&quot;, &quot;year&quot;: &quot;2014&quot;, &quot;units&quot;: &quot;727&quot;]}"/>
    <x v="1"/>
    <x v="4"/>
    <x v="2"/>
    <n v="727"/>
    <n v="6.9999999999999993E-2"/>
    <x v="5"/>
    <n v="20"/>
    <n v="14540"/>
    <n v="13522.2"/>
    <n v="11341.2"/>
    <x v="1"/>
    <x v="2"/>
    <x v="5"/>
  </r>
  <r>
    <s v="ORD-FRA-SMB-20140201"/>
    <s v="{&quot;type&quot;: &quot;buyerDetails&quot;, &quot;info&quot;: [&quot;origin&quot;: &quot;France&quot;, &quot;segment&quot;: &quot;Small Business&quot;, &quot;date&quot;: &quot;1&quot;, &quot;month&quot;: &quot;2&quot;, &quot;year&quot;: &quot;2014&quot;, &quot;units&quot;: &quot;959&quot;]}"/>
    <x v="0"/>
    <x v="1"/>
    <x v="1"/>
    <n v="959"/>
    <n v="7.0000000000000007E-2"/>
    <x v="5"/>
    <n v="300"/>
    <n v="287700"/>
    <n v="267561"/>
    <n v="27811"/>
    <x v="1"/>
    <x v="2"/>
    <x v="5"/>
  </r>
  <r>
    <s v="ORD-MXC-SMB-20140201"/>
    <s v="{&quot;type&quot;: &quot;buyerDetails&quot;, &quot;info&quot;: [&quot;origin&quot;: &quot;Mexico&quot;, &quot;segment&quot;: &quot;Small Business&quot;, &quot;date&quot;: &quot;1&quot;, &quot;month&quot;: &quot;2&quot;, &quot;year&quot;: &quot;2014&quot;, &quot;units&quot;: &quot;2747&quot;]}"/>
    <x v="1"/>
    <x v="1"/>
    <x v="1"/>
    <n v="2747"/>
    <n v="7.0000000000000007E-2"/>
    <x v="5"/>
    <n v="300"/>
    <n v="824100"/>
    <n v="766413"/>
    <n v="79663"/>
    <x v="1"/>
    <x v="2"/>
    <x v="5"/>
  </r>
  <r>
    <s v="ORD-CND-GOV-20140201"/>
    <s v="{&quot;type&quot;: &quot;buyerDetails&quot;, &quot;info&quot;: [&quot;origin&quot;: &quot;Canada&quot;, &quot;segment&quot;: &quot;Government&quot;, &quot;date&quot;: &quot;1&quot;, &quot;month&quot;: &quot;2&quot;, &quot;year&quot;: &quot;2014&quot;, &quot;units&quot;: &quot;488&quot;]}"/>
    <x v="4"/>
    <x v="2"/>
    <x v="3"/>
    <n v="488"/>
    <n v="7.9999999999999988E-2"/>
    <x v="5"/>
    <n v="15"/>
    <n v="7320"/>
    <n v="6734.4000000000005"/>
    <n v="4294.4000000000005"/>
    <x v="1"/>
    <x v="2"/>
    <x v="5"/>
  </r>
  <r>
    <s v="ORD-GER-SMB-20140201"/>
    <s v="{&quot;type&quot;: &quot;buyerDetails&quot;, &quot;info&quot;: [&quot;origin&quot;: &quot;Germany&quot;, &quot;segment&quot;: &quot;Small Business&quot;, &quot;date&quot;: &quot;1&quot;, &quot;month&quot;: &quot;2&quot;, &quot;year&quot;: &quot;2014&quot;, &quot;units&quot;: &quot;2659&quot;]}"/>
    <x v="3"/>
    <x v="1"/>
    <x v="1"/>
    <n v="2659"/>
    <n v="0.09"/>
    <x v="5"/>
    <n v="300"/>
    <n v="797700"/>
    <n v="725907"/>
    <n v="61157"/>
    <x v="1"/>
    <x v="2"/>
    <x v="5"/>
  </r>
  <r>
    <s v="ORD-CND-GOV-20140201"/>
    <s v="{&quot;type&quot;: &quot;buyerDetails&quot;, &quot;info&quot;: [&quot;origin&quot;: &quot;Canada&quot;, &quot;segment&quot;: &quot;Government&quot;, &quot;date&quot;: &quot;1&quot;, &quot;month&quot;: &quot;2&quot;, &quot;year&quot;: &quot;2014&quot;, &quot;units&quot;: &quot;2240&quot;]}"/>
    <x v="4"/>
    <x v="2"/>
    <x v="4"/>
    <n v="2240"/>
    <n v="0.1"/>
    <x v="5"/>
    <n v="350"/>
    <n v="784000"/>
    <n v="705600"/>
    <n v="257600"/>
    <x v="1"/>
    <x v="3"/>
    <x v="5"/>
  </r>
  <r>
    <s v="ORD-CND-CPR-20140201"/>
    <s v="{&quot;type&quot;: &quot;buyerDetails&quot;, &quot;info&quot;: [&quot;origin&quot;: &quot;Canada&quot;, &quot;segment&quot;: &quot;Channel Partners&quot;, &quot;date&quot;: &quot;1&quot;, &quot;month&quot;: &quot;2&quot;, &quot;year&quot;: &quot;2014&quot;, &quot;units&quot;: &quot;1937&quot;]}"/>
    <x v="4"/>
    <x v="4"/>
    <x v="2"/>
    <n v="1937"/>
    <n v="0.11"/>
    <x v="5"/>
    <n v="20"/>
    <n v="38740"/>
    <n v="34478.6"/>
    <n v="28667.599999999999"/>
    <x v="1"/>
    <x v="3"/>
    <x v="5"/>
  </r>
  <r>
    <s v="ORD-USA-GOV-20140201"/>
    <s v="{&quot;type&quot;: &quot;buyerDetails&quot;, &quot;info&quot;: [&quot;origin&quot;: &quot;United States of America&quot;, &quot;segment&quot;: &quot;Government&quot;, &quot;date&quot;: &quot;1&quot;, &quot;month&quot;: &quot;2&quot;, &quot;year&quot;: &quot;2014&quot;, &quot;units&quot;: &quot;270&quot;]}"/>
    <x v="2"/>
    <x v="2"/>
    <x v="4"/>
    <n v="270"/>
    <n v="0.12"/>
    <x v="5"/>
    <n v="350"/>
    <n v="94500"/>
    <n v="83160"/>
    <n v="29160"/>
    <x v="1"/>
    <x v="3"/>
    <x v="5"/>
  </r>
  <r>
    <s v="ORD-USA-GOV-20140201"/>
    <s v="{&quot;type&quot;: &quot;buyerDetails&quot;, &quot;info&quot;: [&quot;origin&quot;: &quot;United States of America&quot;, &quot;segment&quot;: &quot;Government&quot;, &quot;date&quot;: &quot;1&quot;, &quot;month&quot;: &quot;2&quot;, &quot;year&quot;: &quot;2014&quot;, &quot;units&quot;: &quot;1298&quot;]}"/>
    <x v="2"/>
    <x v="2"/>
    <x v="3"/>
    <n v="1298"/>
    <n v="0.13"/>
    <x v="5"/>
    <n v="15"/>
    <n v="19470"/>
    <n v="16938.900000000001"/>
    <n v="10448.900000000001"/>
    <x v="1"/>
    <x v="3"/>
    <x v="5"/>
  </r>
  <r>
    <s v="ORD-USA-GOV-20140201"/>
    <s v="{&quot;type&quot;: &quot;buyerDetails&quot;, &quot;info&quot;: [&quot;origin&quot;: &quot;United States of America&quot;, &quot;segment&quot;: &quot;Government&quot;, &quot;date&quot;: &quot;1&quot;, &quot;month&quot;: &quot;2&quot;, &quot;year&quot;: &quot;2014&quot;, &quot;units&quot;: &quot;2641&quot;]}"/>
    <x v="2"/>
    <x v="2"/>
    <x v="0"/>
    <n v="2641"/>
    <n v="0.13"/>
    <x v="5"/>
    <n v="20"/>
    <n v="52820"/>
    <n v="45953.4"/>
    <n v="19543.400000000001"/>
    <x v="1"/>
    <x v="3"/>
    <x v="5"/>
  </r>
  <r>
    <s v="ORD-GER-GOV-20140201"/>
    <s v="{&quot;type&quot;: &quot;buyerDetails&quot;, &quot;info&quot;: [&quot;origin&quot;: &quot;Germany&quot;, &quot;segment&quot;: &quot;Government&quot;, &quot;date&quot;: &quot;1&quot;, &quot;month&quot;: &quot;2&quot;, &quot;year&quot;: &quot;2014&quot;, &quot;units&quot;: &quot;2708&quot;]}"/>
    <x v="3"/>
    <x v="2"/>
    <x v="0"/>
    <n v="2708"/>
    <n v="0.13"/>
    <x v="5"/>
    <n v="20"/>
    <n v="54160"/>
    <n v="47119.199999999997"/>
    <n v="20039.199999999997"/>
    <x v="1"/>
    <x v="3"/>
    <x v="5"/>
  </r>
  <r>
    <s v="ORD-GER-MDM-20140201"/>
    <s v="{&quot;type&quot;: &quot;buyerDetails&quot;, &quot;info&quot;: [&quot;origin&quot;: &quot;Germany&quot;, &quot;segment&quot;: &quot;Midmarket&quot;, &quot;date&quot;: &quot;1&quot;, &quot;month&quot;: &quot;2&quot;, &quot;year&quot;: &quot;2014&quot;, &quot;units&quot;: &quot;278&quot;]}"/>
    <x v="3"/>
    <x v="0"/>
    <x v="0"/>
    <n v="278"/>
    <n v="0.13999999999999999"/>
    <x v="5"/>
    <n v="20"/>
    <n v="5560"/>
    <n v="4781.6000000000004"/>
    <n v="2001.6000000000004"/>
    <x v="1"/>
    <x v="3"/>
    <x v="5"/>
  </r>
  <r>
    <s v="ORD-FRA-GOV-20140201"/>
    <s v="{&quot;type&quot;: &quot;buyerDetails&quot;, &quot;info&quot;: [&quot;origin&quot;: &quot;France&quot;, &quot;segment&quot;: &quot;Government&quot;, &quot;date&quot;: &quot;1&quot;, &quot;month&quot;: &quot;2&quot;, &quot;year&quot;: &quot;2014&quot;, &quot;units&quot;: &quot;293&quot;]}"/>
    <x v="0"/>
    <x v="2"/>
    <x v="3"/>
    <n v="293"/>
    <n v="0.13999999999999999"/>
    <x v="5"/>
    <n v="15"/>
    <n v="4395"/>
    <n v="3779.7"/>
    <n v="2314.6999999999998"/>
    <x v="1"/>
    <x v="3"/>
    <x v="5"/>
  </r>
  <r>
    <s v="ORD-MXC-GOV-20140201"/>
    <s v="{&quot;type&quot;: &quot;buyerDetails&quot;, &quot;info&quot;: [&quot;origin&quot;: &quot;Mexico&quot;, &quot;segment&quot;: &quot;Government&quot;, &quot;date&quot;: &quot;1&quot;, &quot;month&quot;: &quot;2&quot;, &quot;year&quot;: &quot;2014&quot;, &quot;units&quot;: &quot;260&quot;]}"/>
    <x v="1"/>
    <x v="2"/>
    <x v="0"/>
    <n v="260"/>
    <n v="0.14000000000000001"/>
    <x v="5"/>
    <n v="20"/>
    <n v="5200"/>
    <n v="4472"/>
    <n v="1872"/>
    <x v="1"/>
    <x v="3"/>
    <x v="5"/>
  </r>
  <r>
    <s v="ORD-MXC-ENT-20140201"/>
    <s v="{&quot;type&quot;: &quot;buyerDetails&quot;, &quot;info&quot;: [&quot;origin&quot;: &quot;Mexico&quot;, &quot;segment&quot;: &quot;Enterprise&quot;, &quot;date&quot;: &quot;1&quot;, &quot;month&quot;: &quot;2&quot;, &quot;year&quot;: &quot;2014&quot;, &quot;units&quot;: &quot;1575&quot;]}"/>
    <x v="1"/>
    <x v="3"/>
    <x v="5"/>
    <n v="1575"/>
    <n v="0.14000000000000001"/>
    <x v="5"/>
    <n v="180"/>
    <n v="283500"/>
    <n v="243810"/>
    <n v="54810"/>
    <x v="1"/>
    <x v="3"/>
    <x v="5"/>
  </r>
  <r>
    <s v="ORD-MXC-GOV-20140201"/>
    <s v="{&quot;type&quot;: &quot;buyerDetails&quot;, &quot;info&quot;: [&quot;origin&quot;: &quot;Mexico&quot;, &quot;segment&quot;: &quot;Government&quot;, &quot;date&quot;: &quot;1&quot;, &quot;month&quot;: &quot;2&quot;, &quot;year&quot;: &quot;2014&quot;, &quot;units&quot;: &quot;1368&quot;]}"/>
    <x v="1"/>
    <x v="2"/>
    <x v="3"/>
    <n v="1368"/>
    <n v="0.15000000000000002"/>
    <x v="5"/>
    <n v="15"/>
    <n v="20520"/>
    <n v="17442"/>
    <n v="10602"/>
    <x v="1"/>
    <x v="3"/>
    <x v="5"/>
  </r>
  <r>
    <s v="ORD-GER-MDM-20140301"/>
    <s v="{&quot;type&quot;: &quot;buyerDetails&quot;, &quot;info&quot;: [&quot;origin&quot;: &quot;Germany&quot;, &quot;segment&quot;: &quot;Midmarket&quot;, &quot;date&quot;: &quot;1&quot;, &quot;month&quot;: &quot;3&quot;, &quot;year&quot;: &quot;2014&quot;, &quot;units&quot;: &quot;921&quot;]}"/>
    <x v="3"/>
    <x v="0"/>
    <x v="3"/>
    <n v="921"/>
    <n v="0"/>
    <x v="6"/>
    <n v="15"/>
    <n v="13815"/>
    <n v="13815"/>
    <n v="9210"/>
    <x v="1"/>
    <x v="0"/>
    <x v="6"/>
  </r>
  <r>
    <s v="ORD-GER-CPR-20140301"/>
    <s v="{&quot;type&quot;: &quot;buyerDetails&quot;, &quot;info&quot;: [&quot;origin&quot;: &quot;Germany&quot;, &quot;segment&quot;: &quot;Channel Partners&quot;, &quot;date&quot;: &quot;1&quot;, &quot;month&quot;: &quot;3&quot;, &quot;year&quot;: &quot;2014&quot;, &quot;units&quot;: &quot;2161&quot;]}"/>
    <x v="3"/>
    <x v="4"/>
    <x v="5"/>
    <n v="2161"/>
    <n v="0"/>
    <x v="6"/>
    <n v="180"/>
    <n v="388980"/>
    <n v="388980"/>
    <n v="129660"/>
    <x v="1"/>
    <x v="0"/>
    <x v="6"/>
  </r>
  <r>
    <s v="ORD-CND-GOV-20140301"/>
    <s v="{&quot;type&quot;: &quot;buyerDetails&quot;, &quot;info&quot;: [&quot;origin&quot;: &quot;Canada&quot;, &quot;segment&quot;: &quot;Government&quot;, &quot;date&quot;: &quot;1&quot;, &quot;month&quot;: &quot;3&quot;, &quot;year&quot;: &quot;2014&quot;, &quot;units&quot;: &quot;1326&quot;]}"/>
    <x v="4"/>
    <x v="2"/>
    <x v="1"/>
    <n v="1326"/>
    <n v="9.9999999999999985E-3"/>
    <x v="6"/>
    <n v="300"/>
    <n v="397800"/>
    <n v="393822"/>
    <n v="62322"/>
    <x v="1"/>
    <x v="1"/>
    <x v="6"/>
  </r>
  <r>
    <s v="ORD-GER-GOV-20140301"/>
    <s v="{&quot;type&quot;: &quot;buyerDetails&quot;, &quot;info&quot;: [&quot;origin&quot;: &quot;Germany&quot;, &quot;segment&quot;: &quot;Government&quot;, &quot;date&quot;: &quot;1&quot;, &quot;month&quot;: &quot;3&quot;, &quot;year&quot;: &quot;2014&quot;, &quot;units&quot;: &quot;263&quot;]}"/>
    <x v="3"/>
    <x v="2"/>
    <x v="1"/>
    <n v="263"/>
    <n v="0.01"/>
    <x v="6"/>
    <n v="300"/>
    <n v="78900"/>
    <n v="78111"/>
    <n v="12361"/>
    <x v="1"/>
    <x v="1"/>
    <x v="6"/>
  </r>
  <r>
    <s v="ORD-MXC-GOV-20140301"/>
    <s v="{&quot;type&quot;: &quot;buyerDetails&quot;, &quot;info&quot;: [&quot;origin&quot;: &quot;Mexico&quot;, &quot;segment&quot;: &quot;Government&quot;, &quot;date&quot;: &quot;1&quot;, &quot;month&quot;: &quot;3&quot;, &quot;year&quot;: &quot;2014&quot;, &quot;units&quot;: &quot;1210&quot;]}"/>
    <x v="1"/>
    <x v="2"/>
    <x v="2"/>
    <n v="1210"/>
    <n v="0.01"/>
    <x v="6"/>
    <n v="20"/>
    <n v="24200"/>
    <n v="23958"/>
    <n v="20328"/>
    <x v="1"/>
    <x v="1"/>
    <x v="6"/>
  </r>
  <r>
    <s v="ORD-MXC-MDM-20140301"/>
    <s v="{&quot;type&quot;: &quot;buyerDetails&quot;, &quot;info&quot;: [&quot;origin&quot;: &quot;Mexico&quot;, &quot;segment&quot;: &quot;Midmarket&quot;, &quot;date&quot;: &quot;1&quot;, &quot;month&quot;: &quot;3&quot;, &quot;year&quot;: &quot;2014&quot;, &quot;units&quot;: &quot;2214&quot;]}"/>
    <x v="1"/>
    <x v="0"/>
    <x v="3"/>
    <n v="2214"/>
    <n v="0.01"/>
    <x v="6"/>
    <n v="15"/>
    <n v="33210"/>
    <n v="32877.9"/>
    <n v="21807.9"/>
    <x v="1"/>
    <x v="1"/>
    <x v="6"/>
  </r>
  <r>
    <s v="ORD-GER-SMB-20140301"/>
    <s v="{&quot;type&quot;: &quot;buyerDetails&quot;, &quot;info&quot;: [&quot;origin&quot;: &quot;Germany&quot;, &quot;segment&quot;: &quot;Small Business&quot;, &quot;date&quot;: &quot;1&quot;, &quot;month&quot;: &quot;3&quot;, &quot;year&quot;: &quot;2014&quot;, &quot;units&quot;: &quot;259&quot;]}"/>
    <x v="3"/>
    <x v="1"/>
    <x v="4"/>
    <n v="259"/>
    <n v="0.02"/>
    <x v="6"/>
    <n v="350"/>
    <n v="90650"/>
    <n v="88837"/>
    <n v="37037"/>
    <x v="1"/>
    <x v="1"/>
    <x v="6"/>
  </r>
  <r>
    <s v="ORD-MXC-SMB-20140301"/>
    <s v="{&quot;type&quot;: &quot;buyerDetails&quot;, &quot;info&quot;: [&quot;origin&quot;: &quot;Mexico&quot;, &quot;segment&quot;: &quot;Small Business&quot;, &quot;date&quot;: &quot;1&quot;, &quot;month&quot;: &quot;3&quot;, &quot;year&quot;: &quot;2014&quot;, &quot;units&quot;: &quot;1101&quot;]}"/>
    <x v="1"/>
    <x v="1"/>
    <x v="4"/>
    <n v="1101"/>
    <n v="0.02"/>
    <x v="6"/>
    <n v="350"/>
    <n v="385350"/>
    <n v="377643"/>
    <n v="157443"/>
    <x v="1"/>
    <x v="1"/>
    <x v="6"/>
  </r>
  <r>
    <s v="ORD-CND-ENT-20140301"/>
    <s v="{&quot;type&quot;: &quot;buyerDetails&quot;, &quot;info&quot;: [&quot;origin&quot;: &quot;Canada&quot;, &quot;segment&quot;: &quot;Enterprise&quot;, &quot;date&quot;: &quot;1&quot;, &quot;month&quot;: &quot;3&quot;, &quot;year&quot;: &quot;2014&quot;, &quot;units&quot;: &quot;1774&quot;]}"/>
    <x v="4"/>
    <x v="3"/>
    <x v="0"/>
    <n v="1774"/>
    <n v="0.03"/>
    <x v="6"/>
    <n v="20"/>
    <n v="35480"/>
    <n v="34415.599999999999"/>
    <n v="16675.599999999999"/>
    <x v="1"/>
    <x v="1"/>
    <x v="6"/>
  </r>
  <r>
    <s v="ORD-GER-ENT-20140301"/>
    <s v="{&quot;type&quot;: &quot;buyerDetails&quot;, &quot;info&quot;: [&quot;origin&quot;: &quot;Germany&quot;, &quot;segment&quot;: &quot;Enterprise&quot;, &quot;date&quot;: &quot;1&quot;, &quot;month&quot;: &quot;3&quot;, &quot;year&quot;: &quot;2014&quot;, &quot;units&quot;: &quot;795&quot;]}"/>
    <x v="3"/>
    <x v="3"/>
    <x v="0"/>
    <n v="795"/>
    <n v="0.04"/>
    <x v="6"/>
    <n v="20"/>
    <n v="15900"/>
    <n v="15264"/>
    <n v="7314"/>
    <x v="1"/>
    <x v="1"/>
    <x v="6"/>
  </r>
  <r>
    <s v="ORD-CND-MDM-20140301"/>
    <s v="{&quot;type&quot;: &quot;buyerDetails&quot;, &quot;info&quot;: [&quot;origin&quot;: &quot;Canada&quot;, &quot;segment&quot;: &quot;Midmarket&quot;, &quot;date&quot;: &quot;1&quot;, &quot;month&quot;: &quot;3&quot;, &quot;year&quot;: &quot;2014&quot;, &quot;units&quot;: &quot;1967&quot;]}"/>
    <x v="4"/>
    <x v="0"/>
    <x v="3"/>
    <n v="1967"/>
    <n v="0.04"/>
    <x v="6"/>
    <n v="15"/>
    <n v="29505"/>
    <n v="28324.799999999999"/>
    <n v="18489.8"/>
    <x v="1"/>
    <x v="1"/>
    <x v="6"/>
  </r>
  <r>
    <s v="ORD-USA-CPR-20140301"/>
    <s v="{&quot;type&quot;: &quot;buyerDetails&quot;, &quot;info&quot;: [&quot;origin&quot;: &quot;United States of America&quot;, &quot;segment&quot;: &quot;Channel Partners&quot;, &quot;date&quot;: &quot;1&quot;, &quot;month&quot;: &quot;3&quot;, &quot;year&quot;: &quot;2014&quot;, &quot;units&quot;: &quot;1465&quot;]}"/>
    <x v="2"/>
    <x v="4"/>
    <x v="5"/>
    <n v="1465"/>
    <n v="0.04"/>
    <x v="6"/>
    <n v="180"/>
    <n v="263700"/>
    <n v="253152"/>
    <n v="77352"/>
    <x v="1"/>
    <x v="1"/>
    <x v="6"/>
  </r>
  <r>
    <s v="ORD-FRA-ENT-20140301"/>
    <s v="{&quot;type&quot;: &quot;buyerDetails&quot;, &quot;info&quot;: [&quot;origin&quot;: &quot;France&quot;, &quot;segment&quot;: &quot;Enterprise&quot;, &quot;date&quot;: &quot;1&quot;, &quot;month&quot;: &quot;3&quot;, &quot;year&quot;: &quot;2014&quot;, &quot;units&quot;: &quot;2385&quot;]}"/>
    <x v="0"/>
    <x v="3"/>
    <x v="0"/>
    <n v="2385"/>
    <n v="0.05"/>
    <x v="6"/>
    <n v="20"/>
    <n v="47700"/>
    <n v="45315"/>
    <n v="21465"/>
    <x v="1"/>
    <x v="2"/>
    <x v="6"/>
  </r>
  <r>
    <s v="ORD-USA-ENT-20140301"/>
    <s v="{&quot;type&quot;: &quot;buyerDetails&quot;, &quot;info&quot;: [&quot;origin&quot;: &quot;United States of America&quot;, &quot;segment&quot;: &quot;Enterprise&quot;, &quot;date&quot;: &quot;1&quot;, &quot;month&quot;: &quot;3&quot;, &quot;year&quot;: &quot;2014&quot;, &quot;units&quot;: &quot;2992&quot;]}"/>
    <x v="2"/>
    <x v="3"/>
    <x v="0"/>
    <n v="2992"/>
    <n v="0.05"/>
    <x v="6"/>
    <n v="20"/>
    <n v="59840"/>
    <n v="56848"/>
    <n v="26928"/>
    <x v="1"/>
    <x v="2"/>
    <x v="6"/>
  </r>
  <r>
    <s v="ORD-USA-GOV-20140301"/>
    <s v="{&quot;type&quot;: &quot;buyerDetails&quot;, &quot;info&quot;: [&quot;origin&quot;: &quot;United States of America&quot;, &quot;segment&quot;: &quot;Government&quot;, &quot;date&quot;: &quot;1&quot;, &quot;month&quot;: &quot;3&quot;, &quot;year&quot;: &quot;2014&quot;, &quot;units&quot;: &quot;1761&quot;]}"/>
    <x v="2"/>
    <x v="2"/>
    <x v="2"/>
    <n v="1761"/>
    <n v="7.0000000000000007E-2"/>
    <x v="6"/>
    <n v="20"/>
    <n v="35220"/>
    <n v="32754.6"/>
    <n v="27471.599999999999"/>
    <x v="1"/>
    <x v="2"/>
    <x v="6"/>
  </r>
  <r>
    <s v="ORD-MXC-ENT-20140301"/>
    <s v="{&quot;type&quot;: &quot;buyerDetails&quot;, &quot;info&quot;: [&quot;origin&quot;: &quot;Mexico&quot;, &quot;segment&quot;: &quot;Enterprise&quot;, &quot;date&quot;: &quot;1&quot;, &quot;month&quot;: &quot;3&quot;, &quot;year&quot;: &quot;2014&quot;, &quot;units&quot;: &quot;1114&quot;]}"/>
    <x v="1"/>
    <x v="3"/>
    <x v="0"/>
    <n v="1114"/>
    <n v="0.08"/>
    <x v="6"/>
    <n v="20"/>
    <n v="22280"/>
    <n v="20497.600000000002"/>
    <n v="9357.6000000000022"/>
    <x v="1"/>
    <x v="2"/>
    <x v="6"/>
  </r>
  <r>
    <s v="ORD-FRA-MDM-20140301"/>
    <s v="{&quot;type&quot;: &quot;buyerDetails&quot;, &quot;info&quot;: [&quot;origin&quot;: &quot;France&quot;, &quot;segment&quot;: &quot;Midmarket&quot;, &quot;date&quot;: &quot;1&quot;, &quot;month&quot;: &quot;3&quot;, &quot;year&quot;: &quot;2014&quot;, &quot;units&quot;: &quot;2501&quot;]}"/>
    <x v="0"/>
    <x v="0"/>
    <x v="3"/>
    <n v="2501"/>
    <n v="0.08"/>
    <x v="6"/>
    <n v="15"/>
    <n v="37515"/>
    <n v="34513.800000000003"/>
    <n v="22008.800000000003"/>
    <x v="1"/>
    <x v="2"/>
    <x v="6"/>
  </r>
  <r>
    <s v="ORD-CND-CPR-20140301"/>
    <s v="{&quot;type&quot;: &quot;buyerDetails&quot;, &quot;info&quot;: [&quot;origin&quot;: &quot;Canada&quot;, &quot;segment&quot;: &quot;Channel Partners&quot;, &quot;date&quot;: &quot;1&quot;, &quot;month&quot;: &quot;3&quot;, &quot;year&quot;: &quot;2014&quot;, &quot;units&quot;: &quot;598&quot;]}"/>
    <x v="4"/>
    <x v="4"/>
    <x v="5"/>
    <n v="598"/>
    <n v="0.08"/>
    <x v="6"/>
    <n v="180"/>
    <n v="107640"/>
    <n v="99028.800000000003"/>
    <n v="27268.800000000003"/>
    <x v="1"/>
    <x v="2"/>
    <x v="6"/>
  </r>
  <r>
    <s v="ORD-USA-GOV-20140301"/>
    <s v="{&quot;type&quot;: &quot;buyerDetails&quot;, &quot;info&quot;: [&quot;origin&quot;: &quot;United States of America&quot;, &quot;segment&quot;: &quot;Government&quot;, &quot;date&quot;: &quot;1&quot;, &quot;month&quot;: &quot;3&quot;, &quot;year&quot;: &quot;2014&quot;, &quot;units&quot;: &quot;973&quot;]}"/>
    <x v="2"/>
    <x v="2"/>
    <x v="0"/>
    <n v="973"/>
    <n v="9.0000000000000011E-2"/>
    <x v="6"/>
    <n v="20"/>
    <n v="19460"/>
    <n v="17708.600000000002"/>
    <n v="7978.6000000000022"/>
    <x v="1"/>
    <x v="2"/>
    <x v="6"/>
  </r>
  <r>
    <s v="ORD-FRA-CPR-20140301"/>
    <s v="{&quot;type&quot;: &quot;buyerDetails&quot;, &quot;info&quot;: [&quot;origin&quot;: &quot;France&quot;, &quot;segment&quot;: &quot;Channel Partners&quot;, &quot;date&quot;: &quot;1&quot;, &quot;month&quot;: &quot;3&quot;, &quot;year&quot;: &quot;2014&quot;, &quot;units&quot;: &quot;1967&quot;]}"/>
    <x v="0"/>
    <x v="4"/>
    <x v="5"/>
    <n v="1967"/>
    <n v="9.0000000000000011E-2"/>
    <x v="6"/>
    <n v="180"/>
    <n v="354060"/>
    <n v="322194.60000000003"/>
    <n v="86154.600000000035"/>
    <x v="1"/>
    <x v="2"/>
    <x v="6"/>
  </r>
  <r>
    <s v="ORD-FRA-GOV-20140301"/>
    <s v="{&quot;type&quot;: &quot;buyerDetails&quot;, &quot;info&quot;: [&quot;origin&quot;: &quot;France&quot;, &quot;segment&quot;: &quot;Government&quot;, &quot;date&quot;: &quot;1&quot;, &quot;month&quot;: &quot;3&quot;, &quot;year&quot;: &quot;2014&quot;, &quot;units&quot;: &quot;1954&quot;]}"/>
    <x v="0"/>
    <x v="2"/>
    <x v="0"/>
    <n v="1954"/>
    <n v="0.1"/>
    <x v="6"/>
    <n v="20"/>
    <n v="39080"/>
    <n v="35172"/>
    <n v="15632"/>
    <x v="1"/>
    <x v="3"/>
    <x v="6"/>
  </r>
  <r>
    <s v="ORD-USA-SMB-20140301"/>
    <s v="{&quot;type&quot;: &quot;buyerDetails&quot;, &quot;info&quot;: [&quot;origin&quot;: &quot;United States of America&quot;, &quot;segment&quot;: &quot;Small Business&quot;, &quot;date&quot;: &quot;1&quot;, &quot;month&quot;: &quot;3&quot;, &quot;year&quot;: &quot;2014&quot;, &quot;units&quot;: &quot;2993&quot;]}"/>
    <x v="2"/>
    <x v="1"/>
    <x v="4"/>
    <n v="2993"/>
    <n v="0.1"/>
    <x v="6"/>
    <n v="350"/>
    <n v="1047550"/>
    <n v="942795"/>
    <n v="344195"/>
    <x v="1"/>
    <x v="3"/>
    <x v="6"/>
  </r>
  <r>
    <s v="ORD-USA-GOV-20140301"/>
    <s v="{&quot;type&quot;: &quot;buyerDetails&quot;, &quot;info&quot;: [&quot;origin&quot;: &quot;United States of America&quot;, &quot;segment&quot;: &quot;Government&quot;, &quot;date&quot;: &quot;1&quot;, &quot;month&quot;: &quot;3&quot;, &quot;year&quot;: &quot;2014&quot;, &quot;units&quot;: &quot;1579&quot;]}"/>
    <x v="2"/>
    <x v="2"/>
    <x v="1"/>
    <n v="1579"/>
    <n v="0.10999999999999999"/>
    <x v="6"/>
    <n v="300"/>
    <n v="473700"/>
    <n v="421593"/>
    <n v="26843"/>
    <x v="1"/>
    <x v="3"/>
    <x v="6"/>
  </r>
  <r>
    <s v="ORD-MXC-GOV-20140301"/>
    <s v="{&quot;type&quot;: &quot;buyerDetails&quot;, &quot;info&quot;: [&quot;origin&quot;: &quot;Mexico&quot;, &quot;segment&quot;: &quot;Government&quot;, &quot;date&quot;: &quot;1&quot;, &quot;month&quot;: &quot;3&quot;, &quot;year&quot;: &quot;2014&quot;, &quot;units&quot;: &quot;1122&quot;]}"/>
    <x v="1"/>
    <x v="2"/>
    <x v="0"/>
    <n v="1122"/>
    <n v="0.11"/>
    <x v="6"/>
    <n v="20"/>
    <n v="22440"/>
    <n v="19971.599999999999"/>
    <n v="8751.5999999999985"/>
    <x v="1"/>
    <x v="3"/>
    <x v="6"/>
  </r>
  <r>
    <s v="ORD-GER-GOV-20140301"/>
    <s v="{&quot;type&quot;: &quot;buyerDetails&quot;, &quot;info&quot;: [&quot;origin&quot;: &quot;Germany&quot;, &quot;segment&quot;: &quot;Government&quot;, &quot;date&quot;: &quot;1&quot;, &quot;month&quot;: &quot;3&quot;, &quot;year&quot;: &quot;2014&quot;, &quot;units&quot;: &quot;792&quot;]}"/>
    <x v="3"/>
    <x v="2"/>
    <x v="2"/>
    <n v="792"/>
    <n v="0.11"/>
    <x v="6"/>
    <n v="20"/>
    <n v="15840"/>
    <n v="14097.6"/>
    <n v="11721.6"/>
    <x v="1"/>
    <x v="3"/>
    <x v="6"/>
  </r>
  <r>
    <s v="ORD-USA-MDM-20140301"/>
    <s v="{&quot;type&quot;: &quot;buyerDetails&quot;, &quot;info&quot;: [&quot;origin&quot;: &quot;United States of America&quot;, &quot;segment&quot;: &quot;Midmarket&quot;, &quot;date&quot;: &quot;1&quot;, &quot;month&quot;: &quot;3&quot;, &quot;year&quot;: &quot;2014&quot;, &quot;units&quot;: &quot;677&quot;]}"/>
    <x v="2"/>
    <x v="0"/>
    <x v="3"/>
    <n v="677"/>
    <n v="0.12"/>
    <x v="6"/>
    <n v="15"/>
    <n v="10155"/>
    <n v="8936.4"/>
    <n v="5551.4"/>
    <x v="1"/>
    <x v="3"/>
    <x v="6"/>
  </r>
  <r>
    <s v="ORD-FRA-GOV-20140301"/>
    <s v="{&quot;type&quot;: &quot;buyerDetails&quot;, &quot;info&quot;: [&quot;origin&quot;: &quot;France&quot;, &quot;segment&quot;: &quot;Government&quot;, &quot;date&quot;: &quot;1&quot;, &quot;month&quot;: &quot;3&quot;, &quot;year&quot;: &quot;2014&quot;, &quot;units&quot;: &quot;1491&quot;]}"/>
    <x v="0"/>
    <x v="2"/>
    <x v="1"/>
    <n v="1491"/>
    <n v="0.12000000000000001"/>
    <x v="6"/>
    <n v="300"/>
    <n v="447300"/>
    <n v="393624"/>
    <n v="20874"/>
    <x v="1"/>
    <x v="3"/>
    <x v="6"/>
  </r>
  <r>
    <s v="ORD-CND-GOV-20140301"/>
    <s v="{&quot;type&quot;: &quot;buyerDetails&quot;, &quot;info&quot;: [&quot;origin&quot;: &quot;Canada&quot;, &quot;segment&quot;: &quot;Government&quot;, &quot;date&quot;: &quot;1&quot;, &quot;month&quot;: &quot;3&quot;, &quot;year&quot;: &quot;2014&quot;, &quot;units&quot;: &quot;923&quot;]}"/>
    <x v="4"/>
    <x v="2"/>
    <x v="2"/>
    <n v="923"/>
    <n v="0.13"/>
    <x v="6"/>
    <n v="20"/>
    <n v="18460"/>
    <n v="16060.2"/>
    <n v="13291.2"/>
    <x v="1"/>
    <x v="3"/>
    <x v="6"/>
  </r>
  <r>
    <s v="ORD-FRA-GOV-20140301"/>
    <s v="{&quot;type&quot;: &quot;buyerDetails&quot;, &quot;info&quot;: [&quot;origin&quot;: &quot;France&quot;, &quot;segment&quot;: &quot;Government&quot;, &quot;date&quot;: &quot;1&quot;, &quot;month&quot;: &quot;3&quot;, &quot;year&quot;: &quot;2014&quot;, &quot;units&quot;: &quot;1790&quot;]}"/>
    <x v="0"/>
    <x v="2"/>
    <x v="2"/>
    <n v="1790"/>
    <n v="0.13"/>
    <x v="6"/>
    <n v="20"/>
    <n v="35800"/>
    <n v="31146"/>
    <n v="25776"/>
    <x v="1"/>
    <x v="3"/>
    <x v="6"/>
  </r>
  <r>
    <s v="ORD-CND-GOV-20140301"/>
    <s v="{&quot;type&quot;: &quot;buyerDetails&quot;, &quot;info&quot;: [&quot;origin&quot;: &quot;Canada&quot;, &quot;segment&quot;: &quot;Government&quot;, &quot;date&quot;: &quot;1&quot;, &quot;month&quot;: &quot;3&quot;, &quot;year&quot;: &quot;2014&quot;, &quot;units&quot;: &quot;2428&quot;]}"/>
    <x v="4"/>
    <x v="2"/>
    <x v="0"/>
    <n v="2428"/>
    <n v="0.13999999999999999"/>
    <x v="6"/>
    <n v="20"/>
    <n v="48560"/>
    <n v="41761.599999999999"/>
    <n v="17481.599999999999"/>
    <x v="1"/>
    <x v="3"/>
    <x v="6"/>
  </r>
  <r>
    <s v="ORD-MXC-GOV-20140301"/>
    <s v="{&quot;type&quot;: &quot;buyerDetails&quot;, &quot;info&quot;: [&quot;origin&quot;: &quot;Mexico&quot;, &quot;segment&quot;: &quot;Government&quot;, &quot;date&quot;: &quot;1&quot;, &quot;month&quot;: &quot;3&quot;, &quot;year&quot;: &quot;2014&quot;, &quot;units&quot;: &quot;2903&quot;]}"/>
    <x v="1"/>
    <x v="2"/>
    <x v="1"/>
    <n v="2903"/>
    <n v="0.14000000000000001"/>
    <x v="6"/>
    <n v="300"/>
    <n v="870900"/>
    <n v="748974"/>
    <n v="23224"/>
    <x v="1"/>
    <x v="3"/>
    <x v="6"/>
  </r>
  <r>
    <s v="ORD-CND-SMB-20140301"/>
    <s v="{&quot;type&quot;: &quot;buyerDetails&quot;, &quot;info&quot;: [&quot;origin&quot;: &quot;Canada&quot;, &quot;segment&quot;: &quot;Small Business&quot;, &quot;date&quot;: &quot;1&quot;, &quot;month&quot;: &quot;3&quot;, &quot;year&quot;: &quot;2014&quot;, &quot;units&quot;: &quot;888&quot;]}"/>
    <x v="4"/>
    <x v="1"/>
    <x v="4"/>
    <n v="888"/>
    <n v="0.14000000000000001"/>
    <x v="6"/>
    <n v="350"/>
    <n v="310800"/>
    <n v="267288"/>
    <n v="89688"/>
    <x v="1"/>
    <x v="3"/>
    <x v="6"/>
  </r>
  <r>
    <s v="ORD-GER-GOV-20140301"/>
    <s v="{&quot;type&quot;: &quot;buyerDetails&quot;, &quot;info&quot;: [&quot;origin&quot;: &quot;Germany&quot;, &quot;segment&quot;: &quot;Government&quot;, &quot;date&quot;: &quot;1&quot;, &quot;month&quot;: &quot;3&quot;, &quot;year&quot;: &quot;2014&quot;, &quot;units&quot;: &quot;1158&quot;]}"/>
    <x v="3"/>
    <x v="2"/>
    <x v="0"/>
    <n v="1158"/>
    <n v="0.15"/>
    <x v="6"/>
    <n v="20"/>
    <n v="23160"/>
    <n v="19686"/>
    <n v="8106"/>
    <x v="1"/>
    <x v="3"/>
    <x v="6"/>
  </r>
  <r>
    <s v="ORD-MXC-CPR-20140301"/>
    <s v="{&quot;type&quot;: &quot;buyerDetails&quot;, &quot;info&quot;: [&quot;origin&quot;: &quot;Mexico&quot;, &quot;segment&quot;: &quot;Channel Partners&quot;, &quot;date&quot;: &quot;1&quot;, &quot;month&quot;: &quot;3&quot;, &quot;year&quot;: &quot;2014&quot;, &quot;units&quot;: &quot;500&quot;]}"/>
    <x v="1"/>
    <x v="4"/>
    <x v="5"/>
    <n v="500"/>
    <n v="0.15"/>
    <x v="6"/>
    <n v="180"/>
    <n v="90000"/>
    <n v="76500"/>
    <n v="16500"/>
    <x v="1"/>
    <x v="3"/>
    <x v="6"/>
  </r>
  <r>
    <s v="ORD-FRA-SMB-20140301"/>
    <s v="{&quot;type&quot;: &quot;buyerDetails&quot;, &quot;info&quot;: [&quot;origin&quot;: &quot;France&quot;, &quot;segment&quot;: &quot;Small Business&quot;, &quot;date&quot;: &quot;1&quot;, &quot;month&quot;: &quot;3&quot;, &quot;year&quot;: &quot;2014&quot;, &quot;units&quot;: &quot;2475&quot;]}"/>
    <x v="0"/>
    <x v="1"/>
    <x v="4"/>
    <n v="2475"/>
    <n v="0.15"/>
    <x v="6"/>
    <n v="350"/>
    <n v="866250"/>
    <n v="736312.5"/>
    <n v="241312.5"/>
    <x v="1"/>
    <x v="3"/>
    <x v="6"/>
  </r>
  <r>
    <s v="ORD-GER-CPR-20140401"/>
    <s v="{&quot;type&quot;: &quot;buyerDetails&quot;, &quot;info&quot;: [&quot;origin&quot;: &quot;Germany&quot;, &quot;segment&quot;: &quot;Channel Partners&quot;, &quot;date&quot;: &quot;1&quot;, &quot;month&quot;: &quot;4&quot;, &quot;year&quot;: &quot;2014&quot;, &quot;units&quot;: &quot;2838&quot;]}"/>
    <x v="3"/>
    <x v="4"/>
    <x v="1"/>
    <n v="2838"/>
    <n v="0"/>
    <x v="7"/>
    <n v="300"/>
    <n v="851400"/>
    <n v="851400"/>
    <n v="141900"/>
    <x v="1"/>
    <x v="0"/>
    <x v="7"/>
  </r>
  <r>
    <s v="ORD-USA-CPR-20140401"/>
    <s v="{&quot;type&quot;: &quot;buyerDetails&quot;, &quot;info&quot;: [&quot;origin&quot;: &quot;United States of America&quot;, &quot;segment&quot;: &quot;Channel Partners&quot;, &quot;date&quot;: &quot;1&quot;, &quot;month&quot;: &quot;4&quot;, &quot;year&quot;: &quot;2014&quot;, &quot;units&quot;: &quot;1953&quot;]}"/>
    <x v="2"/>
    <x v="4"/>
    <x v="4"/>
    <n v="1953"/>
    <n v="0"/>
    <x v="7"/>
    <n v="350"/>
    <n v="683550"/>
    <n v="683550"/>
    <n v="292950"/>
    <x v="1"/>
    <x v="0"/>
    <x v="7"/>
  </r>
  <r>
    <s v="ORD-GER-ENT-20140401"/>
    <s v="{&quot;type&quot;: &quot;buyerDetails&quot;, &quot;info&quot;: [&quot;origin&quot;: &quot;Germany&quot;, &quot;segment&quot;: &quot;Enterprise&quot;, &quot;date&quot;: &quot;1&quot;, &quot;month&quot;: &quot;4&quot;, &quot;year&quot;: &quot;2014&quot;, &quot;units&quot;: &quot;4219&quot;]}"/>
    <x v="3"/>
    <x v="3"/>
    <x v="4"/>
    <n v="4219"/>
    <n v="0"/>
    <x v="7"/>
    <n v="350"/>
    <n v="1476650"/>
    <n v="1476650"/>
    <n v="632850"/>
    <x v="1"/>
    <x v="0"/>
    <x v="7"/>
  </r>
  <r>
    <s v="ORD-USA-SMB-20140401"/>
    <s v="{&quot;type&quot;: &quot;buyerDetails&quot;, &quot;info&quot;: [&quot;origin&quot;: &quot;United States of America&quot;, &quot;segment&quot;: &quot;Small Business&quot;, &quot;date&quot;: &quot;1&quot;, &quot;month&quot;: &quot;4&quot;, &quot;year&quot;: &quot;2014&quot;, &quot;units&quot;: &quot;2301&quot;]}"/>
    <x v="2"/>
    <x v="1"/>
    <x v="3"/>
    <n v="2301"/>
    <n v="0.01"/>
    <x v="7"/>
    <n v="15"/>
    <n v="34515"/>
    <n v="34169.85"/>
    <n v="22664.85"/>
    <x v="1"/>
    <x v="1"/>
    <x v="7"/>
  </r>
  <r>
    <s v="ORD-FRA-GOV-20140401"/>
    <s v="{&quot;type&quot;: &quot;buyerDetails&quot;, &quot;info&quot;: [&quot;origin&quot;: &quot;France&quot;, &quot;segment&quot;: &quot;Government&quot;, &quot;date&quot;: &quot;1&quot;, &quot;month&quot;: &quot;4&quot;, &quot;year&quot;: &quot;2014&quot;, &quot;units&quot;: &quot;3864&quot;]}"/>
    <x v="0"/>
    <x v="2"/>
    <x v="5"/>
    <n v="3864"/>
    <n v="0.01"/>
    <x v="7"/>
    <n v="180"/>
    <n v="695520"/>
    <n v="688564.8"/>
    <n v="224884.80000000005"/>
    <x v="1"/>
    <x v="1"/>
    <x v="7"/>
  </r>
  <r>
    <s v="ORD-USA-GOV-20140401"/>
    <s v="{&quot;type&quot;: &quot;buyerDetails&quot;, &quot;info&quot;: [&quot;origin&quot;: &quot;United States of America&quot;, &quot;segment&quot;: &quot;Government&quot;, &quot;date&quot;: &quot;1&quot;, &quot;month&quot;: &quot;4&quot;, &quot;year&quot;: &quot;2014&quot;, &quot;units&quot;: &quot;4492&quot;]}"/>
    <x v="2"/>
    <x v="2"/>
    <x v="0"/>
    <n v="4492"/>
    <n v="1.0001272102785905E-2"/>
    <x v="7"/>
    <n v="20"/>
    <n v="89840"/>
    <n v="88941.485714285722"/>
    <n v="44021.485714285722"/>
    <x v="1"/>
    <x v="1"/>
    <x v="7"/>
  </r>
  <r>
    <s v="ORD-CND-GOV-20140401"/>
    <s v="{&quot;type&quot;: &quot;buyerDetails&quot;, &quot;info&quot;: [&quot;origin&quot;: &quot;Canada&quot;, &quot;segment&quot;: &quot;Government&quot;, &quot;date&quot;: &quot;1&quot;, &quot;month&quot;: &quot;4&quot;, &quot;year&quot;: &quot;2014&quot;, &quot;units&quot;: &quot;943&quot;]}"/>
    <x v="4"/>
    <x v="2"/>
    <x v="1"/>
    <n v="943"/>
    <n v="1.0005302226935313E-2"/>
    <x v="7"/>
    <n v="300"/>
    <n v="282900"/>
    <n v="280069.5"/>
    <n v="44319.5"/>
    <x v="1"/>
    <x v="1"/>
    <x v="7"/>
  </r>
  <r>
    <s v="ORD-CND-ENT-20140401"/>
    <s v="{&quot;type&quot;: &quot;buyerDetails&quot;, &quot;info&quot;: [&quot;origin&quot;: &quot;Canada&quot;, &quot;segment&quot;: &quot;Enterprise&quot;, &quot;date&quot;: &quot;1&quot;, &quot;month&quot;: &quot;4&quot;, &quot;year&quot;: &quot;2014&quot;, &quot;units&quot;: &quot;742&quot;]}"/>
    <x v="4"/>
    <x v="3"/>
    <x v="2"/>
    <n v="742"/>
    <n v="2.0013477088948788E-2"/>
    <x v="7"/>
    <n v="20"/>
    <n v="14840"/>
    <n v="14543"/>
    <n v="12317"/>
    <x v="1"/>
    <x v="1"/>
    <x v="7"/>
  </r>
  <r>
    <s v="ORD-GER-GOV-20140401"/>
    <s v="{&quot;type&quot;: &quot;buyerDetails&quot;, &quot;info&quot;: [&quot;origin&quot;: &quot;Germany&quot;, &quot;segment&quot;: &quot;Government&quot;, &quot;date&quot;: &quot;1&quot;, &quot;month&quot;: &quot;4&quot;, &quot;year&quot;: &quot;2014&quot;, &quot;units&quot;: &quot;2580&quot;]}"/>
    <x v="3"/>
    <x v="2"/>
    <x v="2"/>
    <n v="2580"/>
    <n v="0.03"/>
    <x v="7"/>
    <n v="20"/>
    <n v="51600"/>
    <n v="50052"/>
    <n v="42312"/>
    <x v="1"/>
    <x v="1"/>
    <x v="7"/>
  </r>
  <r>
    <s v="ORD-MXC-CPR-20140401"/>
    <s v="{&quot;type&quot;: &quot;buyerDetails&quot;, &quot;info&quot;: [&quot;origin&quot;: &quot;Mexico&quot;, &quot;segment&quot;: &quot;Channel Partners&quot;, &quot;date&quot;: &quot;1&quot;, &quot;month&quot;: &quot;4&quot;, &quot;year&quot;: &quot;2014&quot;, &quot;units&quot;: &quot;1916&quot;]}"/>
    <x v="1"/>
    <x v="4"/>
    <x v="1"/>
    <n v="1916"/>
    <n v="0.03"/>
    <x v="7"/>
    <n v="300"/>
    <n v="574800"/>
    <n v="557556"/>
    <n v="78556"/>
    <x v="1"/>
    <x v="1"/>
    <x v="7"/>
  </r>
  <r>
    <s v="ORD-FRA-ENT-20140401"/>
    <s v="{&quot;type&quot;: &quot;buyerDetails&quot;, &quot;info&quot;: [&quot;origin&quot;: &quot;France&quot;, &quot;segment&quot;: &quot;Enterprise&quot;, &quot;date&quot;: &quot;1&quot;, &quot;month&quot;: &quot;4&quot;, &quot;year&quot;: &quot;2014&quot;, &quot;units&quot;: &quot;4243&quot;]}"/>
    <x v="0"/>
    <x v="3"/>
    <x v="2"/>
    <n v="4243"/>
    <n v="3.0003544661795896E-2"/>
    <x v="7"/>
    <n v="20"/>
    <n v="84860"/>
    <n v="82313.8992"/>
    <n v="69584.8992"/>
    <x v="1"/>
    <x v="1"/>
    <x v="7"/>
  </r>
  <r>
    <s v="ORD-CND-GOV-20140401"/>
    <s v="{&quot;type&quot;: &quot;buyerDetails&quot;, &quot;info&quot;: [&quot;origin&quot;: &quot;Canada&quot;, &quot;segment&quot;: &quot;Government&quot;, &quot;date&quot;: &quot;1&quot;, &quot;month&quot;: &quot;4&quot;, &quot;year&quot;: &quot;2014&quot;, &quot;units&quot;: &quot;3850&quot;]}"/>
    <x v="4"/>
    <x v="2"/>
    <x v="5"/>
    <n v="3850"/>
    <n v="3.0003896103896106E-2"/>
    <x v="7"/>
    <n v="180"/>
    <n v="693000"/>
    <n v="672207.3"/>
    <n v="210207.30000000005"/>
    <x v="1"/>
    <x v="1"/>
    <x v="7"/>
  </r>
  <r>
    <s v="ORD-MXC-ENT-20140401"/>
    <s v="{&quot;type&quot;: &quot;buyerDetails&quot;, &quot;info&quot;: [&quot;origin&quot;: &quot;Mexico&quot;, &quot;segment&quot;: &quot;Enterprise&quot;, &quot;date&quot;: &quot;1&quot;, &quot;month&quot;: &quot;4&quot;, &quot;year&quot;: &quot;2014&quot;, &quot;units&quot;: &quot;1074&quot;]}"/>
    <x v="1"/>
    <x v="3"/>
    <x v="4"/>
    <n v="1074"/>
    <n v="0.04"/>
    <x v="7"/>
    <n v="350"/>
    <n v="375900"/>
    <n v="360864"/>
    <n v="146064"/>
    <x v="1"/>
    <x v="1"/>
    <x v="7"/>
  </r>
  <r>
    <s v="ORD-GER-SMB-20140401"/>
    <s v="{&quot;type&quot;: &quot;buyerDetails&quot;, &quot;info&quot;: [&quot;origin&quot;: &quot;Germany&quot;, &quot;segment&quot;: &quot;Small Business&quot;, &quot;date&quot;: &quot;1&quot;, &quot;month&quot;: &quot;4&quot;, &quot;year&quot;: &quot;2014&quot;, &quot;units&quot;: &quot;1414&quot;]}"/>
    <x v="3"/>
    <x v="1"/>
    <x v="0"/>
    <n v="1414"/>
    <n v="4.0014144271570011E-2"/>
    <x v="7"/>
    <n v="20"/>
    <n v="28280"/>
    <n v="27148.400000000001"/>
    <n v="13008.400000000001"/>
    <x v="1"/>
    <x v="1"/>
    <x v="7"/>
  </r>
  <r>
    <s v="ORD-MXC-SMB-20140401"/>
    <s v="{&quot;type&quot;: &quot;buyerDetails&quot;, &quot;info&quot;: [&quot;origin&quot;: &quot;Mexico&quot;, &quot;segment&quot;: &quot;Small Business&quot;, &quot;date&quot;: &quot;1&quot;, &quot;month&quot;: &quot;4&quot;, &quot;year&quot;: &quot;2014&quot;, &quot;units&quot;: &quot;1607&quot;]}"/>
    <x v="1"/>
    <x v="1"/>
    <x v="0"/>
    <n v="1607"/>
    <n v="0.05"/>
    <x v="7"/>
    <n v="20"/>
    <n v="32140"/>
    <n v="30533"/>
    <n v="14463"/>
    <x v="1"/>
    <x v="2"/>
    <x v="7"/>
  </r>
  <r>
    <s v="ORD-MXC-GOV-20140401"/>
    <s v="{&quot;type&quot;: &quot;buyerDetails&quot;, &quot;info&quot;: [&quot;origin&quot;: &quot;Mexico&quot;, &quot;segment&quot;: &quot;Government&quot;, &quot;date&quot;: &quot;1&quot;, &quot;month&quot;: &quot;4&quot;, &quot;year&quot;: &quot;2014&quot;, &quot;units&quot;: &quot;980&quot;]}"/>
    <x v="1"/>
    <x v="2"/>
    <x v="3"/>
    <n v="980"/>
    <n v="0.06"/>
    <x v="7"/>
    <n v="15"/>
    <n v="14700"/>
    <n v="13818"/>
    <n v="8918"/>
    <x v="1"/>
    <x v="2"/>
    <x v="7"/>
  </r>
  <r>
    <s v="ORD-FRA-MDM-20140401"/>
    <s v="{&quot;type&quot;: &quot;buyerDetails&quot;, &quot;info&quot;: [&quot;origin&quot;: &quot;France&quot;, &quot;segment&quot;: &quot;Midmarket&quot;, &quot;date&quot;: &quot;1&quot;, &quot;month&quot;: &quot;4&quot;, &quot;year&quot;: &quot;2014&quot;, &quot;units&quot;: &quot;3801&quot;]}"/>
    <x v="0"/>
    <x v="0"/>
    <x v="0"/>
    <n v="3801"/>
    <n v="6.0000000000000005E-2"/>
    <x v="7"/>
    <n v="20"/>
    <n v="76020"/>
    <n v="71458.8"/>
    <n v="33448.800000000003"/>
    <x v="1"/>
    <x v="2"/>
    <x v="7"/>
  </r>
  <r>
    <s v="ORD-FRA-CPR-20140401"/>
    <s v="{&quot;type&quot;: &quot;buyerDetails&quot;, &quot;info&quot;: [&quot;origin&quot;: &quot;France&quot;, &quot;segment&quot;: &quot;Channel Partners&quot;, &quot;date&quot;: &quot;1&quot;, &quot;month&quot;: &quot;4&quot;, &quot;year&quot;: &quot;2014&quot;, &quot;units&quot;: &quot;1738&quot;]}"/>
    <x v="0"/>
    <x v="4"/>
    <x v="1"/>
    <n v="1738"/>
    <n v="7.0020138089758335E-2"/>
    <x v="7"/>
    <n v="300"/>
    <n v="521400"/>
    <n v="484891.5"/>
    <n v="50391.5"/>
    <x v="1"/>
    <x v="2"/>
    <x v="7"/>
  </r>
  <r>
    <s v="ORD-GER-GOV-20140401"/>
    <s v="{&quot;type&quot;: &quot;buyerDetails&quot;, &quot;info&quot;: [&quot;origin&quot;: &quot;Germany&quot;, &quot;segment&quot;: &quot;Government&quot;, &quot;date&quot;: &quot;1&quot;, &quot;month&quot;: &quot;4&quot;, &quot;year&quot;: &quot;2014&quot;, &quot;units&quot;: &quot;1259&quot;]}"/>
    <x v="3"/>
    <x v="2"/>
    <x v="0"/>
    <n v="1259"/>
    <n v="0.08"/>
    <x v="7"/>
    <n v="20"/>
    <n v="25180"/>
    <n v="23165.600000000002"/>
    <n v="10575.600000000002"/>
    <x v="1"/>
    <x v="2"/>
    <x v="7"/>
  </r>
  <r>
    <s v="ORD-FRA-GOV-20140401"/>
    <s v="{&quot;type&quot;: &quot;buyerDetails&quot;, &quot;info&quot;: [&quot;origin&quot;: &quot;France&quot;, &quot;segment&quot;: &quot;Government&quot;, &quot;date&quot;: &quot;1&quot;, &quot;month&quot;: &quot;4&quot;, &quot;year&quot;: &quot;2014&quot;, &quot;units&quot;: &quot;574&quot;]}"/>
    <x v="0"/>
    <x v="2"/>
    <x v="1"/>
    <n v="574"/>
    <n v="8.0069686411149824E-2"/>
    <x v="7"/>
    <n v="300"/>
    <n v="172200"/>
    <n v="158412"/>
    <n v="14912"/>
    <x v="1"/>
    <x v="2"/>
    <x v="7"/>
  </r>
  <r>
    <s v="ORD-USA-MDM-20140401"/>
    <s v="{&quot;type&quot;: &quot;buyerDetails&quot;, &quot;info&quot;: [&quot;origin&quot;: &quot;United States of America&quot;, &quot;segment&quot;: &quot;Midmarket&quot;, &quot;date&quot;: &quot;1&quot;, &quot;month&quot;: &quot;4&quot;, &quot;year&quot;: &quot;2014&quot;, &quot;units&quot;: &quot;3675&quot;]}"/>
    <x v="2"/>
    <x v="0"/>
    <x v="0"/>
    <n v="3675"/>
    <n v="0.09"/>
    <x v="7"/>
    <n v="20"/>
    <n v="73500"/>
    <n v="66885"/>
    <n v="30135"/>
    <x v="1"/>
    <x v="2"/>
    <x v="7"/>
  </r>
  <r>
    <s v="ORD-MXC-MDM-20140401"/>
    <s v="{&quot;type&quot;: &quot;buyerDetails&quot;, &quot;info&quot;: [&quot;origin&quot;: &quot;Mexico&quot;, &quot;segment&quot;: &quot;Midmarket&quot;, &quot;date&quot;: &quot;1&quot;, &quot;month&quot;: &quot;4&quot;, &quot;year&quot;: &quot;2014&quot;, &quot;units&quot;: &quot;2628&quot;]}"/>
    <x v="1"/>
    <x v="0"/>
    <x v="5"/>
    <n v="2628"/>
    <n v="9.0000000000000011E-2"/>
    <x v="7"/>
    <n v="180"/>
    <n v="473040"/>
    <n v="430466.4"/>
    <n v="115106.40000000002"/>
    <x v="1"/>
    <x v="2"/>
    <x v="7"/>
  </r>
  <r>
    <s v="ORD-CND-SMB-20140401"/>
    <s v="{&quot;type&quot;: &quot;buyerDetails&quot;, &quot;info&quot;: [&quot;origin&quot;: &quot;Canada&quot;, &quot;segment&quot;: &quot;Small Business&quot;, &quot;date&quot;: &quot;1&quot;, &quot;month&quot;: &quot;4&quot;, &quot;year&quot;: &quot;2014&quot;, &quot;units&quot;: &quot;3802&quot;]}"/>
    <x v="4"/>
    <x v="1"/>
    <x v="3"/>
    <n v="3802"/>
    <n v="9.0011835875854818E-2"/>
    <x v="7"/>
    <n v="15"/>
    <n v="57030"/>
    <n v="51896.625"/>
    <n v="32886.625"/>
    <x v="1"/>
    <x v="2"/>
    <x v="7"/>
  </r>
  <r>
    <s v="ORD-USA-GOV-20140401"/>
    <s v="{&quot;type&quot;: &quot;buyerDetails&quot;, &quot;info&quot;: [&quot;origin&quot;: &quot;United States of America&quot;, &quot;segment&quot;: &quot;Government&quot;, &quot;date&quot;: &quot;1&quot;, &quot;month&quot;: &quot;4&quot;, &quot;year&quot;: &quot;2014&quot;, &quot;units&quot;: &quot;1351&quot;]}"/>
    <x v="2"/>
    <x v="2"/>
    <x v="1"/>
    <n v="1351"/>
    <n v="9.0033308660251665E-2"/>
    <x v="7"/>
    <n v="300"/>
    <n v="405300"/>
    <n v="368809.5"/>
    <n v="31059.5"/>
    <x v="1"/>
    <x v="2"/>
    <x v="7"/>
  </r>
  <r>
    <s v="ORD-GER-MDM-20140401"/>
    <s v="{&quot;type&quot;: &quot;buyerDetails&quot;, &quot;info&quot;: [&quot;origin&quot;: &quot;Germany&quot;, &quot;segment&quot;: &quot;Midmarket&quot;, &quot;date&quot;: &quot;1&quot;, &quot;month&quot;: &quot;4&quot;, &quot;year&quot;: &quot;2014&quot;, &quot;units&quot;: &quot;510&quot;]}"/>
    <x v="3"/>
    <x v="0"/>
    <x v="5"/>
    <n v="510"/>
    <n v="0.1"/>
    <x v="7"/>
    <n v="180"/>
    <n v="91800"/>
    <n v="82620"/>
    <n v="21420"/>
    <x v="1"/>
    <x v="3"/>
    <x v="7"/>
  </r>
  <r>
    <s v="ORD-CND-CPR-20140401"/>
    <s v="{&quot;type&quot;: &quot;buyerDetails&quot;, &quot;info&quot;: [&quot;origin&quot;: &quot;Canada&quot;, &quot;segment&quot;: &quot;Channel Partners&quot;, &quot;date&quot;: &quot;1&quot;, &quot;month&quot;: &quot;4&quot;, &quot;year&quot;: &quot;2014&quot;, &quot;units&quot;: &quot;3520&quot;]}"/>
    <x v="4"/>
    <x v="4"/>
    <x v="4"/>
    <n v="3520"/>
    <n v="0.10001420454545455"/>
    <x v="7"/>
    <n v="350"/>
    <n v="1232000"/>
    <n v="1108782.5"/>
    <n v="404782.5"/>
    <x v="1"/>
    <x v="3"/>
    <x v="7"/>
  </r>
  <r>
    <s v="ORD-USA-ENT-20140401"/>
    <s v="{&quot;type&quot;: &quot;buyerDetails&quot;, &quot;info&quot;: [&quot;origin&quot;: &quot;United States of America&quot;, &quot;segment&quot;: &quot;Enterprise&quot;, &quot;date&quot;: &quot;1&quot;, &quot;month&quot;: &quot;4&quot;, &quot;year&quot;: &quot;2014&quot;, &quot;units&quot;: &quot;3445&quot;]}"/>
    <x v="2"/>
    <x v="3"/>
    <x v="2"/>
    <n v="3445"/>
    <n v="0.1000145137880987"/>
    <x v="7"/>
    <n v="20"/>
    <n v="68900"/>
    <n v="62009"/>
    <n v="51674"/>
    <x v="1"/>
    <x v="3"/>
    <x v="7"/>
  </r>
  <r>
    <s v="ORD-FRA-GOV-20140401"/>
    <s v="{&quot;type&quot;: &quot;buyerDetails&quot;, &quot;info&quot;: [&quot;origin&quot;: &quot;France&quot;, &quot;segment&quot;: &quot;Government&quot;, &quot;date&quot;: &quot;1&quot;, &quot;month&quot;: &quot;4&quot;, &quot;year&quot;: &quot;2014&quot;, &quot;units&quot;: &quot;2532&quot;]}"/>
    <x v="0"/>
    <x v="2"/>
    <x v="0"/>
    <n v="2532"/>
    <n v="0.11"/>
    <x v="7"/>
    <n v="20"/>
    <n v="50640"/>
    <n v="45069.599999999999"/>
    <n v="19749.599999999999"/>
    <x v="1"/>
    <x v="3"/>
    <x v="7"/>
  </r>
  <r>
    <s v="ORD-FRA-SMB-20140401"/>
    <s v="{&quot;type&quot;: &quot;buyerDetails&quot;, &quot;info&quot;: [&quot;origin&quot;: &quot;France&quot;, &quot;segment&quot;: &quot;Small Business&quot;, &quot;date&quot;: &quot;1&quot;, &quot;month&quot;: &quot;4&quot;, &quot;year&quot;: &quot;2014&quot;, &quot;units&quot;: &quot;1773&quot;]}"/>
    <x v="0"/>
    <x v="1"/>
    <x v="3"/>
    <n v="1773"/>
    <n v="0.12"/>
    <x v="7"/>
    <n v="15"/>
    <n v="26595"/>
    <n v="23403.599999999999"/>
    <n v="14538.599999999999"/>
    <x v="1"/>
    <x v="3"/>
    <x v="7"/>
  </r>
  <r>
    <s v="ORD-USA-GOV-20140401"/>
    <s v="{&quot;type&quot;: &quot;buyerDetails&quot;, &quot;info&quot;: [&quot;origin&quot;: &quot;United States of America&quot;, &quot;segment&quot;: &quot;Government&quot;, &quot;date&quot;: &quot;1&quot;, &quot;month&quot;: &quot;4&quot;, &quot;year&quot;: &quot;2014&quot;, &quot;units&quot;: &quot;606&quot;]}"/>
    <x v="2"/>
    <x v="2"/>
    <x v="5"/>
    <n v="606"/>
    <n v="0.13999999999999999"/>
    <x v="7"/>
    <n v="180"/>
    <n v="109080"/>
    <n v="93808.8"/>
    <n v="21088.800000000003"/>
    <x v="1"/>
    <x v="3"/>
    <x v="7"/>
  </r>
  <r>
    <s v="ORD-MXC-GOV-20140401"/>
    <s v="{&quot;type&quot;: &quot;buyerDetails&quot;, &quot;info&quot;: [&quot;origin&quot;: &quot;Mexico&quot;, &quot;segment&quot;: &quot;Government&quot;, &quot;date&quot;: &quot;1&quot;, &quot;month&quot;: &quot;4&quot;, &quot;year&quot;: &quot;2014&quot;, &quot;units&quot;: &quot;2579&quot;]}"/>
    <x v="1"/>
    <x v="2"/>
    <x v="2"/>
    <n v="2579"/>
    <n v="0.13999999999999999"/>
    <x v="7"/>
    <n v="20"/>
    <n v="51580"/>
    <n v="44358.8"/>
    <n v="36621.800000000003"/>
    <x v="1"/>
    <x v="3"/>
    <x v="7"/>
  </r>
  <r>
    <s v="ORD-GER-GOV-20140401"/>
    <s v="{&quot;type&quot;: &quot;buyerDetails&quot;, &quot;info&quot;: [&quot;origin&quot;: &quot;Germany&quot;, &quot;segment&quot;: &quot;Government&quot;, &quot;date&quot;: &quot;1&quot;, &quot;month&quot;: &quot;4&quot;, &quot;year&quot;: &quot;2014&quot;, &quot;units&quot;: &quot;1199&quot;]}"/>
    <x v="3"/>
    <x v="2"/>
    <x v="3"/>
    <n v="1199"/>
    <n v="0.14000000000000001"/>
    <x v="7"/>
    <n v="15"/>
    <n v="17985"/>
    <n v="15467.1"/>
    <n v="9472.1"/>
    <x v="1"/>
    <x v="3"/>
    <x v="7"/>
  </r>
  <r>
    <s v="ORD-CND-GOV-20140401"/>
    <s v="{&quot;type&quot;: &quot;buyerDetails&quot;, &quot;info&quot;: [&quot;origin&quot;: &quot;Canada&quot;, &quot;segment&quot;: &quot;Government&quot;, &quot;date&quot;: &quot;1&quot;, &quot;month&quot;: &quot;4&quot;, &quot;year&quot;: &quot;2014&quot;, &quot;units&quot;: &quot;723&quot;]}"/>
    <x v="4"/>
    <x v="2"/>
    <x v="0"/>
    <n v="723"/>
    <n v="0.15"/>
    <x v="7"/>
    <n v="20"/>
    <n v="14460"/>
    <n v="12291"/>
    <n v="5061"/>
    <x v="1"/>
    <x v="3"/>
    <x v="7"/>
  </r>
  <r>
    <s v="ORD-CND-MDM-20140401"/>
    <s v="{&quot;type&quot;: &quot;buyerDetails&quot;, &quot;info&quot;: [&quot;origin&quot;: &quot;Canada&quot;, &quot;segment&quot;: &quot;Midmarket&quot;, &quot;date&quot;: &quot;1&quot;, &quot;month&quot;: &quot;4&quot;, &quot;year&quot;: &quot;2014&quot;, &quot;units&quot;: &quot;1614&quot;]}"/>
    <x v="4"/>
    <x v="0"/>
    <x v="0"/>
    <n v="1614"/>
    <n v="0.15"/>
    <x v="7"/>
    <n v="20"/>
    <n v="32280"/>
    <n v="27438"/>
    <n v="11298"/>
    <x v="1"/>
    <x v="3"/>
    <x v="7"/>
  </r>
  <r>
    <s v="ORD-MXC-GOV-20140401"/>
    <s v="{&quot;type&quot;: &quot;buyerDetails&quot;, &quot;info&quot;: [&quot;origin&quot;: &quot;Mexico&quot;, &quot;segment&quot;: &quot;Government&quot;, &quot;date&quot;: &quot;1&quot;, &quot;month&quot;: &quot;4&quot;, &quot;year&quot;: &quot;2014&quot;, &quot;units&quot;: &quot;2535&quot;]}"/>
    <x v="1"/>
    <x v="2"/>
    <x v="0"/>
    <n v="2535"/>
    <n v="0.15"/>
    <x v="7"/>
    <n v="20"/>
    <n v="50700"/>
    <n v="43095"/>
    <n v="17745"/>
    <x v="1"/>
    <x v="3"/>
    <x v="7"/>
  </r>
  <r>
    <s v="ORD-FRA-GOV-20140501"/>
    <s v="{&quot;type&quot;: &quot;buyerDetails&quot;, &quot;info&quot;: [&quot;origin&quot;: &quot;France&quot;, &quot;segment&quot;: &quot;Government&quot;, &quot;date&quot;: &quot;1&quot;, &quot;month&quot;: &quot;5&quot;, &quot;year&quot;: &quot;2014&quot;, &quot;units&quot;: &quot;1030&quot;]}"/>
    <x v="0"/>
    <x v="2"/>
    <x v="0"/>
    <n v="1030"/>
    <n v="9.9999999999999985E-3"/>
    <x v="8"/>
    <n v="20"/>
    <n v="20600"/>
    <n v="20394"/>
    <n v="10094"/>
    <x v="1"/>
    <x v="1"/>
    <x v="8"/>
  </r>
  <r>
    <s v="ORD-MXC-GOV-20140501"/>
    <s v="{&quot;type&quot;: &quot;buyerDetails&quot;, &quot;info&quot;: [&quot;origin&quot;: &quot;Mexico&quot;, &quot;segment&quot;: &quot;Government&quot;, &quot;date&quot;: &quot;1&quot;, &quot;month&quot;: &quot;5&quot;, &quot;year&quot;: &quot;2014&quot;, &quot;units&quot;: &quot;362&quot;]}"/>
    <x v="1"/>
    <x v="2"/>
    <x v="5"/>
    <n v="362"/>
    <n v="0.01"/>
    <x v="8"/>
    <n v="180"/>
    <n v="65160"/>
    <n v="64508.4"/>
    <n v="21068.400000000001"/>
    <x v="1"/>
    <x v="1"/>
    <x v="8"/>
  </r>
  <r>
    <s v="ORD-FRA-SMB-20140501"/>
    <s v="{&quot;type&quot;: &quot;buyerDetails&quot;, &quot;info&quot;: [&quot;origin&quot;: &quot;France&quot;, &quot;segment&quot;: &quot;Small Business&quot;, &quot;date&quot;: &quot;1&quot;, &quot;month&quot;: &quot;5&quot;, &quot;year&quot;: &quot;2014&quot;, &quot;units&quot;: &quot;918&quot;]}"/>
    <x v="0"/>
    <x v="1"/>
    <x v="0"/>
    <n v="918"/>
    <n v="0.02"/>
    <x v="8"/>
    <n v="20"/>
    <n v="18360"/>
    <n v="17992.8"/>
    <n v="8812.7999999999993"/>
    <x v="1"/>
    <x v="1"/>
    <x v="8"/>
  </r>
  <r>
    <s v="ORD-GER-SMB-20140501"/>
    <s v="{&quot;type&quot;: &quot;buyerDetails&quot;, &quot;info&quot;: [&quot;origin&quot;: &quot;Germany&quot;, &quot;segment&quot;: &quot;Small Business&quot;, &quot;date&quot;: &quot;1&quot;, &quot;month&quot;: &quot;5&quot;, &quot;year&quot;: &quot;2014&quot;, &quot;units&quot;: &quot;1728&quot;]}"/>
    <x v="3"/>
    <x v="1"/>
    <x v="0"/>
    <n v="1728"/>
    <n v="0.02"/>
    <x v="8"/>
    <n v="20"/>
    <n v="34560"/>
    <n v="33868.800000000003"/>
    <n v="16588.800000000003"/>
    <x v="1"/>
    <x v="1"/>
    <x v="8"/>
  </r>
  <r>
    <s v="ORD-GER-ENT-20140501"/>
    <s v="{&quot;type&quot;: &quot;buyerDetails&quot;, &quot;info&quot;: [&quot;origin&quot;: &quot;Germany&quot;, &quot;segment&quot;: &quot;Enterprise&quot;, &quot;date&quot;: &quot;1&quot;, &quot;month&quot;: &quot;5&quot;, &quot;year&quot;: &quot;2014&quot;, &quot;units&quot;: &quot;2276&quot;]}"/>
    <x v="3"/>
    <x v="3"/>
    <x v="4"/>
    <n v="2276"/>
    <n v="0.02"/>
    <x v="8"/>
    <n v="350"/>
    <n v="796600"/>
    <n v="780668"/>
    <n v="325468"/>
    <x v="1"/>
    <x v="1"/>
    <x v="8"/>
  </r>
  <r>
    <s v="ORD-CND-GOV-20140501"/>
    <s v="{&quot;type&quot;: &quot;buyerDetails&quot;, &quot;info&quot;: [&quot;origin&quot;: &quot;Canada&quot;, &quot;segment&quot;: &quot;Government&quot;, &quot;date&quot;: &quot;1&quot;, &quot;month&quot;: &quot;5&quot;, &quot;year&quot;: &quot;2014&quot;, &quot;units&quot;: &quot;831&quot;]}"/>
    <x v="4"/>
    <x v="2"/>
    <x v="2"/>
    <n v="831"/>
    <n v="3.0000000000000002E-2"/>
    <x v="8"/>
    <n v="20"/>
    <n v="16620"/>
    <n v="16121.4"/>
    <n v="13628.4"/>
    <x v="1"/>
    <x v="1"/>
    <x v="8"/>
  </r>
  <r>
    <s v="ORD-USA-SMB-20140501"/>
    <s v="{&quot;type&quot;: &quot;buyerDetails&quot;, &quot;info&quot;: [&quot;origin&quot;: &quot;United States of America&quot;, &quot;segment&quot;: &quot;Small Business&quot;, &quot;date&quot;: &quot;1&quot;, &quot;month&quot;: &quot;5&quot;, &quot;year&quot;: &quot;2014&quot;, &quot;units&quot;: &quot;2918&quot;]}"/>
    <x v="2"/>
    <x v="1"/>
    <x v="0"/>
    <n v="2918"/>
    <n v="0.04"/>
    <x v="8"/>
    <n v="20"/>
    <n v="58360"/>
    <n v="56025.599999999999"/>
    <n v="26845.599999999999"/>
    <x v="1"/>
    <x v="1"/>
    <x v="8"/>
  </r>
  <r>
    <s v="ORD-FRA-CPR-20140501"/>
    <s v="{&quot;type&quot;: &quot;buyerDetails&quot;, &quot;info&quot;: [&quot;origin&quot;: &quot;France&quot;, &quot;segment&quot;: &quot;Channel Partners&quot;, &quot;date&quot;: &quot;1&quot;, &quot;month&quot;: &quot;5&quot;, &quot;year&quot;: &quot;2014&quot;, &quot;units&quot;: &quot;866&quot;]}"/>
    <x v="0"/>
    <x v="4"/>
    <x v="1"/>
    <n v="866"/>
    <n v="0.04"/>
    <x v="8"/>
    <n v="300"/>
    <n v="259800"/>
    <n v="249408"/>
    <n v="32908"/>
    <x v="1"/>
    <x v="1"/>
    <x v="8"/>
  </r>
  <r>
    <s v="ORD-USA-GOV-20140501"/>
    <s v="{&quot;type&quot;: &quot;buyerDetails&quot;, &quot;info&quot;: [&quot;origin&quot;: &quot;United States of America&quot;, &quot;segment&quot;: &quot;Government&quot;, &quot;date&quot;: &quot;1&quot;, &quot;month&quot;: &quot;5&quot;, &quot;year&quot;: &quot;2014&quot;, &quot;units&quot;: &quot;2327&quot;]}"/>
    <x v="2"/>
    <x v="2"/>
    <x v="0"/>
    <n v="2327"/>
    <n v="0.05"/>
    <x v="8"/>
    <n v="20"/>
    <n v="46540"/>
    <n v="44213"/>
    <n v="20943"/>
    <x v="1"/>
    <x v="2"/>
    <x v="8"/>
  </r>
  <r>
    <s v="ORD-FRA-GOV-20140501"/>
    <s v="{&quot;type&quot;: &quot;buyerDetails&quot;, &quot;info&quot;: [&quot;origin&quot;: &quot;France&quot;, &quot;segment&quot;: &quot;Government&quot;, &quot;date&quot;: &quot;1&quot;, &quot;month&quot;: &quot;5&quot;, &quot;year&quot;: &quot;2014&quot;, &quot;units&quot;: &quot;1563&quot;]}"/>
    <x v="0"/>
    <x v="2"/>
    <x v="2"/>
    <n v="1563"/>
    <n v="0.05"/>
    <x v="8"/>
    <n v="20"/>
    <n v="31260"/>
    <n v="29697"/>
    <n v="25008"/>
    <x v="1"/>
    <x v="2"/>
    <x v="8"/>
  </r>
  <r>
    <s v="ORD-GER-GOV-20140501"/>
    <s v="{&quot;type&quot;: &quot;buyerDetails&quot;, &quot;info&quot;: [&quot;origin&quot;: &quot;Germany&quot;, &quot;segment&quot;: &quot;Government&quot;, &quot;date&quot;: &quot;1&quot;, &quot;month&quot;: &quot;5&quot;, &quot;year&quot;: &quot;2014&quot;, &quot;units&quot;: &quot;1460&quot;]}"/>
    <x v="3"/>
    <x v="2"/>
    <x v="3"/>
    <n v="1460"/>
    <n v="0.06"/>
    <x v="8"/>
    <n v="15"/>
    <n v="21900"/>
    <n v="20586"/>
    <n v="13286"/>
    <x v="1"/>
    <x v="2"/>
    <x v="8"/>
  </r>
  <r>
    <s v="ORD-GER-MDM-20140501"/>
    <s v="{&quot;type&quot;: &quot;buyerDetails&quot;, &quot;info&quot;: [&quot;origin&quot;: &quot;Germany&quot;, &quot;segment&quot;: &quot;Midmarket&quot;, &quot;date&quot;: &quot;1&quot;, &quot;month&quot;: &quot;5&quot;, &quot;year&quot;: &quot;2014&quot;, &quot;units&quot;: &quot;1530&quot;]}"/>
    <x v="3"/>
    <x v="0"/>
    <x v="5"/>
    <n v="1530"/>
    <n v="0.06"/>
    <x v="8"/>
    <n v="180"/>
    <n v="275400"/>
    <n v="258875.99999999997"/>
    <n v="75275.999999999971"/>
    <x v="1"/>
    <x v="2"/>
    <x v="8"/>
  </r>
  <r>
    <s v="ORD-CND-MDM-20140501"/>
    <s v="{&quot;type&quot;: &quot;buyerDetails&quot;, &quot;info&quot;: [&quot;origin&quot;: &quot;Canada&quot;, &quot;segment&quot;: &quot;Midmarket&quot;, &quot;date&quot;: &quot;1&quot;, &quot;month&quot;: &quot;5&quot;, &quot;year&quot;: &quot;2014&quot;, &quot;units&quot;: &quot;1262&quot;]}"/>
    <x v="4"/>
    <x v="0"/>
    <x v="5"/>
    <n v="1262"/>
    <n v="6.9999999999999993E-2"/>
    <x v="8"/>
    <n v="180"/>
    <n v="227160"/>
    <n v="211258.80000000002"/>
    <n v="59818.800000000017"/>
    <x v="1"/>
    <x v="2"/>
    <x v="8"/>
  </r>
  <r>
    <s v="ORD-CND-SMB-20140501"/>
    <s v="{&quot;type&quot;: &quot;buyerDetails&quot;, &quot;info&quot;: [&quot;origin&quot;: &quot;Canada&quot;, &quot;segment&quot;: &quot;Small Business&quot;, &quot;date&quot;: &quot;1&quot;, &quot;month&quot;: &quot;5&quot;, &quot;year&quot;: &quot;2014&quot;, &quot;units&quot;: &quot;1702&quot;]}"/>
    <x v="4"/>
    <x v="1"/>
    <x v="0"/>
    <n v="1702"/>
    <n v="7.0000000000000007E-2"/>
    <x v="8"/>
    <n v="20"/>
    <n v="34040"/>
    <n v="31657.199999999997"/>
    <n v="14637.199999999997"/>
    <x v="1"/>
    <x v="2"/>
    <x v="8"/>
  </r>
  <r>
    <s v="ORD-CND-ENT-20140501"/>
    <s v="{&quot;type&quot;: &quot;buyerDetails&quot;, &quot;info&quot;: [&quot;origin&quot;: &quot;Canada&quot;, &quot;segment&quot;: &quot;Enterprise&quot;, &quot;date&quot;: &quot;1&quot;, &quot;month&quot;: &quot;5&quot;, &quot;year&quot;: &quot;2014&quot;, &quot;units&quot;: &quot;1645&quot;]}"/>
    <x v="4"/>
    <x v="3"/>
    <x v="4"/>
    <n v="1645"/>
    <n v="7.0000000000000007E-2"/>
    <x v="8"/>
    <n v="350"/>
    <n v="575750"/>
    <n v="535447.5"/>
    <n v="206447.5"/>
    <x v="1"/>
    <x v="2"/>
    <x v="8"/>
  </r>
  <r>
    <s v="ORD-CND-GOV-20140501"/>
    <s v="{&quot;type&quot;: &quot;buyerDetails&quot;, &quot;info&quot;: [&quot;origin&quot;: &quot;Canada&quot;, &quot;segment&quot;: &quot;Government&quot;, &quot;date&quot;: &quot;1&quot;, &quot;month&quot;: &quot;5&quot;, &quot;year&quot;: &quot;2014&quot;, &quot;units&quot;: &quot;257&quot;]}"/>
    <x v="4"/>
    <x v="2"/>
    <x v="0"/>
    <n v="257"/>
    <n v="7.9999999999999988E-2"/>
    <x v="8"/>
    <n v="20"/>
    <n v="5140"/>
    <n v="4728.8"/>
    <n v="2158.8000000000002"/>
    <x v="1"/>
    <x v="2"/>
    <x v="8"/>
  </r>
  <r>
    <s v="ORD-GER-GOV-20140501"/>
    <s v="{&quot;type&quot;: &quot;buyerDetails&quot;, &quot;info&quot;: [&quot;origin&quot;: &quot;Germany&quot;, &quot;segment&quot;: &quot;Government&quot;, &quot;date&quot;: &quot;1&quot;, &quot;month&quot;: &quot;5&quot;, &quot;year&quot;: &quot;2014&quot;, &quot;units&quot;: &quot;1095&quot;]}"/>
    <x v="3"/>
    <x v="2"/>
    <x v="0"/>
    <n v="1095"/>
    <n v="0.08"/>
    <x v="8"/>
    <n v="20"/>
    <n v="21900"/>
    <n v="20148"/>
    <n v="9198"/>
    <x v="1"/>
    <x v="2"/>
    <x v="8"/>
  </r>
  <r>
    <s v="ORD-MXC-MDM-20140501"/>
    <s v="{&quot;type&quot;: &quot;buyerDetails&quot;, &quot;info&quot;: [&quot;origin&quot;: &quot;Mexico&quot;, &quot;segment&quot;: &quot;Midmarket&quot;, &quot;date&quot;: &quot;1&quot;, &quot;month&quot;: &quot;5&quot;, &quot;year&quot;: &quot;2014&quot;, &quot;units&quot;: &quot;245&quot;]}"/>
    <x v="1"/>
    <x v="0"/>
    <x v="5"/>
    <n v="245"/>
    <n v="0.09"/>
    <x v="8"/>
    <n v="180"/>
    <n v="44100"/>
    <n v="40131"/>
    <n v="10731"/>
    <x v="1"/>
    <x v="2"/>
    <x v="8"/>
  </r>
  <r>
    <s v="ORD-FRA-GOV-20140501"/>
    <s v="{&quot;type&quot;: &quot;buyerDetails&quot;, &quot;info&quot;: [&quot;origin&quot;: &quot;France&quot;, &quot;segment&quot;: &quot;Government&quot;, &quot;date&quot;: &quot;1&quot;, &quot;month&quot;: &quot;5&quot;, &quot;year&quot;: &quot;2014&quot;, &quot;units&quot;: &quot;1666&quot;]}"/>
    <x v="0"/>
    <x v="2"/>
    <x v="3"/>
    <n v="1666"/>
    <n v="0.09"/>
    <x v="8"/>
    <n v="15"/>
    <n v="24990"/>
    <n v="22740.9"/>
    <n v="14410.900000000001"/>
    <x v="1"/>
    <x v="2"/>
    <x v="8"/>
  </r>
  <r>
    <s v="ORD-GER-CPR-20140501"/>
    <s v="{&quot;type&quot;: &quot;buyerDetails&quot;, &quot;info&quot;: [&quot;origin&quot;: &quot;Germany&quot;, &quot;segment&quot;: &quot;Channel Partners&quot;, &quot;date&quot;: &quot;1&quot;, &quot;month&quot;: &quot;5&quot;, &quot;year&quot;: &quot;2014&quot;, &quot;units&quot;: &quot;880&quot;]}"/>
    <x v="3"/>
    <x v="4"/>
    <x v="1"/>
    <n v="880"/>
    <n v="0.09"/>
    <x v="8"/>
    <n v="300"/>
    <n v="264000"/>
    <n v="240240"/>
    <n v="20240"/>
    <x v="1"/>
    <x v="2"/>
    <x v="8"/>
  </r>
  <r>
    <s v="ORD-GER-GOV-20140501"/>
    <s v="{&quot;type&quot;: &quot;buyerDetails&quot;, &quot;info&quot;: [&quot;origin&quot;: &quot;Germany&quot;, &quot;segment&quot;: &quot;Government&quot;, &quot;date&quot;: &quot;1&quot;, &quot;month&quot;: &quot;5&quot;, &quot;year&quot;: &quot;2014&quot;, &quot;units&quot;: &quot;663&quot;]}"/>
    <x v="3"/>
    <x v="2"/>
    <x v="2"/>
    <n v="663"/>
    <n v="9.0000000000000011E-2"/>
    <x v="8"/>
    <n v="20"/>
    <n v="13260"/>
    <n v="12066.6"/>
    <n v="10077.6"/>
    <x v="1"/>
    <x v="2"/>
    <x v="8"/>
  </r>
  <r>
    <s v="ORD-MXC-SMB-20140501"/>
    <s v="{&quot;type&quot;: &quot;buyerDetails&quot;, &quot;info&quot;: [&quot;origin&quot;: &quot;Mexico&quot;, &quot;segment&quot;: &quot;Small Business&quot;, &quot;date&quot;: &quot;1&quot;, &quot;month&quot;: &quot;5&quot;, &quot;year&quot;: &quot;2014&quot;, &quot;units&quot;: &quot;591&quot;]}"/>
    <x v="1"/>
    <x v="1"/>
    <x v="0"/>
    <n v="591"/>
    <n v="0.1"/>
    <x v="8"/>
    <n v="20"/>
    <n v="11820"/>
    <n v="10638"/>
    <n v="4728"/>
    <x v="1"/>
    <x v="3"/>
    <x v="8"/>
  </r>
  <r>
    <s v="ORD-MXC-ENT-20140501"/>
    <s v="{&quot;type&quot;: &quot;buyerDetails&quot;, &quot;info&quot;: [&quot;origin&quot;: &quot;Mexico&quot;, &quot;segment&quot;: &quot;Enterprise&quot;, &quot;date&quot;: &quot;1&quot;, &quot;month&quot;: &quot;5&quot;, &quot;year&quot;: &quot;2014&quot;, &quot;units&quot;: &quot;341&quot;]}"/>
    <x v="1"/>
    <x v="3"/>
    <x v="1"/>
    <n v="341"/>
    <n v="0.1"/>
    <x v="8"/>
    <n v="300"/>
    <n v="102300"/>
    <n v="92070"/>
    <n v="6820"/>
    <x v="1"/>
    <x v="3"/>
    <x v="8"/>
  </r>
  <r>
    <s v="ORD-USA-GOV-20140501"/>
    <s v="{&quot;type&quot;: &quot;buyerDetails&quot;, &quot;info&quot;: [&quot;origin&quot;: &quot;United States of America&quot;, &quot;segment&quot;: &quot;Government&quot;, &quot;date&quot;: &quot;1&quot;, &quot;month&quot;: &quot;5&quot;, &quot;year&quot;: &quot;2014&quot;, &quot;units&quot;: &quot;2313&quot;]}"/>
    <x v="2"/>
    <x v="2"/>
    <x v="3"/>
    <n v="2313"/>
    <n v="0.1"/>
    <x v="8"/>
    <n v="15"/>
    <n v="34695"/>
    <n v="31225.5"/>
    <n v="19660.5"/>
    <x v="1"/>
    <x v="3"/>
    <x v="8"/>
  </r>
  <r>
    <s v="ORD-USA-MDM-20140501"/>
    <s v="{&quot;type&quot;: &quot;buyerDetails&quot;, &quot;info&quot;: [&quot;origin&quot;: &quot;United States of America&quot;, &quot;segment&quot;: &quot;Midmarket&quot;, &quot;date&quot;: &quot;1&quot;, &quot;month&quot;: &quot;5&quot;, &quot;year&quot;: &quot;2014&quot;, &quot;units&quot;: &quot;790&quot;]}"/>
    <x v="2"/>
    <x v="0"/>
    <x v="5"/>
    <n v="790"/>
    <n v="0.1"/>
    <x v="8"/>
    <n v="180"/>
    <n v="142200"/>
    <n v="127980"/>
    <n v="33180"/>
    <x v="1"/>
    <x v="3"/>
    <x v="8"/>
  </r>
  <r>
    <s v="ORD-MXC-GOV-20140501"/>
    <s v="{&quot;type&quot;: &quot;buyerDetails&quot;, &quot;info&quot;: [&quot;origin&quot;: &quot;Mexico&quot;, &quot;segment&quot;: &quot;Government&quot;, &quot;date&quot;: &quot;1&quot;, &quot;month&quot;: &quot;5&quot;, &quot;year&quot;: &quot;2014&quot;, &quot;units&quot;: &quot;2039&quot;]}"/>
    <x v="1"/>
    <x v="2"/>
    <x v="4"/>
    <n v="2039"/>
    <n v="0.1"/>
    <x v="8"/>
    <n v="350"/>
    <n v="713650"/>
    <n v="642285"/>
    <n v="234485"/>
    <x v="1"/>
    <x v="3"/>
    <x v="8"/>
  </r>
  <r>
    <s v="ORD-FRA-ENT-20140501"/>
    <s v="{&quot;type&quot;: &quot;buyerDetails&quot;, &quot;info&quot;: [&quot;origin&quot;: &quot;France&quot;, &quot;segment&quot;: &quot;Enterprise&quot;, &quot;date&quot;: &quot;1&quot;, &quot;month&quot;: &quot;5&quot;, &quot;year&quot;: &quot;2014&quot;, &quot;units&quot;: &quot;1433&quot;]}"/>
    <x v="0"/>
    <x v="3"/>
    <x v="4"/>
    <n v="1433"/>
    <n v="0.11"/>
    <x v="8"/>
    <n v="350"/>
    <n v="501550"/>
    <n v="446379.5"/>
    <n v="159779.5"/>
    <x v="1"/>
    <x v="3"/>
    <x v="8"/>
  </r>
  <r>
    <s v="ORD-CND-CPR-20140501"/>
    <s v="{&quot;type&quot;: &quot;buyerDetails&quot;, &quot;info&quot;: [&quot;origin&quot;: &quot;Canada&quot;, &quot;segment&quot;: &quot;Channel Partners&quot;, &quot;date&quot;: &quot;1&quot;, &quot;month&quot;: &quot;5&quot;, &quot;year&quot;: &quot;2014&quot;, &quot;units&quot;: &quot;2109&quot;]}"/>
    <x v="4"/>
    <x v="4"/>
    <x v="1"/>
    <n v="2109"/>
    <n v="0.12"/>
    <x v="8"/>
    <n v="300"/>
    <n v="632700"/>
    <n v="556776"/>
    <n v="29526"/>
    <x v="1"/>
    <x v="3"/>
    <x v="8"/>
  </r>
  <r>
    <s v="ORD-MXC-CPR-20140501"/>
    <s v="{&quot;type&quot;: &quot;buyerDetails&quot;, &quot;info&quot;: [&quot;origin&quot;: &quot;Mexico&quot;, &quot;segment&quot;: &quot;Channel Partners&quot;, &quot;date&quot;: &quot;1&quot;, &quot;month&quot;: &quot;5&quot;, &quot;year&quot;: &quot;2014&quot;, &quot;units&quot;: &quot;2661&quot;]}"/>
    <x v="1"/>
    <x v="4"/>
    <x v="3"/>
    <n v="2661"/>
    <n v="0.12000000000000001"/>
    <x v="8"/>
    <n v="15"/>
    <n v="39915"/>
    <n v="35125.199999999997"/>
    <n v="21820.199999999997"/>
    <x v="1"/>
    <x v="3"/>
    <x v="8"/>
  </r>
  <r>
    <s v="ORD-USA-GOV-20140501"/>
    <s v="{&quot;type&quot;: &quot;buyerDetails&quot;, &quot;info&quot;: [&quot;origin&quot;: &quot;United States of America&quot;, &quot;segment&quot;: &quot;Government&quot;, &quot;date&quot;: &quot;1&quot;, &quot;month&quot;: &quot;5&quot;, &quot;year&quot;: &quot;2014&quot;, &quot;units&quot;: &quot;1743&quot;]}"/>
    <x v="2"/>
    <x v="2"/>
    <x v="2"/>
    <n v="1743"/>
    <n v="0.13999999999999999"/>
    <x v="8"/>
    <n v="20"/>
    <n v="34860"/>
    <n v="29979.599999999999"/>
    <n v="24750.6"/>
    <x v="1"/>
    <x v="3"/>
    <x v="8"/>
  </r>
  <r>
    <s v="ORD-CND-GOV-20140501"/>
    <s v="{&quot;type&quot;: &quot;buyerDetails&quot;, &quot;info&quot;: [&quot;origin&quot;: &quot;Canada&quot;, &quot;segment&quot;: &quot;Government&quot;, &quot;date&quot;: &quot;1&quot;, &quot;month&quot;: &quot;5&quot;, &quot;year&quot;: &quot;2014&quot;, &quot;units&quot;: &quot;200&quot;]}"/>
    <x v="4"/>
    <x v="2"/>
    <x v="3"/>
    <n v="200"/>
    <n v="0.14000000000000001"/>
    <x v="8"/>
    <n v="15"/>
    <n v="3000"/>
    <n v="2580"/>
    <n v="1580"/>
    <x v="1"/>
    <x v="3"/>
    <x v="8"/>
  </r>
  <r>
    <s v="ORD-USA-ENT-20140501"/>
    <s v="{&quot;type&quot;: &quot;buyerDetails&quot;, &quot;info&quot;: [&quot;origin&quot;: &quot;United States of America&quot;, &quot;segment&quot;: &quot;Enterprise&quot;, &quot;date&quot;: &quot;1&quot;, &quot;month&quot;: &quot;5&quot;, &quot;year&quot;: &quot;2014&quot;, &quot;units&quot;: &quot;2844&quot;]}"/>
    <x v="2"/>
    <x v="3"/>
    <x v="4"/>
    <n v="2844"/>
    <n v="0.14000000000000001"/>
    <x v="8"/>
    <n v="350"/>
    <n v="995400"/>
    <n v="856044"/>
    <n v="287244"/>
    <x v="1"/>
    <x v="3"/>
    <x v="8"/>
  </r>
  <r>
    <s v="ORD-MXC-GOV-20140501"/>
    <s v="{&quot;type&quot;: &quot;buyerDetails&quot;, &quot;info&quot;: [&quot;origin&quot;: &quot;Mexico&quot;, &quot;segment&quot;: &quot;Government&quot;, &quot;date&quot;: &quot;1&quot;, &quot;month&quot;: &quot;5&quot;, &quot;year&quot;: &quot;2014&quot;, &quot;units&quot;: &quot;2851&quot;]}"/>
    <x v="1"/>
    <x v="2"/>
    <x v="0"/>
    <n v="2851"/>
    <n v="0.15"/>
    <x v="8"/>
    <n v="20"/>
    <n v="57020"/>
    <n v="48467"/>
    <n v="19957"/>
    <x v="1"/>
    <x v="3"/>
    <x v="8"/>
  </r>
  <r>
    <s v="ORD-FRA-MDM-20140501"/>
    <s v="{&quot;type&quot;: &quot;buyerDetails&quot;, &quot;info&quot;: [&quot;origin&quot;: &quot;France&quot;, &quot;segment&quot;: &quot;Midmarket&quot;, &quot;date&quot;: &quot;1&quot;, &quot;month&quot;: &quot;5&quot;, &quot;year&quot;: &quot;2014&quot;, &quot;units&quot;: &quot;2826&quot;]}"/>
    <x v="0"/>
    <x v="0"/>
    <x v="5"/>
    <n v="2826"/>
    <n v="0.15"/>
    <x v="8"/>
    <n v="180"/>
    <n v="508680"/>
    <n v="432378"/>
    <n v="93258"/>
    <x v="1"/>
    <x v="3"/>
    <x v="8"/>
  </r>
  <r>
    <s v="ORD-USA-CPR-20140501"/>
    <s v="{&quot;type&quot;: &quot;buyerDetails&quot;, &quot;info&quot;: [&quot;origin&quot;: &quot;United States of America&quot;, &quot;segment&quot;: &quot;Channel Partners&quot;, &quot;date&quot;: &quot;1&quot;, &quot;month&quot;: &quot;5&quot;, &quot;year&quot;: &quot;2014&quot;, &quot;units&quot;: &quot;1806&quot;]}"/>
    <x v="2"/>
    <x v="4"/>
    <x v="1"/>
    <n v="1806"/>
    <n v="0.15000000000000002"/>
    <x v="8"/>
    <n v="300"/>
    <n v="541800"/>
    <n v="460530"/>
    <n v="9030"/>
    <x v="1"/>
    <x v="3"/>
    <x v="8"/>
  </r>
  <r>
    <s v="ORD-GER-GOV-20140601"/>
    <s v="{&quot;type&quot;: &quot;buyerDetails&quot;, &quot;info&quot;: [&quot;origin&quot;: &quot;Germany&quot;, &quot;segment&quot;: &quot;Government&quot;, &quot;date&quot;: &quot;1&quot;, &quot;month&quot;: &quot;6&quot;, &quot;year&quot;: &quot;2014&quot;, &quot;units&quot;: &quot;1006&quot;]}"/>
    <x v="3"/>
    <x v="2"/>
    <x v="0"/>
    <n v="1006"/>
    <n v="0"/>
    <x v="9"/>
    <n v="20"/>
    <n v="20120"/>
    <n v="20120"/>
    <n v="10060"/>
    <x v="1"/>
    <x v="0"/>
    <x v="9"/>
  </r>
  <r>
    <s v="ORD-GER-MDM-20140601"/>
    <s v="{&quot;type&quot;: &quot;buyerDetails&quot;, &quot;info&quot;: [&quot;origin&quot;: &quot;Germany&quot;, &quot;segment&quot;: &quot;Midmarket&quot;, &quot;date&quot;: &quot;1&quot;, &quot;month&quot;: &quot;6&quot;, &quot;year&quot;: &quot;2014&quot;, &quot;units&quot;: &quot;888&quot;]}"/>
    <x v="3"/>
    <x v="0"/>
    <x v="2"/>
    <n v="888"/>
    <n v="0"/>
    <x v="9"/>
    <n v="20"/>
    <n v="17760"/>
    <n v="17760"/>
    <n v="15096"/>
    <x v="1"/>
    <x v="0"/>
    <x v="9"/>
  </r>
  <r>
    <s v="ORD-GER-CPR-20140601"/>
    <s v="{&quot;type&quot;: &quot;buyerDetails&quot;, &quot;info&quot;: [&quot;origin&quot;: &quot;Germany&quot;, &quot;segment&quot;: &quot;Channel Partners&quot;, &quot;date&quot;: &quot;1&quot;, &quot;month&quot;: &quot;6&quot;, &quot;year&quot;: &quot;2014&quot;, &quot;units&quot;: &quot;1545&quot;]}"/>
    <x v="3"/>
    <x v="4"/>
    <x v="3"/>
    <n v="1545"/>
    <n v="0"/>
    <x v="9"/>
    <n v="15"/>
    <n v="23175"/>
    <n v="23175"/>
    <n v="15450"/>
    <x v="1"/>
    <x v="0"/>
    <x v="9"/>
  </r>
  <r>
    <s v="ORD-FRA-GOV-20140601"/>
    <s v="{&quot;type&quot;: &quot;buyerDetails&quot;, &quot;info&quot;: [&quot;origin&quot;: &quot;France&quot;, &quot;segment&quot;: &quot;Government&quot;, &quot;date&quot;: &quot;1&quot;, &quot;month&quot;: &quot;6&quot;, &quot;year&quot;: &quot;2014&quot;, &quot;units&quot;: &quot;1899&quot;]}"/>
    <x v="0"/>
    <x v="2"/>
    <x v="3"/>
    <n v="1899"/>
    <n v="0"/>
    <x v="9"/>
    <n v="15"/>
    <n v="28485"/>
    <n v="28485"/>
    <n v="18990"/>
    <x v="1"/>
    <x v="0"/>
    <x v="9"/>
  </r>
  <r>
    <s v="ORD-MXC-MDM-20140601"/>
    <s v="{&quot;type&quot;: &quot;buyerDetails&quot;, &quot;info&quot;: [&quot;origin&quot;: &quot;Mexico&quot;, &quot;segment&quot;: &quot;Midmarket&quot;, &quot;date&quot;: &quot;1&quot;, &quot;month&quot;: &quot;6&quot;, &quot;year&quot;: &quot;2014&quot;, &quot;units&quot;: &quot;2470&quot;]}"/>
    <x v="1"/>
    <x v="0"/>
    <x v="3"/>
    <n v="2470"/>
    <n v="0"/>
    <x v="9"/>
    <n v="15"/>
    <n v="37050"/>
    <n v="37050"/>
    <n v="24700"/>
    <x v="1"/>
    <x v="0"/>
    <x v="9"/>
  </r>
  <r>
    <s v="ORD-CND-CPR-20140601"/>
    <s v="{&quot;type&quot;: &quot;buyerDetails&quot;, &quot;info&quot;: [&quot;origin&quot;: &quot;Canada&quot;, &quot;segment&quot;: &quot;Channel Partners&quot;, &quot;date&quot;: &quot;1&quot;, &quot;month&quot;: &quot;6&quot;, &quot;year&quot;: &quot;2014&quot;, &quot;units&quot;: &quot;2518&quot;]}"/>
    <x v="4"/>
    <x v="4"/>
    <x v="0"/>
    <n v="2518"/>
    <n v="0"/>
    <x v="9"/>
    <n v="20"/>
    <n v="50360"/>
    <n v="50360"/>
    <n v="25180"/>
    <x v="1"/>
    <x v="0"/>
    <x v="9"/>
  </r>
  <r>
    <s v="ORD-CND-CPR-20140601"/>
    <s v="{&quot;type&quot;: &quot;buyerDetails&quot;, &quot;info&quot;: [&quot;origin&quot;: &quot;Canada&quot;, &quot;segment&quot;: &quot;Channel Partners&quot;, &quot;date&quot;: &quot;1&quot;, &quot;month&quot;: &quot;6&quot;, &quot;year&quot;: &quot;2014&quot;, &quot;units&quot;: &quot;2518&quot;]}"/>
    <x v="4"/>
    <x v="4"/>
    <x v="3"/>
    <n v="2518"/>
    <n v="0"/>
    <x v="9"/>
    <n v="15"/>
    <n v="37770"/>
    <n v="37770"/>
    <n v="25180"/>
    <x v="1"/>
    <x v="0"/>
    <x v="9"/>
  </r>
  <r>
    <s v="ORD-FRA-MDM-20140601"/>
    <s v="{&quot;type&quot;: &quot;buyerDetails&quot;, &quot;info&quot;: [&quot;origin&quot;: &quot;France&quot;, &quot;segment&quot;: &quot;Midmarket&quot;, &quot;date&quot;: &quot;1&quot;, &quot;month&quot;: &quot;6&quot;, &quot;year&quot;: &quot;2014&quot;, &quot;units&quot;: &quot;2178&quot;]}"/>
    <x v="0"/>
    <x v="0"/>
    <x v="2"/>
    <n v="2178"/>
    <n v="0"/>
    <x v="9"/>
    <n v="20"/>
    <n v="43560"/>
    <n v="43560"/>
    <n v="37026"/>
    <x v="1"/>
    <x v="0"/>
    <x v="9"/>
  </r>
  <r>
    <s v="ORD-MXC-MDM-20140601"/>
    <s v="{&quot;type&quot;: &quot;buyerDetails&quot;, &quot;info&quot;: [&quot;origin&quot;: &quot;Mexico&quot;, &quot;segment&quot;: &quot;Midmarket&quot;, &quot;date&quot;: &quot;1&quot;, &quot;month&quot;: &quot;6&quot;, &quot;year&quot;: &quot;2014&quot;, &quot;units&quot;: &quot;2470&quot;]}"/>
    <x v="1"/>
    <x v="0"/>
    <x v="2"/>
    <n v="2470"/>
    <n v="0"/>
    <x v="9"/>
    <n v="20"/>
    <n v="49400"/>
    <n v="49400"/>
    <n v="41990"/>
    <x v="1"/>
    <x v="0"/>
    <x v="9"/>
  </r>
  <r>
    <s v="ORD-GER-MDM-20140601"/>
    <s v="{&quot;type&quot;: &quot;buyerDetails&quot;, &quot;info&quot;: [&quot;origin&quot;: &quot;Germany&quot;, &quot;segment&quot;: &quot;Midmarket&quot;, &quot;date&quot;: &quot;1&quot;, &quot;month&quot;: &quot;6&quot;, &quot;year&quot;: &quot;2014&quot;, &quot;units&quot;: &quot;888&quot;]}"/>
    <x v="3"/>
    <x v="0"/>
    <x v="1"/>
    <n v="888"/>
    <n v="0"/>
    <x v="9"/>
    <n v="300"/>
    <n v="266400"/>
    <n v="266400"/>
    <n v="44400"/>
    <x v="1"/>
    <x v="0"/>
    <x v="9"/>
  </r>
  <r>
    <s v="ORD-GER-GOV-20140601"/>
    <s v="{&quot;type&quot;: &quot;buyerDetails&quot;, &quot;info&quot;: [&quot;origin&quot;: &quot;Germany&quot;, &quot;segment&quot;: &quot;Government&quot;, &quot;date&quot;: &quot;1&quot;, &quot;month&quot;: &quot;6&quot;, &quot;year&quot;: &quot;2014&quot;, &quot;units&quot;: &quot;1006&quot;]}"/>
    <x v="3"/>
    <x v="2"/>
    <x v="5"/>
    <n v="1006"/>
    <n v="0"/>
    <x v="9"/>
    <n v="180"/>
    <n v="181080"/>
    <n v="181080"/>
    <n v="60360"/>
    <x v="1"/>
    <x v="0"/>
    <x v="9"/>
  </r>
  <r>
    <s v="ORD-GER-CPR-20140601"/>
    <s v="{&quot;type&quot;: &quot;buyerDetails&quot;, &quot;info&quot;: [&quot;origin&quot;: &quot;Germany&quot;, &quot;segment&quot;: &quot;Channel Partners&quot;, &quot;date&quot;: &quot;1&quot;, &quot;month&quot;: &quot;6&quot;, &quot;year&quot;: &quot;2014&quot;, &quot;units&quot;: &quot;1545&quot;]}"/>
    <x v="3"/>
    <x v="4"/>
    <x v="5"/>
    <n v="1545"/>
    <n v="0"/>
    <x v="9"/>
    <n v="180"/>
    <n v="278100"/>
    <n v="278100"/>
    <n v="92700"/>
    <x v="1"/>
    <x v="0"/>
    <x v="9"/>
  </r>
  <r>
    <s v="ORD-FRA-MDM-20140601"/>
    <s v="{&quot;type&quot;: &quot;buyerDetails&quot;, &quot;info&quot;: [&quot;origin&quot;: &quot;France&quot;, &quot;segment&quot;: &quot;Midmarket&quot;, &quot;date&quot;: &quot;1&quot;, &quot;month&quot;: &quot;6&quot;, &quot;year&quot;: &quot;2014&quot;, &quot;units&quot;: &quot;2178&quot;]}"/>
    <x v="0"/>
    <x v="0"/>
    <x v="1"/>
    <n v="2178"/>
    <n v="0"/>
    <x v="9"/>
    <n v="300"/>
    <n v="653400"/>
    <n v="653400"/>
    <n v="108900"/>
    <x v="1"/>
    <x v="0"/>
    <x v="9"/>
  </r>
  <r>
    <s v="ORD-FRA-GOV-20140601"/>
    <s v="{&quot;type&quot;: &quot;buyerDetails&quot;, &quot;info&quot;: [&quot;origin&quot;: &quot;France&quot;, &quot;segment&quot;: &quot;Government&quot;, &quot;date&quot;: &quot;1&quot;, &quot;month&quot;: &quot;6&quot;, &quot;year&quot;: &quot;2014&quot;, &quot;units&quot;: &quot;1899&quot;]}"/>
    <x v="0"/>
    <x v="2"/>
    <x v="4"/>
    <n v="1899"/>
    <n v="0"/>
    <x v="9"/>
    <n v="350"/>
    <n v="664650"/>
    <n v="664650"/>
    <n v="284850"/>
    <x v="1"/>
    <x v="0"/>
    <x v="9"/>
  </r>
  <r>
    <s v="ORD-USA-ENT-20140601"/>
    <s v="{&quot;type&quot;: &quot;buyerDetails&quot;, &quot;info&quot;: [&quot;origin&quot;: &quot;United States of America&quot;, &quot;segment&quot;: &quot;Enterprise&quot;, &quot;date&quot;: &quot;1&quot;, &quot;month&quot;: &quot;6&quot;, &quot;year&quot;: &quot;2014&quot;, &quot;units&quot;: &quot;727&quot;]}"/>
    <x v="2"/>
    <x v="3"/>
    <x v="0"/>
    <n v="727"/>
    <n v="0.01"/>
    <x v="9"/>
    <n v="20"/>
    <n v="14540"/>
    <n v="14394.6"/>
    <n v="7124.6"/>
    <x v="1"/>
    <x v="1"/>
    <x v="9"/>
  </r>
  <r>
    <s v="ORD-FRA-ENT-20140601"/>
    <s v="{&quot;type&quot;: &quot;buyerDetails&quot;, &quot;info&quot;: [&quot;origin&quot;: &quot;France&quot;, &quot;segment&quot;: &quot;Enterprise&quot;, &quot;date&quot;: &quot;1&quot;, &quot;month&quot;: &quot;6&quot;, &quot;year&quot;: &quot;2014&quot;, &quot;units&quot;: &quot;787&quot;]}"/>
    <x v="0"/>
    <x v="3"/>
    <x v="0"/>
    <n v="787"/>
    <n v="0.01"/>
    <x v="9"/>
    <n v="20"/>
    <n v="15740"/>
    <n v="15582.6"/>
    <n v="7712.6"/>
    <x v="1"/>
    <x v="1"/>
    <x v="9"/>
  </r>
  <r>
    <s v="ORD-USA-ENT-20140601"/>
    <s v="{&quot;type&quot;: &quot;buyerDetails&quot;, &quot;info&quot;: [&quot;origin&quot;: &quot;United States of America&quot;, &quot;segment&quot;: &quot;Enterprise&quot;, &quot;date&quot;: &quot;1&quot;, &quot;month&quot;: &quot;6&quot;, &quot;year&quot;: &quot;2014&quot;, &quot;units&quot;: &quot;727&quot;]}"/>
    <x v="2"/>
    <x v="3"/>
    <x v="1"/>
    <n v="727"/>
    <n v="0.01"/>
    <x v="9"/>
    <n v="300"/>
    <n v="218100"/>
    <n v="215919"/>
    <n v="34169"/>
    <x v="1"/>
    <x v="1"/>
    <x v="9"/>
  </r>
  <r>
    <s v="ORD-FRA-ENT-20140601"/>
    <s v="{&quot;type&quot;: &quot;buyerDetails&quot;, &quot;info&quot;: [&quot;origin&quot;: &quot;France&quot;, &quot;segment&quot;: &quot;Enterprise&quot;, &quot;date&quot;: &quot;1&quot;, &quot;month&quot;: &quot;6&quot;, &quot;year&quot;: &quot;2014&quot;, &quot;units&quot;: &quot;787&quot;]}"/>
    <x v="0"/>
    <x v="3"/>
    <x v="1"/>
    <n v="787"/>
    <n v="0.01"/>
    <x v="9"/>
    <n v="300"/>
    <n v="236100"/>
    <n v="233739"/>
    <n v="36989"/>
    <x v="1"/>
    <x v="1"/>
    <x v="9"/>
  </r>
  <r>
    <s v="ORD-MXC-ENT-20140601"/>
    <s v="{&quot;type&quot;: &quot;buyerDetails&quot;, &quot;info&quot;: [&quot;origin&quot;: &quot;Mexico&quot;, &quot;segment&quot;: &quot;Enterprise&quot;, &quot;date&quot;: &quot;1&quot;, &quot;month&quot;: &quot;6&quot;, &quot;year&quot;: &quot;2014&quot;, &quot;units&quot;: &quot;662&quot;]}"/>
    <x v="1"/>
    <x v="3"/>
    <x v="0"/>
    <n v="662"/>
    <n v="0.02"/>
    <x v="9"/>
    <n v="20"/>
    <n v="13240"/>
    <n v="12975.199999999999"/>
    <n v="6355.1999999999989"/>
    <x v="1"/>
    <x v="1"/>
    <x v="9"/>
  </r>
  <r>
    <s v="ORD-USA-CPR-20140601"/>
    <s v="{&quot;type&quot;: &quot;buyerDetails&quot;, &quot;info&quot;: [&quot;origin&quot;: &quot;United States of America&quot;, &quot;segment&quot;: &quot;Channel Partners&quot;, &quot;date&quot;: &quot;1&quot;, &quot;month&quot;: &quot;6&quot;, &quot;year&quot;: &quot;2014&quot;, &quot;units&quot;: &quot;1142&quot;]}"/>
    <x v="2"/>
    <x v="4"/>
    <x v="0"/>
    <n v="1142"/>
    <n v="0.02"/>
    <x v="9"/>
    <n v="20"/>
    <n v="22840"/>
    <n v="22383.200000000001"/>
    <n v="10963.2"/>
    <x v="1"/>
    <x v="1"/>
    <x v="9"/>
  </r>
  <r>
    <s v="ORD-USA-CPR-20140601"/>
    <s v="{&quot;type&quot;: &quot;buyerDetails&quot;, &quot;info&quot;: [&quot;origin&quot;: &quot;United States of America&quot;, &quot;segment&quot;: &quot;Channel Partners&quot;, &quot;date&quot;: &quot;1&quot;, &quot;month&quot;: &quot;6&quot;, &quot;year&quot;: &quot;2014&quot;, &quot;units&quot;: &quot;1142&quot;]}"/>
    <x v="2"/>
    <x v="4"/>
    <x v="3"/>
    <n v="1142"/>
    <n v="0.02"/>
    <x v="9"/>
    <n v="15"/>
    <n v="17130"/>
    <n v="16787.400000000001"/>
    <n v="11077.400000000001"/>
    <x v="1"/>
    <x v="1"/>
    <x v="9"/>
  </r>
  <r>
    <s v="ORD-MXC-ENT-20140601"/>
    <s v="{&quot;type&quot;: &quot;buyerDetails&quot;, &quot;info&quot;: [&quot;origin&quot;: &quot;Mexico&quot;, &quot;segment&quot;: &quot;Enterprise&quot;, &quot;date&quot;: &quot;1&quot;, &quot;month&quot;: &quot;6&quot;, &quot;year&quot;: &quot;2014&quot;, &quot;units&quot;: &quot;662&quot;]}"/>
    <x v="1"/>
    <x v="3"/>
    <x v="1"/>
    <n v="662"/>
    <n v="0.02"/>
    <x v="9"/>
    <n v="300"/>
    <n v="198600"/>
    <n v="194628"/>
    <n v="29128"/>
    <x v="1"/>
    <x v="1"/>
    <x v="9"/>
  </r>
  <r>
    <s v="ORD-GER-SMB-20140601"/>
    <s v="{&quot;type&quot;: &quot;buyerDetails&quot;, &quot;info&quot;: [&quot;origin&quot;: &quot;Germany&quot;, &quot;segment&quot;: &quot;Small Business&quot;, &quot;date&quot;: &quot;1&quot;, &quot;month&quot;: &quot;6&quot;, &quot;year&quot;: &quot;2014&quot;, &quot;units&quot;: &quot;689&quot;]}"/>
    <x v="3"/>
    <x v="1"/>
    <x v="0"/>
    <n v="689"/>
    <n v="0.03"/>
    <x v="9"/>
    <n v="20"/>
    <n v="13780"/>
    <n v="13366.6"/>
    <n v="6476.6"/>
    <x v="1"/>
    <x v="1"/>
    <x v="9"/>
  </r>
  <r>
    <s v="ORD-GER-SMB-20140601"/>
    <s v="{&quot;type&quot;: &quot;buyerDetails&quot;, &quot;info&quot;: [&quot;origin&quot;: &quot;Germany&quot;, &quot;segment&quot;: &quot;Small Business&quot;, &quot;date&quot;: &quot;1&quot;, &quot;month&quot;: &quot;6&quot;, &quot;year&quot;: &quot;2014&quot;, &quot;units&quot;: &quot;689&quot;]}"/>
    <x v="3"/>
    <x v="1"/>
    <x v="2"/>
    <n v="689"/>
    <n v="0.03"/>
    <x v="9"/>
    <n v="20"/>
    <n v="13780"/>
    <n v="13366.6"/>
    <n v="11299.6"/>
    <x v="1"/>
    <x v="1"/>
    <x v="9"/>
  </r>
  <r>
    <s v="ORD-GER-ENT-20140601"/>
    <s v="{&quot;type&quot;: &quot;buyerDetails&quot;, &quot;info&quot;: [&quot;origin&quot;: &quot;Germany&quot;, &quot;segment&quot;: &quot;Enterprise&quot;, &quot;date&quot;: &quot;1&quot;, &quot;month&quot;: &quot;6&quot;, &quot;year&quot;: &quot;2014&quot;, &quot;units&quot;: &quot;1570&quot;]}"/>
    <x v="3"/>
    <x v="3"/>
    <x v="0"/>
    <n v="1570"/>
    <n v="0.03"/>
    <x v="9"/>
    <n v="20"/>
    <n v="31400"/>
    <n v="30458"/>
    <n v="14758"/>
    <x v="1"/>
    <x v="1"/>
    <x v="9"/>
  </r>
  <r>
    <s v="ORD-FRA-CPR-20140601"/>
    <s v="{&quot;type&quot;: &quot;buyerDetails&quot;, &quot;info&quot;: [&quot;origin&quot;: &quot;France&quot;, &quot;segment&quot;: &quot;Channel Partners&quot;, &quot;date&quot;: &quot;1&quot;, &quot;month&quot;: &quot;6&quot;, &quot;year&quot;: &quot;2014&quot;, &quot;units&quot;: &quot;1901&quot;]}"/>
    <x v="0"/>
    <x v="4"/>
    <x v="0"/>
    <n v="1901"/>
    <n v="0.03"/>
    <x v="9"/>
    <n v="20"/>
    <n v="38020"/>
    <n v="36879.4"/>
    <n v="17869.400000000001"/>
    <x v="1"/>
    <x v="1"/>
    <x v="9"/>
  </r>
  <r>
    <s v="ORD-FRA-CPR-20140601"/>
    <s v="{&quot;type&quot;: &quot;buyerDetails&quot;, &quot;info&quot;: [&quot;origin&quot;: &quot;France&quot;, &quot;segment&quot;: &quot;Channel Partners&quot;, &quot;date&quot;: &quot;1&quot;, &quot;month&quot;: &quot;6&quot;, &quot;year&quot;: &quot;2014&quot;, &quot;units&quot;: &quot;1901&quot;]}"/>
    <x v="0"/>
    <x v="4"/>
    <x v="3"/>
    <n v="1901"/>
    <n v="0.03"/>
    <x v="9"/>
    <n v="15"/>
    <n v="28515"/>
    <n v="27659.55"/>
    <n v="18154.55"/>
    <x v="1"/>
    <x v="1"/>
    <x v="9"/>
  </r>
  <r>
    <s v="ORD-GER-ENT-20140601"/>
    <s v="{&quot;type&quot;: &quot;buyerDetails&quot;, &quot;info&quot;: [&quot;origin&quot;: &quot;Germany&quot;, &quot;segment&quot;: &quot;Enterprise&quot;, &quot;date&quot;: &quot;1&quot;, &quot;month&quot;: &quot;6&quot;, &quot;year&quot;: &quot;2014&quot;, &quot;units&quot;: &quot;1570&quot;]}"/>
    <x v="3"/>
    <x v="3"/>
    <x v="1"/>
    <n v="1570"/>
    <n v="0.03"/>
    <x v="9"/>
    <n v="300"/>
    <n v="471000"/>
    <n v="456870"/>
    <n v="64370"/>
    <x v="1"/>
    <x v="1"/>
    <x v="9"/>
  </r>
  <r>
    <s v="ORD-USA-GOV-20140601"/>
    <s v="{&quot;type&quot;: &quot;buyerDetails&quot;, &quot;info&quot;: [&quot;origin&quot;: &quot;United States of America&quot;, &quot;segment&quot;: &quot;Government&quot;, &quot;date&quot;: &quot;1&quot;, &quot;month&quot;: &quot;6&quot;, &quot;year&quot;: &quot;2014&quot;, &quot;units&quot;: &quot;602&quot;]}"/>
    <x v="2"/>
    <x v="2"/>
    <x v="0"/>
    <n v="602"/>
    <n v="0.05"/>
    <x v="9"/>
    <n v="20"/>
    <n v="12040"/>
    <n v="11438"/>
    <n v="5418"/>
    <x v="1"/>
    <x v="2"/>
    <x v="9"/>
  </r>
  <r>
    <s v="ORD-USA-SMB-20140601"/>
    <s v="{&quot;type&quot;: &quot;buyerDetails&quot;, &quot;info&quot;: [&quot;origin&quot;: &quot;United States of America&quot;, &quot;segment&quot;: &quot;Small Business&quot;, &quot;date&quot;: &quot;1&quot;, &quot;month&quot;: &quot;6&quot;, &quot;year&quot;: &quot;2014&quot;, &quot;units&quot;: &quot;991&quot;]}"/>
    <x v="2"/>
    <x v="1"/>
    <x v="0"/>
    <n v="991"/>
    <n v="0.05"/>
    <x v="9"/>
    <n v="20"/>
    <n v="19820"/>
    <n v="18829"/>
    <n v="8919"/>
    <x v="1"/>
    <x v="2"/>
    <x v="9"/>
  </r>
  <r>
    <s v="ORD-USA-SMB-20140601"/>
    <s v="{&quot;type&quot;: &quot;buyerDetails&quot;, &quot;info&quot;: [&quot;origin&quot;: &quot;United States of America&quot;, &quot;segment&quot;: &quot;Small Business&quot;, &quot;date&quot;: &quot;1&quot;, &quot;month&quot;: &quot;6&quot;, &quot;year&quot;: &quot;2014&quot;, &quot;units&quot;: &quot;991&quot;]}"/>
    <x v="2"/>
    <x v="1"/>
    <x v="2"/>
    <n v="991"/>
    <n v="0.05"/>
    <x v="9"/>
    <n v="20"/>
    <n v="19820"/>
    <n v="18829"/>
    <n v="15856"/>
    <x v="1"/>
    <x v="2"/>
    <x v="9"/>
  </r>
  <r>
    <s v="ORD-USA-GOV-20140601"/>
    <s v="{&quot;type&quot;: &quot;buyerDetails&quot;, &quot;info&quot;: [&quot;origin&quot;: &quot;United States of America&quot;, &quot;segment&quot;: &quot;Government&quot;, &quot;date&quot;: &quot;1&quot;, &quot;month&quot;: &quot;6&quot;, &quot;year&quot;: &quot;2014&quot;, &quot;units&quot;: &quot;602&quot;]}"/>
    <x v="2"/>
    <x v="2"/>
    <x v="5"/>
    <n v="602"/>
    <n v="0.05"/>
    <x v="9"/>
    <n v="180"/>
    <n v="108360"/>
    <n v="102942"/>
    <n v="30702"/>
    <x v="1"/>
    <x v="2"/>
    <x v="9"/>
  </r>
  <r>
    <s v="ORD-FRA-GOV-20140601"/>
    <s v="{&quot;type&quot;: &quot;buyerDetails&quot;, &quot;info&quot;: [&quot;origin&quot;: &quot;France&quot;, &quot;segment&quot;: &quot;Government&quot;, &quot;date&quot;: &quot;1&quot;, &quot;month&quot;: &quot;6&quot;, &quot;year&quot;: &quot;2014&quot;, &quot;units&quot;: &quot;1496&quot;]}"/>
    <x v="0"/>
    <x v="2"/>
    <x v="0"/>
    <n v="1496"/>
    <n v="0.06"/>
    <x v="9"/>
    <n v="20"/>
    <n v="29920"/>
    <n v="28124.799999999999"/>
    <n v="13164.8"/>
    <x v="1"/>
    <x v="2"/>
    <x v="9"/>
  </r>
  <r>
    <s v="ORD-CND-MDM-20140601"/>
    <s v="{&quot;type&quot;: &quot;buyerDetails&quot;, &quot;info&quot;: [&quot;origin&quot;: &quot;Canada&quot;, &quot;segment&quot;: &quot;Midmarket&quot;, &quot;date&quot;: &quot;1&quot;, &quot;month&quot;: &quot;6&quot;, &quot;year&quot;: &quot;2014&quot;, &quot;units&quot;: &quot;2844&quot;]}"/>
    <x v="4"/>
    <x v="0"/>
    <x v="2"/>
    <n v="2844"/>
    <n v="0.06"/>
    <x v="9"/>
    <n v="20"/>
    <n v="56880"/>
    <n v="53467.199999999997"/>
    <n v="44935.199999999997"/>
    <x v="1"/>
    <x v="2"/>
    <x v="9"/>
  </r>
  <r>
    <s v="ORD-MXC-GOV-20140601"/>
    <s v="{&quot;type&quot;: &quot;buyerDetails&quot;, &quot;info&quot;: [&quot;origin&quot;: &quot;Mexico&quot;, &quot;segment&quot;: &quot;Government&quot;, &quot;date&quot;: &quot;1&quot;, &quot;month&quot;: &quot;6&quot;, &quot;year&quot;: &quot;2014&quot;, &quot;units&quot;: &quot;1498&quot;]}"/>
    <x v="1"/>
    <x v="2"/>
    <x v="1"/>
    <n v="1498"/>
    <n v="0.06"/>
    <x v="9"/>
    <n v="300"/>
    <n v="449400"/>
    <n v="422436"/>
    <n v="47936"/>
    <x v="1"/>
    <x v="2"/>
    <x v="9"/>
  </r>
  <r>
    <s v="ORD-FRA-GOV-20140601"/>
    <s v="{&quot;type&quot;: &quot;buyerDetails&quot;, &quot;info&quot;: [&quot;origin&quot;: &quot;France&quot;, &quot;segment&quot;: &quot;Government&quot;, &quot;date&quot;: &quot;1&quot;, &quot;month&quot;: &quot;6&quot;, &quot;year&quot;: &quot;2014&quot;, &quot;units&quot;: &quot;1496&quot;]}"/>
    <x v="0"/>
    <x v="2"/>
    <x v="5"/>
    <n v="1496"/>
    <n v="0.06"/>
    <x v="9"/>
    <n v="180"/>
    <n v="269280"/>
    <n v="253123.19999999998"/>
    <n v="73603.199999999983"/>
    <x v="1"/>
    <x v="2"/>
    <x v="9"/>
  </r>
  <r>
    <s v="ORD-MXC-GOV-20140601"/>
    <s v="{&quot;type&quot;: &quot;buyerDetails&quot;, &quot;info&quot;: [&quot;origin&quot;: &quot;Mexico&quot;, &quot;segment&quot;: &quot;Government&quot;, &quot;date&quot;: &quot;1&quot;, &quot;month&quot;: &quot;6&quot;, &quot;year&quot;: &quot;2014&quot;, &quot;units&quot;: &quot;1498&quot;]}"/>
    <x v="1"/>
    <x v="2"/>
    <x v="5"/>
    <n v="1498"/>
    <n v="0.06"/>
    <x v="9"/>
    <n v="180"/>
    <n v="269640"/>
    <n v="253461.59999999998"/>
    <n v="73701.599999999977"/>
    <x v="1"/>
    <x v="2"/>
    <x v="9"/>
  </r>
  <r>
    <s v="ORD-CND-MDM-20140601"/>
    <s v="{&quot;type&quot;: &quot;buyerDetails&quot;, &quot;info&quot;: [&quot;origin&quot;: &quot;Canada&quot;, &quot;segment&quot;: &quot;Midmarket&quot;, &quot;date&quot;: &quot;1&quot;, &quot;month&quot;: &quot;6&quot;, &quot;year&quot;: &quot;2014&quot;, &quot;units&quot;: &quot;2844&quot;]}"/>
    <x v="4"/>
    <x v="0"/>
    <x v="1"/>
    <n v="2844"/>
    <n v="0.06"/>
    <x v="9"/>
    <n v="300"/>
    <n v="853200"/>
    <n v="802008"/>
    <n v="91008"/>
    <x v="1"/>
    <x v="2"/>
    <x v="9"/>
  </r>
  <r>
    <s v="ORD-CND-GOV-20140601"/>
    <s v="{&quot;type&quot;: &quot;buyerDetails&quot;, &quot;info&quot;: [&quot;origin&quot;: &quot;Canada&quot;, &quot;segment&quot;: &quot;Government&quot;, &quot;date&quot;: &quot;1&quot;, &quot;month&quot;: &quot;6&quot;, &quot;year&quot;: &quot;2014&quot;, &quot;units&quot;: &quot;1135&quot;]}"/>
    <x v="4"/>
    <x v="2"/>
    <x v="5"/>
    <n v="1135"/>
    <n v="6.9999999999999993E-2"/>
    <x v="9"/>
    <n v="180"/>
    <n v="204300"/>
    <n v="189999"/>
    <n v="53799"/>
    <x v="1"/>
    <x v="2"/>
    <x v="9"/>
  </r>
  <r>
    <s v="ORD-CND-GOV-20140601"/>
    <s v="{&quot;type&quot;: &quot;buyerDetails&quot;, &quot;info&quot;: [&quot;origin&quot;: &quot;Canada&quot;, &quot;segment&quot;: &quot;Government&quot;, &quot;date&quot;: &quot;1&quot;, &quot;month&quot;: &quot;6&quot;, &quot;year&quot;: &quot;2014&quot;, &quot;units&quot;: &quot;1135&quot;]}"/>
    <x v="4"/>
    <x v="2"/>
    <x v="4"/>
    <n v="1135"/>
    <n v="6.9999999999999993E-2"/>
    <x v="9"/>
    <n v="350"/>
    <n v="397250"/>
    <n v="369442.5"/>
    <n v="142442.5"/>
    <x v="1"/>
    <x v="2"/>
    <x v="9"/>
  </r>
  <r>
    <s v="ORD-FRA-SMB-20140601"/>
    <s v="{&quot;type&quot;: &quot;buyerDetails&quot;, &quot;info&quot;: [&quot;origin&quot;: &quot;France&quot;, &quot;segment&quot;: &quot;Small Business&quot;, &quot;date&quot;: &quot;1&quot;, &quot;month&quot;: &quot;6&quot;, &quot;year&quot;: &quot;2014&quot;, &quot;units&quot;: &quot;448&quot;]}"/>
    <x v="0"/>
    <x v="1"/>
    <x v="0"/>
    <n v="448"/>
    <n v="7.0000000000000007E-2"/>
    <x v="9"/>
    <n v="20"/>
    <n v="8960"/>
    <n v="8332.7999999999993"/>
    <n v="3852.7999999999993"/>
    <x v="1"/>
    <x v="2"/>
    <x v="9"/>
  </r>
  <r>
    <s v="ORD-FRA-SMB-20140601"/>
    <s v="{&quot;type&quot;: &quot;buyerDetails&quot;, &quot;info&quot;: [&quot;origin&quot;: &quot;France&quot;, &quot;segment&quot;: &quot;Small Business&quot;, &quot;date&quot;: &quot;1&quot;, &quot;month&quot;: &quot;6&quot;, &quot;year&quot;: &quot;2014&quot;, &quot;units&quot;: &quot;448&quot;]}"/>
    <x v="0"/>
    <x v="1"/>
    <x v="2"/>
    <n v="448"/>
    <n v="7.0000000000000007E-2"/>
    <x v="9"/>
    <n v="20"/>
    <n v="8960"/>
    <n v="8332.7999999999993"/>
    <n v="6988.7999999999993"/>
    <x v="1"/>
    <x v="2"/>
    <x v="9"/>
  </r>
  <r>
    <s v="ORD-USA-GOV-20140601"/>
    <s v="{&quot;type&quot;: &quot;buyerDetails&quot;, &quot;info&quot;: [&quot;origin&quot;: &quot;United States of America&quot;, &quot;segment&quot;: &quot;Government&quot;, &quot;date&quot;: &quot;1&quot;, &quot;month&quot;: &quot;6&quot;, &quot;year&quot;: &quot;2014&quot;, &quot;units&quot;: &quot;1282&quot;]}"/>
    <x v="2"/>
    <x v="2"/>
    <x v="3"/>
    <n v="1282"/>
    <n v="7.9999999999999988E-2"/>
    <x v="9"/>
    <n v="15"/>
    <n v="19230"/>
    <n v="17691.600000000002"/>
    <n v="11281.600000000002"/>
    <x v="1"/>
    <x v="2"/>
    <x v="9"/>
  </r>
  <r>
    <s v="ORD-USA-GOV-20140601"/>
    <s v="{&quot;type&quot;: &quot;buyerDetails&quot;, &quot;info&quot;: [&quot;origin&quot;: &quot;United States of America&quot;, &quot;segment&quot;: &quot;Government&quot;, &quot;date&quot;: &quot;1&quot;, &quot;month&quot;: &quot;6&quot;, &quot;year&quot;: &quot;2014&quot;, &quot;units&quot;: &quot;1282&quot;]}"/>
    <x v="2"/>
    <x v="2"/>
    <x v="4"/>
    <n v="1282"/>
    <n v="7.9999999999999988E-2"/>
    <x v="9"/>
    <n v="350"/>
    <n v="448700"/>
    <n v="412804"/>
    <n v="156404"/>
    <x v="1"/>
    <x v="2"/>
    <x v="9"/>
  </r>
  <r>
    <s v="ORD-CND-GOV-20140601"/>
    <s v="{&quot;type&quot;: &quot;buyerDetails&quot;, &quot;info&quot;: [&quot;origin&quot;: &quot;Canada&quot;, &quot;segment&quot;: &quot;Government&quot;, &quot;date&quot;: &quot;1&quot;, &quot;month&quot;: &quot;6&quot;, &quot;year&quot;: &quot;2014&quot;, &quot;units&quot;: &quot;708&quot;]}"/>
    <x v="4"/>
    <x v="2"/>
    <x v="3"/>
    <n v="708"/>
    <n v="0.08"/>
    <x v="9"/>
    <n v="15"/>
    <n v="10620"/>
    <n v="9770.4"/>
    <n v="6230.4"/>
    <x v="1"/>
    <x v="2"/>
    <x v="9"/>
  </r>
  <r>
    <s v="ORD-GER-GOV-20140601"/>
    <s v="{&quot;type&quot;: &quot;buyerDetails&quot;, &quot;info&quot;: [&quot;origin&quot;: &quot;Germany&quot;, &quot;segment&quot;: &quot;Government&quot;, &quot;date&quot;: &quot;1&quot;, &quot;month&quot;: &quot;6&quot;, &quot;year&quot;: &quot;2014&quot;, &quot;units&quot;: &quot;1366&quot;]}"/>
    <x v="3"/>
    <x v="2"/>
    <x v="0"/>
    <n v="1366"/>
    <n v="0.08"/>
    <x v="9"/>
    <n v="20"/>
    <n v="27320"/>
    <n v="25134.400000000001"/>
    <n v="11474.400000000001"/>
    <x v="1"/>
    <x v="2"/>
    <x v="9"/>
  </r>
  <r>
    <s v="ORD-MXC-SMB-20140601"/>
    <s v="{&quot;type&quot;: &quot;buyerDetails&quot;, &quot;info&quot;: [&quot;origin&quot;: &quot;Mexico&quot;, &quot;segment&quot;: &quot;Small Business&quot;, &quot;date&quot;: &quot;1&quot;, &quot;month&quot;: &quot;6&quot;, &quot;year&quot;: &quot;2014&quot;, &quot;units&quot;: &quot;2460&quot;]}"/>
    <x v="1"/>
    <x v="1"/>
    <x v="0"/>
    <n v="2460"/>
    <n v="0.08"/>
    <x v="9"/>
    <n v="20"/>
    <n v="49200"/>
    <n v="45264"/>
    <n v="20664"/>
    <x v="1"/>
    <x v="2"/>
    <x v="9"/>
  </r>
  <r>
    <s v="ORD-GER-GOV-20140601"/>
    <s v="{&quot;type&quot;: &quot;buyerDetails&quot;, &quot;info&quot;: [&quot;origin&quot;: &quot;Germany&quot;, &quot;segment&quot;: &quot;Government&quot;, &quot;date&quot;: &quot;1&quot;, &quot;month&quot;: &quot;6&quot;, &quot;year&quot;: &quot;2014&quot;, &quot;units&quot;: &quot;2338&quot;]}"/>
    <x v="3"/>
    <x v="2"/>
    <x v="1"/>
    <n v="2338"/>
    <n v="0.08"/>
    <x v="9"/>
    <n v="300"/>
    <n v="701400"/>
    <n v="645288"/>
    <n v="60788"/>
    <x v="1"/>
    <x v="2"/>
    <x v="9"/>
  </r>
  <r>
    <s v="ORD-CND-GOV-20140601"/>
    <s v="{&quot;type&quot;: &quot;buyerDetails&quot;, &quot;info&quot;: [&quot;origin&quot;: &quot;Canada&quot;, &quot;segment&quot;: &quot;Government&quot;, &quot;date&quot;: &quot;1&quot;, &quot;month&quot;: &quot;6&quot;, &quot;year&quot;: &quot;2014&quot;, &quot;units&quot;: &quot;708&quot;]}"/>
    <x v="4"/>
    <x v="2"/>
    <x v="4"/>
    <n v="708"/>
    <n v="0.08"/>
    <x v="9"/>
    <n v="350"/>
    <n v="247800"/>
    <n v="227976"/>
    <n v="86376"/>
    <x v="1"/>
    <x v="2"/>
    <x v="9"/>
  </r>
  <r>
    <s v="ORD-GER-GOV-20140601"/>
    <s v="{&quot;type&quot;: &quot;buyerDetails&quot;, &quot;info&quot;: [&quot;origin&quot;: &quot;Germany&quot;, &quot;segment&quot;: &quot;Government&quot;, &quot;date&quot;: &quot;1&quot;, &quot;month&quot;: &quot;6&quot;, &quot;year&quot;: &quot;2014&quot;, &quot;units&quot;: &quot;2338&quot;]}"/>
    <x v="3"/>
    <x v="2"/>
    <x v="5"/>
    <n v="2338"/>
    <n v="0.08"/>
    <x v="9"/>
    <n v="180"/>
    <n v="420840"/>
    <n v="387172.8"/>
    <n v="106612.79999999999"/>
    <x v="1"/>
    <x v="2"/>
    <x v="9"/>
  </r>
  <r>
    <s v="ORD-USA-GOV-20140601"/>
    <s v="{&quot;type&quot;: &quot;buyerDetails&quot;, &quot;info&quot;: [&quot;origin&quot;: &quot;United States of America&quot;, &quot;segment&quot;: &quot;Government&quot;, &quot;date&quot;: &quot;1&quot;, &quot;month&quot;: &quot;6&quot;, &quot;year&quot;: &quot;2014&quot;, &quot;units&quot;: &quot;2907&quot;]}"/>
    <x v="2"/>
    <x v="2"/>
    <x v="5"/>
    <n v="2907"/>
    <n v="0.08"/>
    <x v="9"/>
    <n v="180"/>
    <n v="523260"/>
    <n v="481399.2"/>
    <n v="132559.20000000001"/>
    <x v="1"/>
    <x v="2"/>
    <x v="9"/>
  </r>
  <r>
    <s v="ORD-GER-GOV-20140601"/>
    <s v="{&quot;type&quot;: &quot;buyerDetails&quot;, &quot;info&quot;: [&quot;origin&quot;: &quot;Germany&quot;, &quot;segment&quot;: &quot;Government&quot;, &quot;date&quot;: &quot;1&quot;, &quot;month&quot;: &quot;6&quot;, &quot;year&quot;: &quot;2014&quot;, &quot;units&quot;: &quot;1366&quot;]}"/>
    <x v="3"/>
    <x v="2"/>
    <x v="4"/>
    <n v="1366"/>
    <n v="0.08"/>
    <x v="9"/>
    <n v="350"/>
    <n v="478100"/>
    <n v="439852"/>
    <n v="166652"/>
    <x v="1"/>
    <x v="2"/>
    <x v="9"/>
  </r>
  <r>
    <s v="ORD-MXC-SMB-20140601"/>
    <s v="{&quot;type&quot;: &quot;buyerDetails&quot;, &quot;info&quot;: [&quot;origin&quot;: &quot;Mexico&quot;, &quot;segment&quot;: &quot;Small Business&quot;, &quot;date&quot;: &quot;1&quot;, &quot;month&quot;: &quot;6&quot;, &quot;year&quot;: &quot;2014&quot;, &quot;units&quot;: &quot;2460&quot;]}"/>
    <x v="1"/>
    <x v="1"/>
    <x v="4"/>
    <n v="2460"/>
    <n v="0.08"/>
    <x v="9"/>
    <n v="350"/>
    <n v="861000"/>
    <n v="792120"/>
    <n v="300120"/>
    <x v="1"/>
    <x v="2"/>
    <x v="9"/>
  </r>
  <r>
    <s v="ORD-USA-GOV-20140601"/>
    <s v="{&quot;type&quot;: &quot;buyerDetails&quot;, &quot;info&quot;: [&quot;origin&quot;: &quot;United States of America&quot;, &quot;segment&quot;: &quot;Government&quot;, &quot;date&quot;: &quot;1&quot;, &quot;month&quot;: &quot;6&quot;, &quot;year&quot;: &quot;2014&quot;, &quot;units&quot;: &quot;2907&quot;]}"/>
    <x v="2"/>
    <x v="2"/>
    <x v="4"/>
    <n v="2907"/>
    <n v="0.08"/>
    <x v="9"/>
    <n v="350"/>
    <n v="1017450"/>
    <n v="936054"/>
    <n v="354654"/>
    <x v="1"/>
    <x v="2"/>
    <x v="9"/>
  </r>
  <r>
    <s v="ORD-CND-SMB-20140601"/>
    <s v="{&quot;type&quot;: &quot;buyerDetails&quot;, &quot;info&quot;: [&quot;origin&quot;: &quot;Canada&quot;, &quot;segment&quot;: &quot;Small Business&quot;, &quot;date&quot;: &quot;1&quot;, &quot;month&quot;: &quot;6&quot;, &quot;year&quot;: &quot;2014&quot;, &quot;units&quot;: &quot;1094&quot;]}"/>
    <x v="4"/>
    <x v="1"/>
    <x v="0"/>
    <n v="1094"/>
    <n v="0.09"/>
    <x v="9"/>
    <n v="20"/>
    <n v="21880"/>
    <n v="19910.8"/>
    <n v="8970.7999999999993"/>
    <x v="1"/>
    <x v="2"/>
    <x v="9"/>
  </r>
  <r>
    <s v="ORD-CND-SMB-20140601"/>
    <s v="{&quot;type&quot;: &quot;buyerDetails&quot;, &quot;info&quot;: [&quot;origin&quot;: &quot;Canada&quot;, &quot;segment&quot;: &quot;Small Business&quot;, &quot;date&quot;: &quot;1&quot;, &quot;month&quot;: &quot;6&quot;, &quot;year&quot;: &quot;2014&quot;, &quot;units&quot;: &quot;1094&quot;]}"/>
    <x v="4"/>
    <x v="1"/>
    <x v="2"/>
    <n v="1094"/>
    <n v="0.09"/>
    <x v="9"/>
    <n v="20"/>
    <n v="21880"/>
    <n v="19910.8"/>
    <n v="16628.8"/>
    <x v="1"/>
    <x v="2"/>
    <x v="9"/>
  </r>
  <r>
    <s v="ORD-MXC-GOV-20140601"/>
    <s v="{&quot;type&quot;: &quot;buyerDetails&quot;, &quot;info&quot;: [&quot;origin&quot;: &quot;Mexico&quot;, &quot;segment&quot;: &quot;Government&quot;, &quot;date&quot;: &quot;1&quot;, &quot;month&quot;: &quot;6&quot;, &quot;year&quot;: &quot;2014&quot;, &quot;units&quot;: &quot;1038&quot;]}"/>
    <x v="1"/>
    <x v="2"/>
    <x v="0"/>
    <n v="1038"/>
    <n v="9.0000000000000011E-2"/>
    <x v="9"/>
    <n v="20"/>
    <n v="20760"/>
    <n v="18891.600000000002"/>
    <n v="8511.6000000000022"/>
    <x v="1"/>
    <x v="2"/>
    <x v="9"/>
  </r>
  <r>
    <s v="ORD-MXC-GOV-20140601"/>
    <s v="{&quot;type&quot;: &quot;buyerDetails&quot;, &quot;info&quot;: [&quot;origin&quot;: &quot;Mexico&quot;, &quot;segment&quot;: &quot;Government&quot;, &quot;date&quot;: &quot;1&quot;, &quot;month&quot;: &quot;6&quot;, &quot;year&quot;: &quot;2014&quot;, &quot;units&quot;: &quot;1038&quot;]}"/>
    <x v="1"/>
    <x v="2"/>
    <x v="4"/>
    <n v="1038"/>
    <n v="9.0000000000000011E-2"/>
    <x v="9"/>
    <n v="350"/>
    <n v="363300"/>
    <n v="330603"/>
    <n v="123003"/>
    <x v="1"/>
    <x v="2"/>
    <x v="9"/>
  </r>
  <r>
    <s v="ORD-MXC-GOV-20140601"/>
    <s v="{&quot;type&quot;: &quot;buyerDetails&quot;, &quot;info&quot;: [&quot;origin&quot;: &quot;Mexico&quot;, &quot;segment&quot;: &quot;Government&quot;, &quot;date&quot;: &quot;1&quot;, &quot;month&quot;: &quot;6&quot;, &quot;year&quot;: &quot;2014&quot;, &quot;units&quot;: &quot;886&quot;]}"/>
    <x v="1"/>
    <x v="2"/>
    <x v="0"/>
    <n v="886"/>
    <n v="0.12"/>
    <x v="9"/>
    <n v="20"/>
    <n v="17720"/>
    <n v="15593.6"/>
    <n v="6733.6"/>
    <x v="1"/>
    <x v="3"/>
    <x v="9"/>
  </r>
  <r>
    <s v="ORD-MXC-GOV-20140601"/>
    <s v="{&quot;type&quot;: &quot;buyerDetails&quot;, &quot;info&quot;: [&quot;origin&quot;: &quot;Mexico&quot;, &quot;segment&quot;: &quot;Government&quot;, &quot;date&quot;: &quot;1&quot;, &quot;month&quot;: &quot;6&quot;, &quot;year&quot;: &quot;2014&quot;, &quot;units&quot;: &quot;886&quot;]}"/>
    <x v="1"/>
    <x v="2"/>
    <x v="2"/>
    <n v="886"/>
    <n v="0.12"/>
    <x v="9"/>
    <n v="20"/>
    <n v="17720"/>
    <n v="15593.6"/>
    <n v="12935.6"/>
    <x v="1"/>
    <x v="3"/>
    <x v="9"/>
  </r>
  <r>
    <s v="ORD-USA-MDM-20140601"/>
    <s v="{&quot;type&quot;: &quot;buyerDetails&quot;, &quot;info&quot;: [&quot;origin&quot;: &quot;United States of America&quot;, &quot;segment&quot;: &quot;Midmarket&quot;, &quot;date&quot;: &quot;1&quot;, &quot;month&quot;: &quot;6&quot;, &quot;year&quot;: &quot;2014&quot;, &quot;units&quot;: &quot;2567&quot;]}"/>
    <x v="2"/>
    <x v="0"/>
    <x v="1"/>
    <n v="2567"/>
    <n v="0.12999999999999998"/>
    <x v="9"/>
    <n v="300"/>
    <n v="770100"/>
    <n v="669987"/>
    <n v="28237"/>
    <x v="1"/>
    <x v="3"/>
    <x v="9"/>
  </r>
  <r>
    <s v="ORD-USA-MDM-20140601"/>
    <s v="{&quot;type&quot;: &quot;buyerDetails&quot;, &quot;info&quot;: [&quot;origin&quot;: &quot;United States of America&quot;, &quot;segment&quot;: &quot;Midmarket&quot;, &quot;date&quot;: &quot;1&quot;, &quot;month&quot;: &quot;6&quot;, &quot;year&quot;: &quot;2014&quot;, &quot;units&quot;: &quot;2567&quot;]}"/>
    <x v="2"/>
    <x v="0"/>
    <x v="2"/>
    <n v="2567"/>
    <n v="0.12999999999999998"/>
    <x v="9"/>
    <n v="20"/>
    <n v="51340"/>
    <n v="44665.8"/>
    <n v="36964.800000000003"/>
    <x v="1"/>
    <x v="3"/>
    <x v="9"/>
  </r>
  <r>
    <s v="ORD-MXC-CPR-20140601"/>
    <s v="{&quot;type&quot;: &quot;buyerDetails&quot;, &quot;info&quot;: [&quot;origin&quot;: &quot;Mexico&quot;, &quot;segment&quot;: &quot;Channel Partners&quot;, &quot;date&quot;: &quot;1&quot;, &quot;month&quot;: &quot;6&quot;, &quot;year&quot;: &quot;2014&quot;, &quot;units&quot;: &quot;604&quot;]}"/>
    <x v="1"/>
    <x v="4"/>
    <x v="3"/>
    <n v="604"/>
    <n v="0.13"/>
    <x v="9"/>
    <n v="15"/>
    <n v="9060"/>
    <n v="7882.2"/>
    <n v="4862.2"/>
    <x v="1"/>
    <x v="3"/>
    <x v="9"/>
  </r>
  <r>
    <s v="ORD-CND-ENT-20140601"/>
    <s v="{&quot;type&quot;: &quot;buyerDetails&quot;, &quot;info&quot;: [&quot;origin&quot;: &quot;Canada&quot;, &quot;segment&quot;: &quot;Enterprise&quot;, &quot;date&quot;: &quot;1&quot;, &quot;month&quot;: &quot;6&quot;, &quot;year&quot;: &quot;2014&quot;, &quot;units&quot;: &quot;1583&quot;]}"/>
    <x v="4"/>
    <x v="3"/>
    <x v="0"/>
    <n v="1583"/>
    <n v="0.13"/>
    <x v="9"/>
    <n v="20"/>
    <n v="31660"/>
    <n v="27544.2"/>
    <n v="11714.2"/>
    <x v="1"/>
    <x v="3"/>
    <x v="9"/>
  </r>
  <r>
    <s v="ORD-CND-ENT-20140601"/>
    <s v="{&quot;type&quot;: &quot;buyerDetails&quot;, &quot;info&quot;: [&quot;origin&quot;: &quot;Canada&quot;, &quot;segment&quot;: &quot;Enterprise&quot;, &quot;date&quot;: &quot;1&quot;, &quot;month&quot;: &quot;6&quot;, &quot;year&quot;: &quot;2014&quot;, &quot;units&quot;: &quot;1583&quot;]}"/>
    <x v="4"/>
    <x v="3"/>
    <x v="1"/>
    <n v="1583"/>
    <n v="0.13"/>
    <x v="9"/>
    <n v="300"/>
    <n v="474900"/>
    <n v="413163"/>
    <n v="17413"/>
    <x v="1"/>
    <x v="3"/>
    <x v="9"/>
  </r>
  <r>
    <s v="ORD-CND-GOV-20140601"/>
    <s v="{&quot;type&quot;: &quot;buyerDetails&quot;, &quot;info&quot;: [&quot;origin&quot;: &quot;Canada&quot;, &quot;segment&quot;: &quot;Government&quot;, &quot;date&quot;: &quot;1&quot;, &quot;month&quot;: &quot;6&quot;, &quot;year&quot;: &quot;2014&quot;, &quot;units&quot;: &quot;2632&quot;]}"/>
    <x v="4"/>
    <x v="2"/>
    <x v="0"/>
    <n v="2632"/>
    <n v="0.13"/>
    <x v="9"/>
    <n v="20"/>
    <n v="52640"/>
    <n v="45796.800000000003"/>
    <n v="19476.800000000003"/>
    <x v="1"/>
    <x v="3"/>
    <x v="9"/>
  </r>
  <r>
    <s v="ORD-MXC-CPR-20140601"/>
    <s v="{&quot;type&quot;: &quot;buyerDetails&quot;, &quot;info&quot;: [&quot;origin&quot;: &quot;Mexico&quot;, &quot;segment&quot;: &quot;Channel Partners&quot;, &quot;date&quot;: &quot;1&quot;, &quot;month&quot;: &quot;6&quot;, &quot;year&quot;: &quot;2014&quot;, &quot;units&quot;: &quot;604&quot;]}"/>
    <x v="1"/>
    <x v="4"/>
    <x v="5"/>
    <n v="604"/>
    <n v="0.13"/>
    <x v="9"/>
    <n v="180"/>
    <n v="108720"/>
    <n v="94586.4"/>
    <n v="22106.399999999994"/>
    <x v="1"/>
    <x v="3"/>
    <x v="9"/>
  </r>
  <r>
    <s v="ORD-FRA-GOV-20140601"/>
    <s v="{&quot;type&quot;: &quot;buyerDetails&quot;, &quot;info&quot;: [&quot;origin&quot;: &quot;France&quot;, &quot;segment&quot;: &quot;Government&quot;, &quot;date&quot;: &quot;1&quot;, &quot;month&quot;: &quot;6&quot;, &quot;year&quot;: &quot;2014&quot;, &quot;units&quot;: &quot;1190&quot;]}"/>
    <x v="0"/>
    <x v="2"/>
    <x v="5"/>
    <n v="1190"/>
    <n v="0.13"/>
    <x v="9"/>
    <n v="180"/>
    <n v="214200"/>
    <n v="186354"/>
    <n v="43554"/>
    <x v="1"/>
    <x v="3"/>
    <x v="9"/>
  </r>
  <r>
    <s v="ORD-CND-GOV-20140601"/>
    <s v="{&quot;type&quot;: &quot;buyerDetails&quot;, &quot;info&quot;: [&quot;origin&quot;: &quot;Canada&quot;, &quot;segment&quot;: &quot;Government&quot;, &quot;date&quot;: &quot;1&quot;, &quot;month&quot;: &quot;6&quot;, &quot;year&quot;: &quot;2014&quot;, &quot;units&quot;: &quot;2632&quot;]}"/>
    <x v="4"/>
    <x v="2"/>
    <x v="5"/>
    <n v="2632"/>
    <n v="0.13"/>
    <x v="9"/>
    <n v="180"/>
    <n v="473760"/>
    <n v="412171.2"/>
    <n v="96331.200000000012"/>
    <x v="1"/>
    <x v="3"/>
    <x v="9"/>
  </r>
  <r>
    <s v="ORD-FRA-GOV-20140601"/>
    <s v="{&quot;type&quot;: &quot;buyerDetails&quot;, &quot;info&quot;: [&quot;origin&quot;: &quot;France&quot;, &quot;segment&quot;: &quot;Government&quot;, &quot;date&quot;: &quot;1&quot;, &quot;month&quot;: &quot;6&quot;, &quot;year&quot;: &quot;2014&quot;, &quot;units&quot;: &quot;1190&quot;]}"/>
    <x v="0"/>
    <x v="2"/>
    <x v="4"/>
    <n v="1190"/>
    <n v="0.13"/>
    <x v="9"/>
    <n v="350"/>
    <n v="416500"/>
    <n v="362355"/>
    <n v="124355"/>
    <x v="1"/>
    <x v="3"/>
    <x v="9"/>
  </r>
  <r>
    <s v="ORD-GER-CPR-20140701"/>
    <s v="{&quot;type&quot;: &quot;buyerDetails&quot;, &quot;info&quot;: [&quot;origin&quot;: &quot;Germany&quot;, &quot;segment&quot;: &quot;Channel Partners&quot;, &quot;date&quot;: &quot;1&quot;, &quot;month&quot;: &quot;7&quot;, &quot;year&quot;: &quot;2014&quot;, &quot;units&quot;: &quot;367&quot;]}"/>
    <x v="3"/>
    <x v="4"/>
    <x v="0"/>
    <n v="367"/>
    <n v="0"/>
    <x v="10"/>
    <n v="20"/>
    <n v="7340"/>
    <n v="7340"/>
    <n v="3670"/>
    <x v="1"/>
    <x v="0"/>
    <x v="10"/>
  </r>
  <r>
    <s v="ORD-CND-ENT-20140701"/>
    <s v="{&quot;type&quot;: &quot;buyerDetails&quot;, &quot;info&quot;: [&quot;origin&quot;: &quot;Canada&quot;, &quot;segment&quot;: &quot;Enterprise&quot;, &quot;date&quot;: &quot;1&quot;, &quot;month&quot;: &quot;7&quot;, &quot;year&quot;: &quot;2014&quot;, &quot;units&quot;: &quot;2665&quot;]}"/>
    <x v="4"/>
    <x v="3"/>
    <x v="3"/>
    <n v="2665"/>
    <n v="0"/>
    <x v="10"/>
    <n v="15"/>
    <n v="39975"/>
    <n v="39975"/>
    <n v="26650"/>
    <x v="1"/>
    <x v="0"/>
    <x v="10"/>
  </r>
  <r>
    <s v="ORD-GER-GOV-20140701"/>
    <s v="{&quot;type&quot;: &quot;buyerDetails&quot;, &quot;info&quot;: [&quot;origin&quot;: &quot;Germany&quot;, &quot;segment&quot;: &quot;Government&quot;, &quot;date&quot;: &quot;1&quot;, &quot;month&quot;: &quot;7&quot;, &quot;year&quot;: &quot;2014&quot;, &quot;units&quot;: &quot;1686&quot;]}"/>
    <x v="3"/>
    <x v="2"/>
    <x v="4"/>
    <n v="1686"/>
    <n v="0"/>
    <x v="10"/>
    <n v="350"/>
    <n v="590100"/>
    <n v="590100"/>
    <n v="252900"/>
    <x v="1"/>
    <x v="0"/>
    <x v="10"/>
  </r>
  <r>
    <s v="ORD-MXC-ENT-20140701"/>
    <s v="{&quot;type&quot;: &quot;buyerDetails&quot;, &quot;info&quot;: [&quot;origin&quot;: &quot;Mexico&quot;, &quot;segment&quot;: &quot;Enterprise&quot;, &quot;date&quot;: &quot;1&quot;, &quot;month&quot;: &quot;7&quot;, &quot;year&quot;: &quot;2014&quot;, &quot;units&quot;: &quot;1823&quot;]}"/>
    <x v="1"/>
    <x v="3"/>
    <x v="0"/>
    <n v="1823"/>
    <n v="0.01"/>
    <x v="10"/>
    <n v="20"/>
    <n v="36460"/>
    <n v="36095.4"/>
    <n v="17865.400000000001"/>
    <x v="1"/>
    <x v="1"/>
    <x v="10"/>
  </r>
  <r>
    <s v="ORD-USA-GOV-20140701"/>
    <s v="{&quot;type&quot;: &quot;buyerDetails&quot;, &quot;info&quot;: [&quot;origin&quot;: &quot;United States of America&quot;, &quot;segment&quot;: &quot;Government&quot;, &quot;date&quot;: &quot;1&quot;, &quot;month&quot;: &quot;7&quot;, &quot;year&quot;: &quot;2014&quot;, &quot;units&quot;: &quot;2529&quot;]}"/>
    <x v="2"/>
    <x v="2"/>
    <x v="2"/>
    <n v="2529"/>
    <n v="0.01"/>
    <x v="10"/>
    <n v="20"/>
    <n v="50580"/>
    <n v="50074.2"/>
    <n v="42487.199999999997"/>
    <x v="1"/>
    <x v="1"/>
    <x v="10"/>
  </r>
  <r>
    <s v="ORD-FRA-GOV-20140701"/>
    <s v="{&quot;type&quot;: &quot;buyerDetails&quot;, &quot;info&quot;: [&quot;origin&quot;: &quot;France&quot;, &quot;segment&quot;: &quot;Government&quot;, &quot;date&quot;: &quot;1&quot;, &quot;month&quot;: &quot;7&quot;, &quot;year&quot;: &quot;2014&quot;, &quot;units&quot;: &quot;1375&quot;]}"/>
    <x v="0"/>
    <x v="2"/>
    <x v="3"/>
    <n v="1375"/>
    <n v="1.0003636363636364E-2"/>
    <x v="10"/>
    <n v="15"/>
    <n v="20625"/>
    <n v="20418.674999999999"/>
    <n v="13543.674999999999"/>
    <x v="1"/>
    <x v="1"/>
    <x v="10"/>
  </r>
  <r>
    <s v="ORD-USA-CPR-20140701"/>
    <s v="{&quot;type&quot;: &quot;buyerDetails&quot;, &quot;info&quot;: [&quot;origin&quot;: &quot;United States of America&quot;, &quot;segment&quot;: &quot;Channel Partners&quot;, &quot;date&quot;: &quot;1&quot;, &quot;month&quot;: &quot;7&quot;, &quot;year&quot;: &quot;2014&quot;, &quot;units&quot;: &quot;1369&quot;]}"/>
    <x v="2"/>
    <x v="4"/>
    <x v="0"/>
    <n v="1369"/>
    <n v="3.0010956902848794E-2"/>
    <x v="10"/>
    <n v="20"/>
    <n v="27380"/>
    <n v="26558.3"/>
    <n v="12868.3"/>
    <x v="1"/>
    <x v="1"/>
    <x v="10"/>
  </r>
  <r>
    <s v="ORD-FRA-ENT-20140701"/>
    <s v="{&quot;type&quot;: &quot;buyerDetails&quot;, &quot;info&quot;: [&quot;origin&quot;: &quot;France&quot;, &quot;segment&quot;: &quot;Enterprise&quot;, &quot;date&quot;: &quot;1&quot;, &quot;month&quot;: &quot;7&quot;, &quot;year&quot;: &quot;2014&quot;, &quot;units&quot;: &quot;2988&quot;]}"/>
    <x v="0"/>
    <x v="3"/>
    <x v="0"/>
    <n v="2988"/>
    <n v="0.04"/>
    <x v="10"/>
    <n v="20"/>
    <n v="59760"/>
    <n v="57369.599999999999"/>
    <n v="27489.599999999999"/>
    <x v="1"/>
    <x v="1"/>
    <x v="10"/>
  </r>
  <r>
    <s v="ORD-USA-GOV-20140701"/>
    <s v="{&quot;type&quot;: &quot;buyerDetails&quot;, &quot;info&quot;: [&quot;origin&quot;: &quot;United States of America&quot;, &quot;segment&quot;: &quot;Government&quot;, &quot;date&quot;: &quot;1&quot;, &quot;month&quot;: &quot;7&quot;, &quot;year&quot;: &quot;2014&quot;, &quot;units&quot;: &quot;3450&quot;]}"/>
    <x v="2"/>
    <x v="2"/>
    <x v="0"/>
    <n v="3450"/>
    <n v="0.04"/>
    <x v="10"/>
    <n v="20"/>
    <n v="69000"/>
    <n v="66240"/>
    <n v="31740"/>
    <x v="1"/>
    <x v="1"/>
    <x v="10"/>
  </r>
  <r>
    <s v="ORD-MXC-GOV-20140701"/>
    <s v="{&quot;type&quot;: &quot;buyerDetails&quot;, &quot;info&quot;: [&quot;origin&quot;: &quot;Mexico&quot;, &quot;segment&quot;: &quot;Government&quot;, &quot;date&quot;: &quot;1&quot;, &quot;month&quot;: &quot;7&quot;, &quot;year&quot;: &quot;2014&quot;, &quot;units&quot;: &quot;1683&quot;]}"/>
    <x v="1"/>
    <x v="2"/>
    <x v="4"/>
    <n v="1683"/>
    <n v="4.9999999999999996E-2"/>
    <x v="10"/>
    <n v="350"/>
    <n v="589050"/>
    <n v="559597.5"/>
    <n v="222997.5"/>
    <x v="1"/>
    <x v="2"/>
    <x v="10"/>
  </r>
  <r>
    <s v="ORD-USA-ENT-20140701"/>
    <s v="{&quot;type&quot;: &quot;buyerDetails&quot;, &quot;info&quot;: [&quot;origin&quot;: &quot;United States of America&quot;, &quot;segment&quot;: &quot;Enterprise&quot;, &quot;date&quot;: &quot;1&quot;, &quot;month&quot;: &quot;7&quot;, &quot;year&quot;: &quot;2014&quot;, &quot;units&quot;: &quot;3627&quot;]}"/>
    <x v="2"/>
    <x v="3"/>
    <x v="3"/>
    <n v="3627"/>
    <n v="0.05"/>
    <x v="10"/>
    <n v="15"/>
    <n v="54405"/>
    <n v="51684.75"/>
    <n v="33549.75"/>
    <x v="1"/>
    <x v="2"/>
    <x v="10"/>
  </r>
  <r>
    <s v="ORD-GER-ENT-20140701"/>
    <s v="{&quot;type&quot;: &quot;buyerDetails&quot;, &quot;info&quot;: [&quot;origin&quot;: &quot;Germany&quot;, &quot;segment&quot;: &quot;Enterprise&quot;, &quot;date&quot;: &quot;1&quot;, &quot;month&quot;: &quot;7&quot;, &quot;year&quot;: &quot;2014&quot;, &quot;units&quot;: &quot;3513&quot;]}"/>
    <x v="3"/>
    <x v="3"/>
    <x v="0"/>
    <n v="3513"/>
    <n v="7.0000000000000007E-2"/>
    <x v="10"/>
    <n v="20"/>
    <n v="70260"/>
    <n v="65341.799999999996"/>
    <n v="30211.799999999996"/>
    <x v="1"/>
    <x v="2"/>
    <x v="10"/>
  </r>
  <r>
    <s v="ORD-FRA-SMB-20140701"/>
    <s v="{&quot;type&quot;: &quot;buyerDetails&quot;, &quot;info&quot;: [&quot;origin&quot;: &quot;France&quot;, &quot;segment&quot;: &quot;Small Business&quot;, &quot;date&quot;: &quot;1&quot;, &quot;month&quot;: &quot;7&quot;, &quot;year&quot;: &quot;2014&quot;, &quot;units&quot;: &quot;1659&quot;]}"/>
    <x v="0"/>
    <x v="1"/>
    <x v="5"/>
    <n v="1659"/>
    <n v="7.0000000000000007E-2"/>
    <x v="10"/>
    <n v="180"/>
    <n v="298620"/>
    <n v="277716.59999999998"/>
    <n v="78636.599999999977"/>
    <x v="1"/>
    <x v="2"/>
    <x v="10"/>
  </r>
  <r>
    <s v="ORD-GER-GOV-20140701"/>
    <s v="{&quot;type&quot;: &quot;buyerDetails&quot;, &quot;info&quot;: [&quot;origin&quot;: &quot;Germany&quot;, &quot;segment&quot;: &quot;Government&quot;, &quot;date&quot;: &quot;1&quot;, &quot;month&quot;: &quot;7&quot;, &quot;year&quot;: &quot;2014&quot;, &quot;units&quot;: &quot;645&quot;]}"/>
    <x v="3"/>
    <x v="2"/>
    <x v="3"/>
    <n v="645"/>
    <n v="0.08"/>
    <x v="10"/>
    <n v="15"/>
    <n v="9675"/>
    <n v="8901"/>
    <n v="5676"/>
    <x v="1"/>
    <x v="2"/>
    <x v="10"/>
  </r>
  <r>
    <s v="ORD-USA-GOV-20140701"/>
    <s v="{&quot;type&quot;: &quot;buyerDetails&quot;, &quot;info&quot;: [&quot;origin&quot;: &quot;United States of America&quot;, &quot;segment&quot;: &quot;Government&quot;, &quot;date&quot;: &quot;1&quot;, &quot;month&quot;: &quot;7&quot;, &quot;year&quot;: &quot;2014&quot;, &quot;units&quot;: &quot;436&quot;]}"/>
    <x v="2"/>
    <x v="2"/>
    <x v="1"/>
    <n v="436"/>
    <n v="8.0091743119266048E-2"/>
    <x v="10"/>
    <n v="300"/>
    <n v="130800"/>
    <n v="120324"/>
    <n v="11324"/>
    <x v="1"/>
    <x v="2"/>
    <x v="10"/>
  </r>
  <r>
    <s v="ORD-GER-GOV-20140701"/>
    <s v="{&quot;type&quot;: &quot;buyerDetails&quot;, &quot;info&quot;: [&quot;origin&quot;: &quot;Germany&quot;, &quot;segment&quot;: &quot;Government&quot;, &quot;date&quot;: &quot;1&quot;, &quot;month&quot;: &quot;7&quot;, &quot;year&quot;: &quot;2014&quot;, &quot;units&quot;: &quot;1307&quot;]}"/>
    <x v="3"/>
    <x v="2"/>
    <x v="5"/>
    <n v="1307"/>
    <n v="0.09"/>
    <x v="10"/>
    <n v="180"/>
    <n v="235260"/>
    <n v="214086.6"/>
    <n v="57246.600000000006"/>
    <x v="1"/>
    <x v="2"/>
    <x v="10"/>
  </r>
  <r>
    <s v="ORD-CND-GOV-20140701"/>
    <s v="{&quot;type&quot;: &quot;buyerDetails&quot;, &quot;info&quot;: [&quot;origin&quot;: &quot;Canada&quot;, &quot;segment&quot;: &quot;Government&quot;, &quot;date&quot;: &quot;1&quot;, &quot;month&quot;: &quot;7&quot;, &quot;year&quot;: &quot;2014&quot;, &quot;units&quot;: &quot;819&quot;]}"/>
    <x v="4"/>
    <x v="2"/>
    <x v="2"/>
    <n v="819"/>
    <n v="9.0000000000000011E-2"/>
    <x v="10"/>
    <n v="20"/>
    <n v="16380"/>
    <n v="14905.800000000001"/>
    <n v="12448.800000000001"/>
    <x v="1"/>
    <x v="2"/>
    <x v="10"/>
  </r>
  <r>
    <s v="ORD-CND-SMB-20140701"/>
    <s v="{&quot;type&quot;: &quot;buyerDetails&quot;, &quot;info&quot;: [&quot;origin&quot;: &quot;Canada&quot;, &quot;segment&quot;: &quot;Small Business&quot;, &quot;date&quot;: &quot;1&quot;, &quot;month&quot;: &quot;7&quot;, &quot;year&quot;: &quot;2014&quot;, &quot;units&quot;: &quot;3793&quot;]}"/>
    <x v="4"/>
    <x v="1"/>
    <x v="5"/>
    <n v="3793"/>
    <n v="9.0011863959926178E-2"/>
    <x v="10"/>
    <n v="180"/>
    <n v="682740"/>
    <n v="621285.29999999993"/>
    <n v="166125.29999999993"/>
    <x v="1"/>
    <x v="2"/>
    <x v="10"/>
  </r>
  <r>
    <s v="ORD-CND-MDM-20140701"/>
    <s v="{&quot;type&quot;: &quot;buyerDetails&quot;, &quot;info&quot;: [&quot;origin&quot;: &quot;Canada&quot;, &quot;segment&quot;: &quot;Midmarket&quot;, &quot;date&quot;: &quot;1&quot;, &quot;month&quot;: &quot;7&quot;, &quot;year&quot;: &quot;2014&quot;, &quot;units&quot;: &quot;1630&quot;]}"/>
    <x v="4"/>
    <x v="0"/>
    <x v="4"/>
    <n v="1630"/>
    <n v="9.0027811860940693E-2"/>
    <x v="10"/>
    <n v="350"/>
    <n v="570500"/>
    <n v="519139.13333333336"/>
    <n v="193139.13333333336"/>
    <x v="1"/>
    <x v="2"/>
    <x v="10"/>
  </r>
  <r>
    <s v="ORD-MXC-MDM-20140701"/>
    <s v="{&quot;type&quot;: &quot;buyerDetails&quot;, &quot;info&quot;: [&quot;origin&quot;: &quot;Mexico&quot;, &quot;segment&quot;: &quot;Midmarket&quot;, &quot;date&quot;: &quot;1&quot;, &quot;month&quot;: &quot;7&quot;, &quot;year&quot;: &quot;2014&quot;, &quot;units&quot;: &quot;641&quot;]}"/>
    <x v="1"/>
    <x v="0"/>
    <x v="1"/>
    <n v="641"/>
    <n v="0.1"/>
    <x v="10"/>
    <n v="300"/>
    <n v="192300"/>
    <n v="173070"/>
    <n v="12820"/>
    <x v="1"/>
    <x v="3"/>
    <x v="10"/>
  </r>
  <r>
    <s v="ORD-FRA-GOV-20140701"/>
    <s v="{&quot;type&quot;: &quot;buyerDetails&quot;, &quot;info&quot;: [&quot;origin&quot;: &quot;France&quot;, &quot;segment&quot;: &quot;Government&quot;, &quot;date&quot;: &quot;1&quot;, &quot;month&quot;: &quot;7&quot;, &quot;year&quot;: &quot;2014&quot;, &quot;units&quot;: &quot;639&quot;]}"/>
    <x v="0"/>
    <x v="2"/>
    <x v="5"/>
    <n v="639"/>
    <n v="0.1"/>
    <x v="10"/>
    <n v="180"/>
    <n v="115020"/>
    <n v="103518"/>
    <n v="26838"/>
    <x v="1"/>
    <x v="3"/>
    <x v="10"/>
  </r>
  <r>
    <s v="ORD-CND-CPR-20140701"/>
    <s v="{&quot;type&quot;: &quot;buyerDetails&quot;, &quot;info&quot;: [&quot;origin&quot;: &quot;Canada&quot;, &quot;segment&quot;: &quot;Channel Partners&quot;, &quot;date&quot;: &quot;1&quot;, &quot;month&quot;: &quot;7&quot;, &quot;year&quot;: &quot;2014&quot;, &quot;units&quot;: &quot;4026&quot;]}"/>
    <x v="4"/>
    <x v="4"/>
    <x v="0"/>
    <n v="4026"/>
    <n v="0.11"/>
    <x v="10"/>
    <n v="20"/>
    <n v="80520"/>
    <n v="71662.8"/>
    <n v="31402.800000000003"/>
    <x v="1"/>
    <x v="3"/>
    <x v="10"/>
  </r>
  <r>
    <s v="ORD-GER-SMB-20140701"/>
    <s v="{&quot;type&quot;: &quot;buyerDetails&quot;, &quot;info&quot;: [&quot;origin&quot;: &quot;Germany&quot;, &quot;segment&quot;: &quot;Small Business&quot;, &quot;date&quot;: &quot;1&quot;, &quot;month&quot;: &quot;7&quot;, &quot;year&quot;: &quot;2014&quot;, &quot;units&quot;: &quot;2811&quot;]}"/>
    <x v="3"/>
    <x v="1"/>
    <x v="2"/>
    <n v="2811"/>
    <n v="0.11"/>
    <x v="10"/>
    <n v="20"/>
    <n v="56220"/>
    <n v="50035.8"/>
    <n v="41602.800000000003"/>
    <x v="1"/>
    <x v="3"/>
    <x v="10"/>
  </r>
  <r>
    <s v="ORD-USA-MDM-20140701"/>
    <s v="{&quot;type&quot;: &quot;buyerDetails&quot;, &quot;info&quot;: [&quot;origin&quot;: &quot;United States of America&quot;, &quot;segment&quot;: &quot;Midmarket&quot;, &quot;date&quot;: &quot;1&quot;, &quot;month&quot;: &quot;7&quot;, &quot;year&quot;: &quot;2014&quot;, &quot;units&quot;: &quot;3199&quot;]}"/>
    <x v="2"/>
    <x v="0"/>
    <x v="4"/>
    <n v="3199"/>
    <n v="0.11001729707200167"/>
    <x v="10"/>
    <n v="350"/>
    <n v="1119650"/>
    <n v="996469.1333333333"/>
    <n v="356669.1333333333"/>
    <x v="1"/>
    <x v="3"/>
    <x v="10"/>
  </r>
  <r>
    <s v="ORD-FRA-CPR-20140701"/>
    <s v="{&quot;type&quot;: &quot;buyerDetails&quot;, &quot;info&quot;: [&quot;origin&quot;: &quot;France&quot;, &quot;segment&quot;: &quot;Channel Partners&quot;, &quot;date&quot;: &quot;1&quot;, &quot;month&quot;: &quot;7&quot;, &quot;year&quot;: &quot;2014&quot;, &quot;units&quot;: &quot;2425&quot;]}"/>
    <x v="0"/>
    <x v="4"/>
    <x v="0"/>
    <n v="2425"/>
    <n v="0.11002268041237113"/>
    <x v="10"/>
    <n v="20"/>
    <n v="48500"/>
    <n v="43163.9"/>
    <n v="18913.900000000001"/>
    <x v="1"/>
    <x v="3"/>
    <x v="10"/>
  </r>
  <r>
    <s v="ORD-CND-GOV-20140701"/>
    <s v="{&quot;type&quot;: &quot;buyerDetails&quot;, &quot;info&quot;: [&quot;origin&quot;: &quot;Canada&quot;, &quot;segment&quot;: &quot;Government&quot;, &quot;date&quot;: &quot;1&quot;, &quot;month&quot;: &quot;7&quot;, &quot;year&quot;: &quot;2014&quot;, &quot;units&quot;: &quot;2104&quot;]}"/>
    <x v="4"/>
    <x v="2"/>
    <x v="0"/>
    <n v="2104"/>
    <n v="0.11002614068441065"/>
    <x v="10"/>
    <n v="20"/>
    <n v="42080"/>
    <n v="37450.1"/>
    <n v="16410.099999999999"/>
    <x v="1"/>
    <x v="3"/>
    <x v="10"/>
  </r>
  <r>
    <s v="ORD-MXC-GOV-20140701"/>
    <s v="{&quot;type&quot;: &quot;buyerDetails&quot;, &quot;info&quot;: [&quot;origin&quot;: &quot;Mexico&quot;, &quot;segment&quot;: &quot;Government&quot;, &quot;date&quot;: &quot;1&quot;, &quot;month&quot;: &quot;7&quot;, &quot;year&quot;: &quot;2014&quot;, &quot;units&quot;: &quot;1395&quot;]}"/>
    <x v="1"/>
    <x v="2"/>
    <x v="5"/>
    <n v="1395"/>
    <n v="0.12"/>
    <x v="10"/>
    <n v="180"/>
    <n v="251100"/>
    <n v="220968"/>
    <n v="53568"/>
    <x v="1"/>
    <x v="3"/>
    <x v="10"/>
  </r>
  <r>
    <s v="ORD-FRA-MDM-20140701"/>
    <s v="{&quot;type&quot;: &quot;buyerDetails&quot;, &quot;info&quot;: [&quot;origin&quot;: &quot;France&quot;, &quot;segment&quot;: &quot;Midmarket&quot;, &quot;date&quot;: &quot;1&quot;, &quot;month&quot;: &quot;7&quot;, &quot;year&quot;: &quot;2014&quot;, &quot;units&quot;: &quot;3874&quot;]}"/>
    <x v="0"/>
    <x v="0"/>
    <x v="1"/>
    <n v="3874"/>
    <n v="0.12001548786783686"/>
    <x v="10"/>
    <n v="300"/>
    <n v="1162200"/>
    <n v="1022718"/>
    <n v="54218"/>
    <x v="1"/>
    <x v="3"/>
    <x v="10"/>
  </r>
  <r>
    <s v="ORD-FRA-GOV-20140701"/>
    <s v="{&quot;type&quot;: &quot;buyerDetails&quot;, &quot;info&quot;: [&quot;origin&quot;: &quot;France&quot;, &quot;segment&quot;: &quot;Government&quot;, &quot;date&quot;: &quot;1&quot;, &quot;month&quot;: &quot;7&quot;, &quot;year&quot;: &quot;2014&quot;, &quot;units&quot;: &quot;3421&quot;]}"/>
    <x v="0"/>
    <x v="2"/>
    <x v="4"/>
    <n v="3421"/>
    <n v="0.1200175387313651"/>
    <x v="10"/>
    <n v="350"/>
    <n v="1197350"/>
    <n v="1053647"/>
    <n v="369447"/>
    <x v="1"/>
    <x v="3"/>
    <x v="10"/>
  </r>
  <r>
    <s v="ORD-MXC-CPR-20140701"/>
    <s v="{&quot;type&quot;: &quot;buyerDetails&quot;, &quot;info&quot;: [&quot;origin&quot;: &quot;Mexico&quot;, &quot;segment&quot;: &quot;Channel Partners&quot;, &quot;date&quot;: &quot;1&quot;, &quot;month&quot;: &quot;7&quot;, &quot;year&quot;: &quot;2014&quot;, &quot;units&quot;: &quot;571&quot;]}"/>
    <x v="1"/>
    <x v="4"/>
    <x v="0"/>
    <n v="571"/>
    <n v="0.13"/>
    <x v="10"/>
    <n v="20"/>
    <n v="11420"/>
    <n v="9935.4"/>
    <n v="4225.3999999999996"/>
    <x v="1"/>
    <x v="3"/>
    <x v="10"/>
  </r>
  <r>
    <s v="ORD-MXC-GOV-20140701"/>
    <s v="{&quot;type&quot;: &quot;buyerDetails&quot;, &quot;info&quot;: [&quot;origin&quot;: &quot;Mexico&quot;, &quot;segment&quot;: &quot;Government&quot;, &quot;date&quot;: &quot;1&quot;, &quot;month&quot;: &quot;7&quot;, &quot;year&quot;: &quot;2014&quot;, &quot;units&quot;: &quot;2255&quot;]}"/>
    <x v="1"/>
    <x v="2"/>
    <x v="3"/>
    <n v="2255"/>
    <n v="0.13"/>
    <x v="10"/>
    <n v="15"/>
    <n v="33825"/>
    <n v="29427.75"/>
    <n v="18152.75"/>
    <x v="1"/>
    <x v="3"/>
    <x v="10"/>
  </r>
  <r>
    <s v="ORD-MXC-SMB-20140701"/>
    <s v="{&quot;type&quot;: &quot;buyerDetails&quot;, &quot;info&quot;: [&quot;origin&quot;: &quot;Mexico&quot;, &quot;segment&quot;: &quot;Small Business&quot;, &quot;date&quot;: &quot;1&quot;, &quot;month&quot;: &quot;7&quot;, &quot;year&quot;: &quot;2014&quot;, &quot;units&quot;: &quot;801&quot;]}"/>
    <x v="1"/>
    <x v="1"/>
    <x v="2"/>
    <n v="801"/>
    <n v="0.14000000000000001"/>
    <x v="10"/>
    <n v="20"/>
    <n v="16020"/>
    <n v="13777.199999999999"/>
    <n v="11374.199999999999"/>
    <x v="1"/>
    <x v="3"/>
    <x v="10"/>
  </r>
  <r>
    <s v="ORD-USA-SMB-20140701"/>
    <s v="{&quot;type&quot;: &quot;buyerDetails&quot;, &quot;info&quot;: [&quot;origin&quot;: &quot;United States of America&quot;, &quot;segment&quot;: &quot;Small Business&quot;, &quot;date&quot;: &quot;1&quot;, &quot;month&quot;: &quot;7&quot;, &quot;year&quot;: &quot;2014&quot;, &quot;units&quot;: &quot;2460&quot;]}"/>
    <x v="2"/>
    <x v="1"/>
    <x v="5"/>
    <n v="2460"/>
    <n v="0.14000000000000001"/>
    <x v="10"/>
    <n v="180"/>
    <n v="442800"/>
    <n v="380808"/>
    <n v="85608"/>
    <x v="1"/>
    <x v="3"/>
    <x v="10"/>
  </r>
  <r>
    <s v="ORD-GER-MDM-20140701"/>
    <s v="{&quot;type&quot;: &quot;buyerDetails&quot;, &quot;info&quot;: [&quot;origin&quot;: &quot;Germany&quot;, &quot;segment&quot;: &quot;Midmarket&quot;, &quot;date&quot;: &quot;1&quot;, &quot;month&quot;: &quot;7&quot;, &quot;year&quot;: &quot;2014&quot;, &quot;units&quot;: &quot;492&quot;]}"/>
    <x v="3"/>
    <x v="0"/>
    <x v="1"/>
    <n v="492"/>
    <n v="0.15"/>
    <x v="10"/>
    <n v="300"/>
    <n v="147600"/>
    <n v="125460"/>
    <n v="2460"/>
    <x v="1"/>
    <x v="3"/>
    <x v="10"/>
  </r>
  <r>
    <s v="ORD-CND-GOV-20140701"/>
    <s v="{&quot;type&quot;: &quot;buyerDetails&quot;, &quot;info&quot;: [&quot;origin&quot;: &quot;Canada&quot;, &quot;segment&quot;: &quot;Government&quot;, &quot;date&quot;: &quot;1&quot;, &quot;month&quot;: &quot;7&quot;, &quot;year&quot;: &quot;2014&quot;, &quot;units&quot;: &quot;865&quot;]}"/>
    <x v="4"/>
    <x v="2"/>
    <x v="1"/>
    <n v="865"/>
    <n v="0.15008670520231213"/>
    <x v="10"/>
    <n v="300"/>
    <n v="259500"/>
    <n v="220552.5"/>
    <n v="4302.5"/>
    <x v="1"/>
    <x v="3"/>
    <x v="10"/>
  </r>
  <r>
    <s v="ORD-MXC-GOV-20140801"/>
    <s v="{&quot;type&quot;: &quot;buyerDetails&quot;, &quot;info&quot;: [&quot;origin&quot;: &quot;Mexico&quot;, &quot;segment&quot;: &quot;Government&quot;, &quot;date&quot;: &quot;1&quot;, &quot;month&quot;: &quot;8&quot;, &quot;year&quot;: &quot;2014&quot;, &quot;units&quot;: &quot;883&quot;]}"/>
    <x v="1"/>
    <x v="2"/>
    <x v="0"/>
    <n v="883"/>
    <n v="0"/>
    <x v="11"/>
    <n v="20"/>
    <n v="17660"/>
    <n v="17660"/>
    <n v="8830"/>
    <x v="1"/>
    <x v="0"/>
    <x v="11"/>
  </r>
  <r>
    <s v="ORD-MXC-SMB-20140801"/>
    <s v="{&quot;type&quot;: &quot;buyerDetails&quot;, &quot;info&quot;: [&quot;origin&quot;: &quot;Mexico&quot;, &quot;segment&quot;: &quot;Small Business&quot;, &quot;date&quot;: &quot;1&quot;, &quot;month&quot;: &quot;8&quot;, &quot;year&quot;: &quot;2014&quot;, &quot;units&quot;: &quot;958&quot;]}"/>
    <x v="1"/>
    <x v="1"/>
    <x v="3"/>
    <n v="958"/>
    <n v="0"/>
    <x v="11"/>
    <n v="15"/>
    <n v="14370"/>
    <n v="14370"/>
    <n v="9580"/>
    <x v="1"/>
    <x v="0"/>
    <x v="11"/>
  </r>
  <r>
    <s v="ORD-USA-ENT-20140801"/>
    <s v="{&quot;type&quot;: &quot;buyerDetails&quot;, &quot;info&quot;: [&quot;origin&quot;: &quot;United States of America&quot;, &quot;segment&quot;: &quot;Enterprise&quot;, &quot;date&quot;: &quot;1&quot;, &quot;month&quot;: &quot;8&quot;, &quot;year&quot;: &quot;2014&quot;, &quot;units&quot;: &quot;2821&quot;]}"/>
    <x v="2"/>
    <x v="3"/>
    <x v="5"/>
    <n v="2821"/>
    <n v="0"/>
    <x v="11"/>
    <n v="180"/>
    <n v="507780"/>
    <n v="507780"/>
    <n v="169260"/>
    <x v="1"/>
    <x v="0"/>
    <x v="11"/>
  </r>
  <r>
    <s v="ORD-USA-CPR-20140801"/>
    <s v="{&quot;type&quot;: &quot;buyerDetails&quot;, &quot;info&quot;: [&quot;origin&quot;: &quot;United States of America&quot;, &quot;segment&quot;: &quot;Channel Partners&quot;, &quot;date&quot;: &quot;1&quot;, &quot;month&quot;: &quot;8&quot;, &quot;year&quot;: &quot;2014&quot;, &quot;units&quot;: &quot;2141&quot;]}"/>
    <x v="2"/>
    <x v="4"/>
    <x v="4"/>
    <n v="2141"/>
    <n v="0"/>
    <x v="11"/>
    <n v="350"/>
    <n v="749350"/>
    <n v="749350"/>
    <n v="321150"/>
    <x v="1"/>
    <x v="0"/>
    <x v="11"/>
  </r>
  <r>
    <s v="ORD-CND-GOV-20140801"/>
    <s v="{&quot;type&quot;: &quot;buyerDetails&quot;, &quot;info&quot;: [&quot;origin&quot;: &quot;Canada&quot;, &quot;segment&quot;: &quot;Government&quot;, &quot;date&quot;: &quot;1&quot;, &quot;month&quot;: &quot;8&quot;, &quot;year&quot;: &quot;2014&quot;, &quot;units&quot;: &quot;1830&quot;]}"/>
    <x v="4"/>
    <x v="2"/>
    <x v="3"/>
    <n v="1830"/>
    <n v="0.01"/>
    <x v="11"/>
    <n v="15"/>
    <n v="27450"/>
    <n v="27175.5"/>
    <n v="18025.5"/>
    <x v="1"/>
    <x v="1"/>
    <x v="11"/>
  </r>
  <r>
    <s v="ORD-CND-ENT-20140801"/>
    <s v="{&quot;type&quot;: &quot;buyerDetails&quot;, &quot;info&quot;: [&quot;origin&quot;: &quot;Canada&quot;, &quot;segment&quot;: &quot;Enterprise&quot;, &quot;date&quot;: &quot;1&quot;, &quot;month&quot;: &quot;8&quot;, &quot;year&quot;: &quot;2014&quot;, &quot;units&quot;: &quot;923&quot;]}"/>
    <x v="4"/>
    <x v="3"/>
    <x v="5"/>
    <n v="923"/>
    <n v="0.01"/>
    <x v="11"/>
    <n v="180"/>
    <n v="166140"/>
    <n v="164478.6"/>
    <n v="53718.600000000006"/>
    <x v="1"/>
    <x v="1"/>
    <x v="11"/>
  </r>
  <r>
    <s v="ORD-MXC-GOV-20140801"/>
    <s v="{&quot;type&quot;: &quot;buyerDetails&quot;, &quot;info&quot;: [&quot;origin&quot;: &quot;Mexico&quot;, &quot;segment&quot;: &quot;Government&quot;, &quot;date&quot;: &quot;1&quot;, &quot;month&quot;: &quot;8&quot;, &quot;year&quot;: &quot;2014&quot;, &quot;units&quot;: &quot;1642&quot;]}"/>
    <x v="1"/>
    <x v="2"/>
    <x v="1"/>
    <n v="1642"/>
    <n v="0.03"/>
    <x v="11"/>
    <n v="300"/>
    <n v="492600"/>
    <n v="477822"/>
    <n v="67322"/>
    <x v="1"/>
    <x v="1"/>
    <x v="11"/>
  </r>
  <r>
    <s v="ORD-CND-SMB-20140801"/>
    <s v="{&quot;type&quot;: &quot;buyerDetails&quot;, &quot;info&quot;: [&quot;origin&quot;: &quot;Canada&quot;, &quot;segment&quot;: &quot;Small Business&quot;, &quot;date&quot;: &quot;1&quot;, &quot;month&quot;: &quot;8&quot;, &quot;year&quot;: &quot;2014&quot;, &quot;units&quot;: &quot;1874&quot;]}"/>
    <x v="4"/>
    <x v="1"/>
    <x v="1"/>
    <n v="1874"/>
    <n v="0.03"/>
    <x v="11"/>
    <n v="300"/>
    <n v="562200"/>
    <n v="545334"/>
    <n v="76834"/>
    <x v="1"/>
    <x v="1"/>
    <x v="11"/>
  </r>
  <r>
    <s v="ORD-GER-SMB-20140801"/>
    <s v="{&quot;type&quot;: &quot;buyerDetails&quot;, &quot;info&quot;: [&quot;origin&quot;: &quot;Germany&quot;, &quot;segment&quot;: &quot;Small Business&quot;, &quot;date&quot;: &quot;1&quot;, &quot;month&quot;: &quot;8&quot;, &quot;year&quot;: &quot;2014&quot;, &quot;units&quot;: &quot;1859&quot;]}"/>
    <x v="3"/>
    <x v="1"/>
    <x v="3"/>
    <n v="1859"/>
    <n v="0.04"/>
    <x v="11"/>
    <n v="15"/>
    <n v="27885"/>
    <n v="26769.599999999999"/>
    <n v="17474.599999999999"/>
    <x v="1"/>
    <x v="1"/>
    <x v="11"/>
  </r>
  <r>
    <s v="ORD-MXC-CPR-20140801"/>
    <s v="{&quot;type&quot;: &quot;buyerDetails&quot;, &quot;info&quot;: [&quot;origin&quot;: &quot;Mexico&quot;, &quot;segment&quot;: &quot;Channel Partners&quot;, &quot;date&quot;: &quot;1&quot;, &quot;month&quot;: &quot;8&quot;, &quot;year&quot;: &quot;2014&quot;, &quot;units&quot;: &quot;1123&quot;]}"/>
    <x v="1"/>
    <x v="4"/>
    <x v="4"/>
    <n v="1123"/>
    <n v="4.9999999999999996E-2"/>
    <x v="11"/>
    <n v="350"/>
    <n v="393050"/>
    <n v="373397.5"/>
    <n v="148797.5"/>
    <x v="1"/>
    <x v="2"/>
    <x v="11"/>
  </r>
  <r>
    <s v="ORD-CND-GOV-20140801"/>
    <s v="{&quot;type&quot;: &quot;buyerDetails&quot;, &quot;info&quot;: [&quot;origin&quot;: &quot;Canada&quot;, &quot;segment&quot;: &quot;Government&quot;, &quot;date&quot;: &quot;1&quot;, &quot;month&quot;: &quot;8&quot;, &quot;year&quot;: &quot;2014&quot;, &quot;units&quot;: &quot;552&quot;]}"/>
    <x v="4"/>
    <x v="2"/>
    <x v="4"/>
    <n v="552"/>
    <n v="0.05"/>
    <x v="11"/>
    <n v="350"/>
    <n v="193200"/>
    <n v="183540"/>
    <n v="73140"/>
    <x v="1"/>
    <x v="2"/>
    <x v="11"/>
  </r>
  <r>
    <s v="ORD-FRA-GOV-20140801"/>
    <s v="{&quot;type&quot;: &quot;buyerDetails&quot;, &quot;info&quot;: [&quot;origin&quot;: &quot;France&quot;, &quot;segment&quot;: &quot;Government&quot;, &quot;date&quot;: &quot;1&quot;, &quot;month&quot;: &quot;8&quot;, &quot;year&quot;: &quot;2014&quot;, &quot;units&quot;: &quot;1579&quot;]}"/>
    <x v="0"/>
    <x v="2"/>
    <x v="5"/>
    <n v="1579"/>
    <n v="0.05"/>
    <x v="11"/>
    <n v="180"/>
    <n v="284220"/>
    <n v="270009"/>
    <n v="80529"/>
    <x v="1"/>
    <x v="2"/>
    <x v="11"/>
  </r>
  <r>
    <s v="ORD-USA-GOV-20140801"/>
    <s v="{&quot;type&quot;: &quot;buyerDetails&quot;, &quot;info&quot;: [&quot;origin&quot;: &quot;United States of America&quot;, &quot;segment&quot;: &quot;Government&quot;, &quot;date&quot;: &quot;1&quot;, &quot;month&quot;: &quot;8&quot;, &quot;year&quot;: &quot;2014&quot;, &quot;units&quot;: &quot;2832&quot;]}"/>
    <x v="2"/>
    <x v="2"/>
    <x v="5"/>
    <n v="2832"/>
    <n v="0.05"/>
    <x v="11"/>
    <n v="180"/>
    <n v="509760"/>
    <n v="484272"/>
    <n v="144432"/>
    <x v="1"/>
    <x v="2"/>
    <x v="11"/>
  </r>
  <r>
    <s v="ORD-GER-MDM-20140801"/>
    <s v="{&quot;type&quot;: &quot;buyerDetails&quot;, &quot;info&quot;: [&quot;origin&quot;: &quot;Germany&quot;, &quot;segment&quot;: &quot;Midmarket&quot;, &quot;date&quot;: &quot;1&quot;, &quot;month&quot;: &quot;8&quot;, &quot;year&quot;: &quot;2014&quot;, &quot;units&quot;: &quot;1743&quot;]}"/>
    <x v="3"/>
    <x v="0"/>
    <x v="0"/>
    <n v="1743"/>
    <n v="6.0000000000000005E-2"/>
    <x v="11"/>
    <n v="20"/>
    <n v="34860"/>
    <n v="32768.400000000001"/>
    <n v="15338.400000000001"/>
    <x v="1"/>
    <x v="2"/>
    <x v="11"/>
  </r>
  <r>
    <s v="ORD-USA-MDM-20140801"/>
    <s v="{&quot;type&quot;: &quot;buyerDetails&quot;, &quot;info&quot;: [&quot;origin&quot;: &quot;United States of America&quot;, &quot;segment&quot;: &quot;Midmarket&quot;, &quot;date&quot;: &quot;1&quot;, &quot;month&quot;: &quot;8&quot;, &quot;year&quot;: &quot;2014&quot;, &quot;units&quot;: &quot;2198&quot;]}"/>
    <x v="2"/>
    <x v="0"/>
    <x v="0"/>
    <n v="2198"/>
    <n v="6.0000000000000005E-2"/>
    <x v="11"/>
    <n v="20"/>
    <n v="43960"/>
    <n v="41322.399999999994"/>
    <n v="19342.399999999994"/>
    <x v="1"/>
    <x v="2"/>
    <x v="11"/>
  </r>
  <r>
    <s v="ORD-GER-GOV-20140801"/>
    <s v="{&quot;type&quot;: &quot;buyerDetails&quot;, &quot;info&quot;: [&quot;origin&quot;: &quot;Germany&quot;, &quot;segment&quot;: &quot;Government&quot;, &quot;date&quot;: &quot;1&quot;, &quot;month&quot;: &quot;8&quot;, &quot;year&quot;: &quot;2014&quot;, &quot;units&quot;: &quot;1001&quot;]}"/>
    <x v="3"/>
    <x v="2"/>
    <x v="5"/>
    <n v="1001"/>
    <n v="6.0000000000000005E-2"/>
    <x v="11"/>
    <n v="180"/>
    <n v="180180"/>
    <n v="169369.19999999998"/>
    <n v="49249.199999999983"/>
    <x v="1"/>
    <x v="2"/>
    <x v="11"/>
  </r>
  <r>
    <s v="ORD-CND-CPR-20140801"/>
    <s v="{&quot;type&quot;: &quot;buyerDetails&quot;, &quot;info&quot;: [&quot;origin&quot;: &quot;Canada&quot;, &quot;segment&quot;: &quot;Channel Partners&quot;, &quot;date&quot;: &quot;1&quot;, &quot;month&quot;: &quot;8&quot;, &quot;year&quot;: &quot;2014&quot;, &quot;units&quot;: &quot;1884&quot;]}"/>
    <x v="4"/>
    <x v="4"/>
    <x v="2"/>
    <n v="1884"/>
    <n v="6.9999999999999993E-2"/>
    <x v="11"/>
    <n v="20"/>
    <n v="37680"/>
    <n v="35042.400000000001"/>
    <n v="29390.400000000001"/>
    <x v="1"/>
    <x v="2"/>
    <x v="11"/>
  </r>
  <r>
    <s v="ORD-FRA-MDM-20140801"/>
    <s v="{&quot;type&quot;: &quot;buyerDetails&quot;, &quot;info&quot;: [&quot;origin&quot;: &quot;France&quot;, &quot;segment&quot;: &quot;Midmarket&quot;, &quot;date&quot;: &quot;1&quot;, &quot;month&quot;: &quot;8&quot;, &quot;year&quot;: &quot;2014&quot;, &quot;units&quot;: &quot;2101&quot;]}"/>
    <x v="0"/>
    <x v="0"/>
    <x v="0"/>
    <n v="2101"/>
    <n v="7.0000000000000007E-2"/>
    <x v="11"/>
    <n v="20"/>
    <n v="42020"/>
    <n v="39078.6"/>
    <n v="18068.599999999999"/>
    <x v="1"/>
    <x v="2"/>
    <x v="11"/>
  </r>
  <r>
    <s v="ORD-MXC-GOV-20140801"/>
    <s v="{&quot;type&quot;: &quot;buyerDetails&quot;, &quot;info&quot;: [&quot;origin&quot;: &quot;Mexico&quot;, &quot;segment&quot;: &quot;Government&quot;, &quot;date&quot;: &quot;1&quot;, &quot;month&quot;: &quot;8&quot;, &quot;year&quot;: &quot;2014&quot;, &quot;units&quot;: &quot;609&quot;]}"/>
    <x v="1"/>
    <x v="2"/>
    <x v="5"/>
    <n v="609"/>
    <n v="7.0000000000000007E-2"/>
    <x v="11"/>
    <n v="180"/>
    <n v="109620"/>
    <n v="101946.59999999999"/>
    <n v="28866.599999999991"/>
    <x v="1"/>
    <x v="2"/>
    <x v="11"/>
  </r>
  <r>
    <s v="ORD-USA-GOV-20140801"/>
    <s v="{&quot;type&quot;: &quot;buyerDetails&quot;, &quot;info&quot;: [&quot;origin&quot;: &quot;United States of America&quot;, &quot;segment&quot;: &quot;Government&quot;, &quot;date&quot;: &quot;1&quot;, &quot;month&quot;: &quot;8&quot;, &quot;year&quot;: &quot;2014&quot;, &quot;units&quot;: &quot;678&quot;]}"/>
    <x v="2"/>
    <x v="2"/>
    <x v="0"/>
    <n v="678"/>
    <n v="0.08"/>
    <x v="11"/>
    <n v="20"/>
    <n v="13560"/>
    <n v="12475.2"/>
    <n v="5695.2000000000007"/>
    <x v="1"/>
    <x v="2"/>
    <x v="11"/>
  </r>
  <r>
    <s v="ORD-FRA-GOV-20140801"/>
    <s v="{&quot;type&quot;: &quot;buyerDetails&quot;, &quot;info&quot;: [&quot;origin&quot;: &quot;France&quot;, &quot;segment&quot;: &quot;Government&quot;, &quot;date&quot;: &quot;1&quot;, &quot;month&quot;: &quot;8&quot;, &quot;year&quot;: &quot;2014&quot;, &quot;units&quot;: &quot;381&quot;]}"/>
    <x v="0"/>
    <x v="2"/>
    <x v="1"/>
    <n v="381"/>
    <n v="0.08"/>
    <x v="11"/>
    <n v="300"/>
    <n v="114300"/>
    <n v="105156"/>
    <n v="9906"/>
    <x v="1"/>
    <x v="2"/>
    <x v="11"/>
  </r>
  <r>
    <s v="ORD-GER-GOV-20140801"/>
    <s v="{&quot;type&quot;: &quot;buyerDetails&quot;, &quot;info&quot;: [&quot;origin&quot;: &quot;Germany&quot;, &quot;segment&quot;: &quot;Government&quot;, &quot;date&quot;: &quot;1&quot;, &quot;month&quot;: &quot;8&quot;, &quot;year&quot;: &quot;2014&quot;, &quot;units&quot;: &quot;422&quot;]}"/>
    <x v="3"/>
    <x v="2"/>
    <x v="1"/>
    <n v="422"/>
    <n v="0.08"/>
    <x v="11"/>
    <n v="300"/>
    <n v="126600"/>
    <n v="116472"/>
    <n v="10972"/>
    <x v="1"/>
    <x v="2"/>
    <x v="11"/>
  </r>
  <r>
    <s v="ORD-GER-GOV-20140801"/>
    <s v="{&quot;type&quot;: &quot;buyerDetails&quot;, &quot;info&quot;: [&quot;origin&quot;: &quot;Germany&quot;, &quot;segment&quot;: &quot;Government&quot;, &quot;date&quot;: &quot;1&quot;, &quot;month&quot;: &quot;8&quot;, &quot;year&quot;: &quot;2014&quot;, &quot;units&quot;: &quot;1598&quot;]}"/>
    <x v="3"/>
    <x v="2"/>
    <x v="0"/>
    <n v="1598"/>
    <n v="0.08"/>
    <x v="11"/>
    <n v="20"/>
    <n v="31960"/>
    <n v="29403.200000000001"/>
    <n v="13423.2"/>
    <x v="1"/>
    <x v="2"/>
    <x v="11"/>
  </r>
  <r>
    <s v="ORD-FRA-SMB-20140801"/>
    <s v="{&quot;type&quot;: &quot;buyerDetails&quot;, &quot;info&quot;: [&quot;origin&quot;: &quot;France&quot;, &quot;segment&quot;: &quot;Small Business&quot;, &quot;date&quot;: &quot;1&quot;, &quot;month&quot;: &quot;8&quot;, &quot;year&quot;: &quot;2014&quot;, &quot;units&quot;: &quot;1562&quot;]}"/>
    <x v="0"/>
    <x v="1"/>
    <x v="3"/>
    <n v="1562"/>
    <n v="0.08"/>
    <x v="11"/>
    <n v="15"/>
    <n v="23430"/>
    <n v="21555.600000000002"/>
    <n v="13745.600000000002"/>
    <x v="1"/>
    <x v="2"/>
    <x v="11"/>
  </r>
  <r>
    <s v="ORD-MXC-ENT-20140801"/>
    <s v="{&quot;type&quot;: &quot;buyerDetails&quot;, &quot;info&quot;: [&quot;origin&quot;: &quot;Mexico&quot;, &quot;segment&quot;: &quot;Enterprise&quot;, &quot;date&quot;: &quot;1&quot;, &quot;month&quot;: &quot;8&quot;, &quot;year&quot;: &quot;2014&quot;, &quot;units&quot;: &quot;1540&quot;]}"/>
    <x v="1"/>
    <x v="3"/>
    <x v="2"/>
    <n v="1540"/>
    <n v="0.08"/>
    <x v="11"/>
    <n v="20"/>
    <n v="30800"/>
    <n v="28336"/>
    <n v="23716"/>
    <x v="1"/>
    <x v="2"/>
    <x v="11"/>
  </r>
  <r>
    <s v="ORD-USA-GOV-20140801"/>
    <s v="{&quot;type&quot;: &quot;buyerDetails&quot;, &quot;info&quot;: [&quot;origin&quot;: &quot;United States of America&quot;, &quot;segment&quot;: &quot;Government&quot;, &quot;date&quot;: &quot;1&quot;, &quot;month&quot;: &quot;8&quot;, &quot;year&quot;: &quot;2014&quot;, &quot;units&quot;: &quot;2807&quot;]}"/>
    <x v="2"/>
    <x v="2"/>
    <x v="1"/>
    <n v="2807"/>
    <n v="0.1"/>
    <x v="11"/>
    <n v="300"/>
    <n v="842100"/>
    <n v="757890"/>
    <n v="56140"/>
    <x v="1"/>
    <x v="3"/>
    <x v="11"/>
  </r>
  <r>
    <s v="ORD-GER-CPR-20140801"/>
    <s v="{&quot;type&quot;: &quot;buyerDetails&quot;, &quot;info&quot;: [&quot;origin&quot;: &quot;Germany&quot;, &quot;segment&quot;: &quot;Channel Partners&quot;, &quot;date&quot;: &quot;1&quot;, &quot;month&quot;: &quot;8&quot;, &quot;year&quot;: &quot;2014&quot;, &quot;units&quot;: &quot;2574&quot;]}"/>
    <x v="3"/>
    <x v="4"/>
    <x v="4"/>
    <n v="2574"/>
    <n v="0.1"/>
    <x v="11"/>
    <n v="350"/>
    <n v="900900"/>
    <n v="810810"/>
    <n v="296010"/>
    <x v="1"/>
    <x v="3"/>
    <x v="11"/>
  </r>
  <r>
    <s v="ORD-MXC-MDM-20140801"/>
    <s v="{&quot;type&quot;: &quot;buyerDetails&quot;, &quot;info&quot;: [&quot;origin&quot;: &quot;Mexico&quot;, &quot;segment&quot;: &quot;Midmarket&quot;, &quot;date&quot;: &quot;1&quot;, &quot;month&quot;: &quot;8&quot;, &quot;year&quot;: &quot;2014&quot;, &quot;units&quot;: &quot;1984&quot;]}"/>
    <x v="1"/>
    <x v="0"/>
    <x v="0"/>
    <n v="1984"/>
    <n v="0.11"/>
    <x v="11"/>
    <n v="20"/>
    <n v="39680"/>
    <n v="35315.199999999997"/>
    <n v="15475.199999999997"/>
    <x v="1"/>
    <x v="3"/>
    <x v="11"/>
  </r>
  <r>
    <s v="ORD-CND-GOV-20140801"/>
    <s v="{&quot;type&quot;: &quot;buyerDetails&quot;, &quot;info&quot;: [&quot;origin&quot;: &quot;Canada&quot;, &quot;segment&quot;: &quot;Government&quot;, &quot;date&quot;: &quot;1&quot;, &quot;month&quot;: &quot;8&quot;, &quot;year&quot;: &quot;2014&quot;, &quot;units&quot;: &quot;2394&quot;]}"/>
    <x v="4"/>
    <x v="2"/>
    <x v="0"/>
    <n v="2394"/>
    <n v="0.11"/>
    <x v="11"/>
    <n v="20"/>
    <n v="47880"/>
    <n v="42613.2"/>
    <n v="18673.199999999997"/>
    <x v="1"/>
    <x v="3"/>
    <x v="11"/>
  </r>
  <r>
    <s v="ORD-FRA-GOV-20140801"/>
    <s v="{&quot;type&quot;: &quot;buyerDetails&quot;, &quot;info&quot;: [&quot;origin&quot;: &quot;France&quot;, &quot;segment&quot;: &quot;Government&quot;, &quot;date&quot;: &quot;1&quot;, &quot;month&quot;: &quot;8&quot;, &quot;year&quot;: &quot;2014&quot;, &quot;units&quot;: &quot;2696&quot;]}"/>
    <x v="0"/>
    <x v="2"/>
    <x v="0"/>
    <n v="2696"/>
    <n v="0.13"/>
    <x v="11"/>
    <n v="20"/>
    <n v="53920"/>
    <n v="46910.400000000001"/>
    <n v="19950.400000000001"/>
    <x v="1"/>
    <x v="3"/>
    <x v="11"/>
  </r>
  <r>
    <s v="ORD-USA-SMB-20140801"/>
    <s v="{&quot;type&quot;: &quot;buyerDetails&quot;, &quot;info&quot;: [&quot;origin&quot;: &quot;United States of America&quot;, &quot;segment&quot;: &quot;Small Business&quot;, &quot;date&quot;: &quot;1&quot;, &quot;month&quot;: &quot;8&quot;, &quot;year&quot;: &quot;2014&quot;, &quot;units&quot;: &quot;2541&quot;]}"/>
    <x v="2"/>
    <x v="1"/>
    <x v="1"/>
    <n v="2541"/>
    <n v="0.14000000000000001"/>
    <x v="11"/>
    <n v="300"/>
    <n v="762300"/>
    <n v="655578"/>
    <n v="20328"/>
    <x v="1"/>
    <x v="3"/>
    <x v="11"/>
  </r>
  <r>
    <s v="ORD-FRA-CPR-20140801"/>
    <s v="{&quot;type&quot;: &quot;buyerDetails&quot;, &quot;info&quot;: [&quot;origin&quot;: &quot;France&quot;, &quot;segment&quot;: &quot;Channel Partners&quot;, &quot;date&quot;: &quot;1&quot;, &quot;month&quot;: &quot;8&quot;, &quot;year&quot;: &quot;2014&quot;, &quot;units&quot;: &quot;2475&quot;]}"/>
    <x v="0"/>
    <x v="4"/>
    <x v="4"/>
    <n v="2475"/>
    <n v="0.14000000000000001"/>
    <x v="11"/>
    <n v="350"/>
    <n v="866250"/>
    <n v="744975"/>
    <n v="249975"/>
    <x v="1"/>
    <x v="3"/>
    <x v="11"/>
  </r>
  <r>
    <s v="ORD-FRA-ENT-20140801"/>
    <s v="{&quot;type&quot;: &quot;buyerDetails&quot;, &quot;info&quot;: [&quot;origin&quot;: &quot;France&quot;, &quot;segment&quot;: &quot;Enterprise&quot;, &quot;date&quot;: &quot;1&quot;, &quot;month&quot;: &quot;8&quot;, &quot;year&quot;: &quot;2014&quot;, &quot;units&quot;: &quot;1174&quot;]}"/>
    <x v="0"/>
    <x v="3"/>
    <x v="2"/>
    <n v="1174"/>
    <n v="0.15"/>
    <x v="11"/>
    <n v="20"/>
    <n v="23480"/>
    <n v="19958"/>
    <n v="16436"/>
    <x v="1"/>
    <x v="3"/>
    <x v="11"/>
  </r>
  <r>
    <s v="ORD-CND-MDM-20140801"/>
    <s v="{&quot;type&quot;: &quot;buyerDetails&quot;, &quot;info&quot;: [&quot;origin&quot;: &quot;Canada&quot;, &quot;segment&quot;: &quot;Midmarket&quot;, &quot;date&quot;: &quot;1&quot;, &quot;month&quot;: &quot;8&quot;, &quot;year&quot;: &quot;2014&quot;, &quot;units&quot;: &quot;2559&quot;]}"/>
    <x v="4"/>
    <x v="0"/>
    <x v="0"/>
    <n v="2559"/>
    <n v="0.15"/>
    <x v="11"/>
    <n v="20"/>
    <n v="51180"/>
    <n v="43503"/>
    <n v="17913"/>
    <x v="1"/>
    <x v="3"/>
    <x v="11"/>
  </r>
  <r>
    <s v="ORD-GER-ENT-20140801"/>
    <s v="{&quot;type&quot;: &quot;buyerDetails&quot;, &quot;info&quot;: [&quot;origin&quot;: &quot;Germany&quot;, &quot;segment&quot;: &quot;Enterprise&quot;, &quot;date&quot;: &quot;1&quot;, &quot;month&quot;: &quot;8&quot;, &quot;year&quot;: &quot;2014&quot;, &quot;units&quot;: &quot;2767&quot;]}"/>
    <x v="3"/>
    <x v="3"/>
    <x v="2"/>
    <n v="2767"/>
    <n v="0.15"/>
    <x v="11"/>
    <n v="20"/>
    <n v="55340"/>
    <n v="47039"/>
    <n v="38738"/>
    <x v="1"/>
    <x v="3"/>
    <x v="11"/>
  </r>
  <r>
    <s v="ORD-GER-GOV-20140901"/>
    <s v="{&quot;type&quot;: &quot;buyerDetails&quot;, &quot;info&quot;: [&quot;origin&quot;: &quot;Germany&quot;, &quot;segment&quot;: &quot;Government&quot;, &quot;date&quot;: &quot;1&quot;, &quot;month&quot;: &quot;9&quot;, &quot;year&quot;: &quot;2014&quot;, &quot;units&quot;: &quot;2146&quot;]}"/>
    <x v="3"/>
    <x v="2"/>
    <x v="3"/>
    <n v="2146"/>
    <n v="0"/>
    <x v="12"/>
    <n v="15"/>
    <n v="32190"/>
    <n v="32190"/>
    <n v="21460"/>
    <x v="1"/>
    <x v="0"/>
    <x v="0"/>
  </r>
  <r>
    <s v="ORD-MXC-MDM-20140901"/>
    <s v="{&quot;type&quot;: &quot;buyerDetails&quot;, &quot;info&quot;: [&quot;origin&quot;: &quot;Mexico&quot;, &quot;segment&quot;: &quot;Midmarket&quot;, &quot;date&quot;: &quot;1&quot;, &quot;month&quot;: &quot;9&quot;, &quot;year&quot;: &quot;2014&quot;, &quot;units&quot;: &quot;2472&quot;]}"/>
    <x v="1"/>
    <x v="0"/>
    <x v="0"/>
    <n v="2472"/>
    <n v="0"/>
    <x v="12"/>
    <n v="20"/>
    <n v="49440"/>
    <n v="49440"/>
    <n v="24720"/>
    <x v="1"/>
    <x v="0"/>
    <x v="0"/>
  </r>
  <r>
    <s v="ORD-FRA-SMB-20140901"/>
    <s v="{&quot;type&quot;: &quot;buyerDetails&quot;, &quot;info&quot;: [&quot;origin&quot;: &quot;France&quot;, &quot;segment&quot;: &quot;Small Business&quot;, &quot;date&quot;: &quot;1&quot;, &quot;month&quot;: &quot;9&quot;, &quot;year&quot;: &quot;2014&quot;, &quot;units&quot;: &quot;2151&quot;]}"/>
    <x v="0"/>
    <x v="1"/>
    <x v="1"/>
    <n v="2151"/>
    <n v="0"/>
    <x v="12"/>
    <n v="300"/>
    <n v="645300"/>
    <n v="645300"/>
    <n v="107550"/>
    <x v="1"/>
    <x v="0"/>
    <x v="0"/>
  </r>
  <r>
    <s v="ORD-GER-MDM-20140901"/>
    <s v="{&quot;type&quot;: &quot;buyerDetails&quot;, &quot;info&quot;: [&quot;origin&quot;: &quot;Germany&quot;, &quot;segment&quot;: &quot;Midmarket&quot;, &quot;date&quot;: &quot;1&quot;, &quot;month&quot;: &quot;9&quot;, &quot;year&quot;: &quot;2014&quot;, &quot;units&quot;: &quot;747&quot;]}"/>
    <x v="3"/>
    <x v="0"/>
    <x v="0"/>
    <n v="747"/>
    <n v="0.01"/>
    <x v="12"/>
    <n v="20"/>
    <n v="14940"/>
    <n v="14790.6"/>
    <n v="7320.6"/>
    <x v="1"/>
    <x v="1"/>
    <x v="0"/>
  </r>
  <r>
    <s v="ORD-CND-CPR-20140901"/>
    <s v="{&quot;type&quot;: &quot;buyerDetails&quot;, &quot;info&quot;: [&quot;origin&quot;: &quot;Canada&quot;, &quot;segment&quot;: &quot;Channel Partners&quot;, &quot;date&quot;: &quot;1&quot;, &quot;month&quot;: &quot;9&quot;, &quot;year&quot;: &quot;2014&quot;, &quot;units&quot;: &quot;1445&quot;]}"/>
    <x v="4"/>
    <x v="4"/>
    <x v="2"/>
    <n v="1445"/>
    <n v="0.01"/>
    <x v="12"/>
    <n v="20"/>
    <n v="28900"/>
    <n v="28611"/>
    <n v="24276"/>
    <x v="1"/>
    <x v="1"/>
    <x v="0"/>
  </r>
  <r>
    <s v="ORD-FRA-CPR-20140901"/>
    <s v="{&quot;type&quot;: &quot;buyerDetails&quot;, &quot;info&quot;: [&quot;origin&quot;: &quot;France&quot;, &quot;segment&quot;: &quot;Channel Partners&quot;, &quot;date&quot;: &quot;1&quot;, &quot;month&quot;: &quot;9&quot;, &quot;year&quot;: &quot;2014&quot;, &quot;units&quot;: &quot;2671&quot;]}"/>
    <x v="0"/>
    <x v="4"/>
    <x v="2"/>
    <n v="2671"/>
    <n v="0.01"/>
    <x v="12"/>
    <n v="20"/>
    <n v="53420"/>
    <n v="52885.8"/>
    <n v="44872.800000000003"/>
    <x v="1"/>
    <x v="1"/>
    <x v="0"/>
  </r>
  <r>
    <s v="ORD-GER-SMB-20140901"/>
    <s v="{&quot;type&quot;: &quot;buyerDetails&quot;, &quot;info&quot;: [&quot;origin&quot;: &quot;Germany&quot;, &quot;segment&quot;: &quot;Small Business&quot;, &quot;date&quot;: &quot;1&quot;, &quot;month&quot;: &quot;9&quot;, &quot;year&quot;: &quot;2014&quot;, &quot;units&quot;: &quot;986&quot;]}"/>
    <x v="3"/>
    <x v="1"/>
    <x v="1"/>
    <n v="986"/>
    <n v="0.01"/>
    <x v="12"/>
    <n v="300"/>
    <n v="295800"/>
    <n v="292842"/>
    <n v="46342"/>
    <x v="1"/>
    <x v="1"/>
    <x v="0"/>
  </r>
  <r>
    <s v="ORD-FRA-GOV-20140901"/>
    <s v="{&quot;type&quot;: &quot;buyerDetails&quot;, &quot;info&quot;: [&quot;origin&quot;: &quot;France&quot;, &quot;segment&quot;: &quot;Government&quot;, &quot;date&quot;: &quot;1&quot;, &quot;month&quot;: &quot;9&quot;, &quot;year&quot;: &quot;2014&quot;, &quot;units&quot;: &quot;544&quot;]}"/>
    <x v="0"/>
    <x v="2"/>
    <x v="3"/>
    <n v="544"/>
    <n v="0.03"/>
    <x v="12"/>
    <n v="15"/>
    <n v="8160"/>
    <n v="7915.2"/>
    <n v="5195.2"/>
    <x v="1"/>
    <x v="1"/>
    <x v="0"/>
  </r>
  <r>
    <s v="ORD-USA-CPR-20140901"/>
    <s v="{&quot;type&quot;: &quot;buyerDetails&quot;, &quot;info&quot;: [&quot;origin&quot;: &quot;United States of America&quot;, &quot;segment&quot;: &quot;Channel Partners&quot;, &quot;date&quot;: &quot;1&quot;, &quot;month&quot;: &quot;9&quot;, &quot;year&quot;: &quot;2014&quot;, &quot;units&quot;: &quot;1947&quot;]}"/>
    <x v="2"/>
    <x v="4"/>
    <x v="2"/>
    <n v="1947"/>
    <n v="0.03"/>
    <x v="12"/>
    <n v="20"/>
    <n v="38940"/>
    <n v="37771.799999999996"/>
    <n v="31930.799999999996"/>
    <x v="1"/>
    <x v="1"/>
    <x v="0"/>
  </r>
  <r>
    <s v="ORD-CND-MDM-20140901"/>
    <s v="{&quot;type&quot;: &quot;buyerDetails&quot;, &quot;info&quot;: [&quot;origin&quot;: &quot;Canada&quot;, &quot;segment&quot;: &quot;Midmarket&quot;, &quot;date&quot;: &quot;1&quot;, &quot;month&quot;: &quot;9&quot;, &quot;year&quot;: &quot;2014&quot;, &quot;units&quot;: &quot;218&quot;]}"/>
    <x v="4"/>
    <x v="0"/>
    <x v="0"/>
    <n v="218"/>
    <n v="0.04"/>
    <x v="12"/>
    <n v="20"/>
    <n v="4360"/>
    <n v="4185.5999999999995"/>
    <n v="2005.5999999999995"/>
    <x v="1"/>
    <x v="1"/>
    <x v="0"/>
  </r>
  <r>
    <s v="ORD-USA-GOV-20140901"/>
    <s v="{&quot;type&quot;: &quot;buyerDetails&quot;, &quot;info&quot;: [&quot;origin&quot;: &quot;United States of America&quot;, &quot;segment&quot;: &quot;Government&quot;, &quot;date&quot;: &quot;1&quot;, &quot;month&quot;: &quot;9&quot;, &quot;year&quot;: &quot;2014&quot;, &quot;units&quot;: &quot;1056&quot;]}"/>
    <x v="2"/>
    <x v="2"/>
    <x v="0"/>
    <n v="1056"/>
    <n v="0.04"/>
    <x v="12"/>
    <n v="20"/>
    <n v="21120"/>
    <n v="20275.2"/>
    <n v="9715.2000000000007"/>
    <x v="1"/>
    <x v="1"/>
    <x v="0"/>
  </r>
  <r>
    <s v="ORD-CND-GOV-20140901"/>
    <s v="{&quot;type&quot;: &quot;buyerDetails&quot;, &quot;info&quot;: [&quot;origin&quot;: &quot;Canada&quot;, &quot;segment&quot;: &quot;Government&quot;, &quot;date&quot;: &quot;1&quot;, &quot;month&quot;: &quot;9&quot;, &quot;year&quot;: &quot;2014&quot;, &quot;units&quot;: &quot;2074&quot;]}"/>
    <x v="4"/>
    <x v="2"/>
    <x v="0"/>
    <n v="2074"/>
    <n v="0.04"/>
    <x v="12"/>
    <n v="20"/>
    <n v="41480"/>
    <n v="39820.799999999996"/>
    <n v="19080.799999999996"/>
    <x v="1"/>
    <x v="1"/>
    <x v="0"/>
  </r>
  <r>
    <s v="ORD-GER-GOV-20140901"/>
    <s v="{&quot;type&quot;: &quot;buyerDetails&quot;, &quot;info&quot;: [&quot;origin&quot;: &quot;Germany&quot;, &quot;segment&quot;: &quot;Government&quot;, &quot;date&quot;: &quot;1&quot;, &quot;month&quot;: &quot;9&quot;, &quot;year&quot;: &quot;2014&quot;, &quot;units&quot;: &quot;1907&quot;]}"/>
    <x v="3"/>
    <x v="2"/>
    <x v="4"/>
    <n v="1907"/>
    <n v="0.04"/>
    <x v="12"/>
    <n v="350"/>
    <n v="667450"/>
    <n v="640752"/>
    <n v="259352"/>
    <x v="1"/>
    <x v="1"/>
    <x v="0"/>
  </r>
  <r>
    <s v="ORD-FRA-MDM-20140901"/>
    <s v="{&quot;type&quot;: &quot;buyerDetails&quot;, &quot;info&quot;: [&quot;origin&quot;: &quot;France&quot;, &quot;segment&quot;: &quot;Midmarket&quot;, &quot;date&quot;: &quot;1&quot;, &quot;month&quot;: &quot;9&quot;, &quot;year&quot;: &quot;2014&quot;, &quot;units&quot;: &quot;2620&quot;]}"/>
    <x v="0"/>
    <x v="0"/>
    <x v="0"/>
    <n v="2620"/>
    <n v="0.05"/>
    <x v="12"/>
    <n v="20"/>
    <n v="52400"/>
    <n v="49780"/>
    <n v="23580"/>
    <x v="1"/>
    <x v="2"/>
    <x v="0"/>
  </r>
  <r>
    <s v="ORD-MXC-CPR-20140901"/>
    <s v="{&quot;type&quot;: &quot;buyerDetails&quot;, &quot;info&quot;: [&quot;origin&quot;: &quot;Mexico&quot;, &quot;segment&quot;: &quot;Channel Partners&quot;, &quot;date&quot;: &quot;1&quot;, &quot;month&quot;: &quot;9&quot;, &quot;year&quot;: &quot;2014&quot;, &quot;units&quot;: &quot;562&quot;]}"/>
    <x v="1"/>
    <x v="4"/>
    <x v="2"/>
    <n v="562"/>
    <n v="0.06"/>
    <x v="12"/>
    <n v="20"/>
    <n v="11240"/>
    <n v="10565.599999999999"/>
    <n v="8879.5999999999985"/>
    <x v="1"/>
    <x v="2"/>
    <x v="0"/>
  </r>
  <r>
    <s v="ORD-MXC-GOV-20140901"/>
    <s v="{&quot;type&quot;: &quot;buyerDetails&quot;, &quot;info&quot;: [&quot;origin&quot;: &quot;Mexico&quot;, &quot;segment&quot;: &quot;Government&quot;, &quot;date&quot;: &quot;1&quot;, &quot;month&quot;: &quot;9&quot;, &quot;year&quot;: &quot;2014&quot;, &quot;units&quot;: &quot;1679&quot;]}"/>
    <x v="1"/>
    <x v="2"/>
    <x v="4"/>
    <n v="1679"/>
    <n v="0.06"/>
    <x v="12"/>
    <n v="350"/>
    <n v="587650"/>
    <n v="552391"/>
    <n v="216591"/>
    <x v="1"/>
    <x v="2"/>
    <x v="0"/>
  </r>
  <r>
    <s v="ORD-FRA-GOV-20140901"/>
    <s v="{&quot;type&quot;: &quot;buyerDetails&quot;, &quot;info&quot;: [&quot;origin&quot;: &quot;France&quot;, &quot;segment&quot;: &quot;Government&quot;, &quot;date&quot;: &quot;1&quot;, &quot;month&quot;: &quot;9&quot;, &quot;year&quot;: &quot;2014&quot;, &quot;units&quot;: &quot;1535&quot;]}"/>
    <x v="0"/>
    <x v="2"/>
    <x v="0"/>
    <n v="1535"/>
    <n v="7.0000000000000007E-2"/>
    <x v="12"/>
    <n v="20"/>
    <n v="30700"/>
    <n v="28550.999999999996"/>
    <n v="13200.999999999996"/>
    <x v="1"/>
    <x v="2"/>
    <x v="0"/>
  </r>
  <r>
    <s v="ORD-GER-ENT-20140901"/>
    <s v="{&quot;type&quot;: &quot;buyerDetails&quot;, &quot;info&quot;: [&quot;origin&quot;: &quot;Germany&quot;, &quot;segment&quot;: &quot;Enterprise&quot;, &quot;date&quot;: &quot;1&quot;, &quot;month&quot;: &quot;9&quot;, &quot;year&quot;: &quot;2014&quot;, &quot;units&quot;: &quot;2087&quot;]}"/>
    <x v="3"/>
    <x v="3"/>
    <x v="5"/>
    <n v="2087"/>
    <n v="7.0000000000000007E-2"/>
    <x v="12"/>
    <n v="180"/>
    <n v="375660"/>
    <n v="349363.8"/>
    <n v="98923.799999999988"/>
    <x v="1"/>
    <x v="2"/>
    <x v="0"/>
  </r>
  <r>
    <s v="ORD-FRA-GOV-20140901"/>
    <s v="{&quot;type&quot;: &quot;buyerDetails&quot;, &quot;info&quot;: [&quot;origin&quot;: &quot;France&quot;, &quot;segment&quot;: &quot;Government&quot;, &quot;date&quot;: &quot;1&quot;, &quot;month&quot;: &quot;9&quot;, &quot;year&quot;: &quot;2014&quot;, &quot;units&quot;: &quot;2876&quot;]}"/>
    <x v="0"/>
    <x v="2"/>
    <x v="4"/>
    <n v="2876"/>
    <n v="7.0000000000000007E-2"/>
    <x v="12"/>
    <n v="350"/>
    <n v="1006600"/>
    <n v="936137.99999999988"/>
    <n v="360937.99999999988"/>
    <x v="1"/>
    <x v="2"/>
    <x v="0"/>
  </r>
  <r>
    <s v="ORD-GER-GOV-20140901"/>
    <s v="{&quot;type&quot;: &quot;buyerDetails&quot;, &quot;info&quot;: [&quot;origin&quot;: &quot;Germany&quot;, &quot;segment&quot;: &quot;Government&quot;, &quot;date&quot;: &quot;1&quot;, &quot;month&quot;: &quot;9&quot;, &quot;year&quot;: &quot;2014&quot;, &quot;units&quot;: &quot;1934&quot;]}"/>
    <x v="3"/>
    <x v="2"/>
    <x v="0"/>
    <n v="1934"/>
    <n v="0.08"/>
    <x v="12"/>
    <n v="20"/>
    <n v="38680"/>
    <n v="35585.599999999999"/>
    <n v="16245.599999999999"/>
    <x v="1"/>
    <x v="2"/>
    <x v="0"/>
  </r>
  <r>
    <s v="ORD-MXC-GOV-20140901"/>
    <s v="{&quot;type&quot;: &quot;buyerDetails&quot;, &quot;info&quot;: [&quot;origin&quot;: &quot;Mexico&quot;, &quot;segment&quot;: &quot;Government&quot;, &quot;date&quot;: &quot;1&quot;, &quot;month&quot;: &quot;9&quot;, &quot;year&quot;: &quot;2014&quot;, &quot;units&quot;: &quot;2993&quot;]}"/>
    <x v="1"/>
    <x v="2"/>
    <x v="0"/>
    <n v="2993"/>
    <n v="0.08"/>
    <x v="12"/>
    <n v="20"/>
    <n v="59860"/>
    <n v="55071.200000000004"/>
    <n v="25141.200000000004"/>
    <x v="1"/>
    <x v="2"/>
    <x v="0"/>
  </r>
  <r>
    <s v="ORD-CND-SMB-20140901"/>
    <s v="{&quot;type&quot;: &quot;buyerDetails&quot;, &quot;info&quot;: [&quot;origin&quot;: &quot;Canada&quot;, &quot;segment&quot;: &quot;Small Business&quot;, &quot;date&quot;: &quot;1&quot;, &quot;month&quot;: &quot;9&quot;, &quot;year&quot;: &quot;2014&quot;, &quot;units&quot;: &quot;2134&quot;]}"/>
    <x v="4"/>
    <x v="1"/>
    <x v="1"/>
    <n v="2134"/>
    <n v="0.08"/>
    <x v="12"/>
    <n v="300"/>
    <n v="640200"/>
    <n v="588984"/>
    <n v="55484"/>
    <x v="1"/>
    <x v="2"/>
    <x v="0"/>
  </r>
  <r>
    <s v="ORD-CND-ENT-20140901"/>
    <s v="{&quot;type&quot;: &quot;buyerDetails&quot;, &quot;info&quot;: [&quot;origin&quot;: &quot;Canada&quot;, &quot;segment&quot;: &quot;Enterprise&quot;, &quot;date&quot;: &quot;1&quot;, &quot;month&quot;: &quot;9&quot;, &quot;year&quot;: &quot;2014&quot;, &quot;units&quot;: &quot;567&quot;]}"/>
    <x v="4"/>
    <x v="3"/>
    <x v="5"/>
    <n v="567"/>
    <n v="0.09"/>
    <x v="12"/>
    <n v="180"/>
    <n v="102060"/>
    <n v="92874.6"/>
    <n v="24834.600000000006"/>
    <x v="1"/>
    <x v="2"/>
    <x v="0"/>
  </r>
  <r>
    <s v="ORD-USA-SMB-20140901"/>
    <s v="{&quot;type&quot;: &quot;buyerDetails&quot;, &quot;info&quot;: [&quot;origin&quot;: &quot;United States of America&quot;, &quot;segment&quot;: &quot;Small Business&quot;, &quot;date&quot;: &quot;1&quot;, &quot;month&quot;: &quot;9&quot;, &quot;year&quot;: &quot;2014&quot;, &quot;units&quot;: &quot;1867&quot;]}"/>
    <x v="2"/>
    <x v="1"/>
    <x v="1"/>
    <n v="1867"/>
    <n v="0.09"/>
    <x v="12"/>
    <n v="300"/>
    <n v="560100"/>
    <n v="509691"/>
    <n v="42941"/>
    <x v="1"/>
    <x v="2"/>
    <x v="0"/>
  </r>
  <r>
    <s v="ORD-MXC-ENT-20140901"/>
    <s v="{&quot;type&quot;: &quot;buyerDetails&quot;, &quot;info&quot;: [&quot;origin&quot;: &quot;Mexico&quot;, &quot;segment&quot;: &quot;Enterprise&quot;, &quot;date&quot;: &quot;1&quot;, &quot;month&quot;: &quot;9&quot;, &quot;year&quot;: &quot;2014&quot;, &quot;units&quot;: &quot;2110&quot;]}"/>
    <x v="1"/>
    <x v="3"/>
    <x v="5"/>
    <n v="2110"/>
    <n v="0.09"/>
    <x v="12"/>
    <n v="180"/>
    <n v="379800"/>
    <n v="345618"/>
    <n v="92418"/>
    <x v="1"/>
    <x v="2"/>
    <x v="0"/>
  </r>
  <r>
    <s v="ORD-USA-GOV-20140901"/>
    <s v="{&quot;type&quot;: &quot;buyerDetails&quot;, &quot;info&quot;: [&quot;origin&quot;: &quot;United States of America&quot;, &quot;segment&quot;: &quot;Government&quot;, &quot;date&quot;: &quot;1&quot;, &quot;month&quot;: &quot;9&quot;, &quot;year&quot;: &quot;2014&quot;, &quot;units&quot;: &quot;2071&quot;]}"/>
    <x v="2"/>
    <x v="2"/>
    <x v="4"/>
    <n v="2071"/>
    <n v="0.09"/>
    <x v="12"/>
    <n v="350"/>
    <n v="724850"/>
    <n v="659613.5"/>
    <n v="245413.5"/>
    <x v="1"/>
    <x v="2"/>
    <x v="0"/>
  </r>
  <r>
    <s v="ORD-GER-CPR-20140901"/>
    <s v="{&quot;type&quot;: &quot;buyerDetails&quot;, &quot;info&quot;: [&quot;origin&quot;: &quot;Germany&quot;, &quot;segment&quot;: &quot;Channel Partners&quot;, &quot;date&quot;: &quot;1&quot;, &quot;month&quot;: &quot;9&quot;, &quot;year&quot;: &quot;2014&quot;, &quot;units&quot;: &quot;1580&quot;]}"/>
    <x v="3"/>
    <x v="4"/>
    <x v="2"/>
    <n v="1580"/>
    <n v="9.0000000000000011E-2"/>
    <x v="12"/>
    <n v="20"/>
    <n v="31600"/>
    <n v="28756"/>
    <n v="24016"/>
    <x v="1"/>
    <x v="2"/>
    <x v="0"/>
  </r>
  <r>
    <s v="ORD-USA-GOV-20140901"/>
    <s v="{&quot;type&quot;: &quot;buyerDetails&quot;, &quot;info&quot;: [&quot;origin&quot;: &quot;United States of America&quot;, &quot;segment&quot;: &quot;Government&quot;, &quot;date&quot;: &quot;1&quot;, &quot;month&quot;: &quot;9&quot;, &quot;year&quot;: &quot;2014&quot;, &quot;units&quot;: &quot;2328&quot;]}"/>
    <x v="2"/>
    <x v="2"/>
    <x v="3"/>
    <n v="2328"/>
    <n v="9.9999999999999992E-2"/>
    <x v="12"/>
    <n v="15"/>
    <n v="34920"/>
    <n v="31428"/>
    <n v="19788"/>
    <x v="1"/>
    <x v="3"/>
    <x v="0"/>
  </r>
  <r>
    <s v="ORD-MXC-SMB-20140901"/>
    <s v="{&quot;type&quot;: &quot;buyerDetails&quot;, &quot;info&quot;: [&quot;origin&quot;: &quot;Mexico&quot;, &quot;segment&quot;: &quot;Small Business&quot;, &quot;date&quot;: &quot;1&quot;, &quot;month&quot;: &quot;9&quot;, &quot;year&quot;: &quot;2014&quot;, &quot;units&quot;: &quot;432&quot;]}"/>
    <x v="1"/>
    <x v="1"/>
    <x v="1"/>
    <n v="432"/>
    <n v="0.1"/>
    <x v="12"/>
    <n v="300"/>
    <n v="129600"/>
    <n v="116640"/>
    <n v="8640"/>
    <x v="1"/>
    <x v="3"/>
    <x v="0"/>
  </r>
  <r>
    <s v="ORD-USA-ENT-20140901"/>
    <s v="{&quot;type&quot;: &quot;buyerDetails&quot;, &quot;info&quot;: [&quot;origin&quot;: &quot;United States of America&quot;, &quot;segment&quot;: &quot;Enterprise&quot;, &quot;date&quot;: &quot;1&quot;, &quot;month&quot;: &quot;9&quot;, &quot;year&quot;: &quot;2014&quot;, &quot;units&quot;: &quot;1596&quot;]}"/>
    <x v="2"/>
    <x v="3"/>
    <x v="5"/>
    <n v="1596"/>
    <n v="0.1"/>
    <x v="12"/>
    <n v="180"/>
    <n v="287280"/>
    <n v="258552"/>
    <n v="67032"/>
    <x v="1"/>
    <x v="3"/>
    <x v="0"/>
  </r>
  <r>
    <s v="ORD-CND-GOV-20140901"/>
    <s v="{&quot;type&quot;: &quot;buyerDetails&quot;, &quot;info&quot;: [&quot;origin&quot;: &quot;Canada&quot;, &quot;segment&quot;: &quot;Government&quot;, &quot;date&quot;: &quot;1&quot;, &quot;month&quot;: &quot;9&quot;, &quot;year&quot;: &quot;2014&quot;, &quot;units&quot;: &quot;707&quot;]}"/>
    <x v="4"/>
    <x v="2"/>
    <x v="4"/>
    <n v="707"/>
    <n v="0.1"/>
    <x v="12"/>
    <n v="350"/>
    <n v="247450"/>
    <n v="222705"/>
    <n v="81305"/>
    <x v="1"/>
    <x v="3"/>
    <x v="0"/>
  </r>
  <r>
    <s v="ORD-MXC-GOV-20140901"/>
    <s v="{&quot;type&quot;: &quot;buyerDetails&quot;, &quot;info&quot;: [&quot;origin&quot;: &quot;Mexico&quot;, &quot;segment&quot;: &quot;Government&quot;, &quot;date&quot;: &quot;1&quot;, &quot;month&quot;: &quot;9&quot;, &quot;year&quot;: &quot;2014&quot;, &quot;units&quot;: &quot;2420&quot;]}"/>
    <x v="1"/>
    <x v="2"/>
    <x v="3"/>
    <n v="2420"/>
    <n v="0.12"/>
    <x v="12"/>
    <n v="15"/>
    <n v="36300"/>
    <n v="31944"/>
    <n v="19844"/>
    <x v="1"/>
    <x v="3"/>
    <x v="0"/>
  </r>
  <r>
    <s v="ORD-USA-MDM-20140901"/>
    <s v="{&quot;type&quot;: &quot;buyerDetails&quot;, &quot;info&quot;: [&quot;origin&quot;: &quot;United States of America&quot;, &quot;segment&quot;: &quot;Midmarket&quot;, &quot;date&quot;: &quot;1&quot;, &quot;month&quot;: &quot;9&quot;, &quot;year&quot;: &quot;2014&quot;, &quot;units&quot;: &quot;1767&quot;]}"/>
    <x v="2"/>
    <x v="0"/>
    <x v="0"/>
    <n v="1767"/>
    <n v="0.13999999999999999"/>
    <x v="12"/>
    <n v="20"/>
    <n v="35340"/>
    <n v="30392.399999999998"/>
    <n v="12722.399999999998"/>
    <x v="1"/>
    <x v="3"/>
    <x v="0"/>
  </r>
  <r>
    <s v="ORD-CND-GOV-20140901"/>
    <s v="{&quot;type&quot;: &quot;buyerDetails&quot;, &quot;info&quot;: [&quot;origin&quot;: &quot;Canada&quot;, &quot;segment&quot;: &quot;Government&quot;, &quot;date&quot;: &quot;1&quot;, &quot;month&quot;: &quot;9&quot;, &quot;year&quot;: &quot;2014&quot;, &quot;units&quot;: &quot;388&quot;]}"/>
    <x v="4"/>
    <x v="2"/>
    <x v="3"/>
    <n v="388"/>
    <n v="0.14000000000000001"/>
    <x v="12"/>
    <n v="15"/>
    <n v="5820"/>
    <n v="5005.2"/>
    <n v="3065.2"/>
    <x v="1"/>
    <x v="3"/>
    <x v="0"/>
  </r>
  <r>
    <s v="ORD-FRA-ENT-20140901"/>
    <s v="{&quot;type&quot;: &quot;buyerDetails&quot;, &quot;info&quot;: [&quot;origin&quot;: &quot;France&quot;, &quot;segment&quot;: &quot;Enterprise&quot;, &quot;date&quot;: &quot;1&quot;, &quot;month&quot;: &quot;9&quot;, &quot;year&quot;: &quot;2014&quot;, &quot;units&quot;: &quot;663&quot;]}"/>
    <x v="0"/>
    <x v="3"/>
    <x v="5"/>
    <n v="663"/>
    <n v="0.15"/>
    <x v="12"/>
    <n v="180"/>
    <n v="119340"/>
    <n v="101439"/>
    <n v="21879"/>
    <x v="1"/>
    <x v="3"/>
    <x v="0"/>
  </r>
  <r>
    <s v="ORD-USA-GOV-20141001"/>
    <s v="{&quot;type&quot;: &quot;buyerDetails&quot;, &quot;info&quot;: [&quot;origin&quot;: &quot;United States of America&quot;, &quot;segment&quot;: &quot;Government&quot;, &quot;date&quot;: &quot;1&quot;, &quot;month&quot;: &quot;10&quot;, &quot;year&quot;: &quot;2014&quot;, &quot;units&quot;: &quot;1143&quot;]}"/>
    <x v="2"/>
    <x v="2"/>
    <x v="0"/>
    <n v="1143"/>
    <n v="0"/>
    <x v="13"/>
    <n v="20"/>
    <n v="22860"/>
    <n v="22860"/>
    <n v="11430"/>
    <x v="1"/>
    <x v="0"/>
    <x v="1"/>
  </r>
  <r>
    <s v="ORD-USA-GOV-20141001"/>
    <s v="{&quot;type&quot;: &quot;buyerDetails&quot;, &quot;info&quot;: [&quot;origin&quot;: &quot;United States of America&quot;, &quot;segment&quot;: &quot;Government&quot;, &quot;date&quot;: &quot;1&quot;, &quot;month&quot;: &quot;10&quot;, &quot;year&quot;: &quot;2014&quot;, &quot;units&quot;: &quot;1143&quot;]}"/>
    <x v="2"/>
    <x v="2"/>
    <x v="4"/>
    <n v="1143"/>
    <n v="0"/>
    <x v="13"/>
    <n v="350"/>
    <n v="400050"/>
    <n v="400050"/>
    <n v="171450"/>
    <x v="1"/>
    <x v="0"/>
    <x v="1"/>
  </r>
  <r>
    <s v="ORD-MXC-GOV-20141001"/>
    <s v="{&quot;type&quot;: &quot;buyerDetails&quot;, &quot;info&quot;: [&quot;origin&quot;: &quot;Mexico&quot;, &quot;segment&quot;: &quot;Government&quot;, &quot;date&quot;: &quot;1&quot;, &quot;month&quot;: &quot;10&quot;, &quot;year&quot;: &quot;2014&quot;, &quot;units&quot;: &quot;1397&quot;]}"/>
    <x v="1"/>
    <x v="2"/>
    <x v="2"/>
    <n v="1397"/>
    <n v="0.01"/>
    <x v="13"/>
    <n v="20"/>
    <n v="27940"/>
    <n v="27660.6"/>
    <n v="23469.599999999999"/>
    <x v="1"/>
    <x v="1"/>
    <x v="1"/>
  </r>
  <r>
    <s v="ORD-MXC-GOV-20141001"/>
    <s v="{&quot;type&quot;: &quot;buyerDetails&quot;, &quot;info&quot;: [&quot;origin&quot;: &quot;Mexico&quot;, &quot;segment&quot;: &quot;Government&quot;, &quot;date&quot;: &quot;1&quot;, &quot;month&quot;: &quot;10&quot;, &quot;year&quot;: &quot;2014&quot;, &quot;units&quot;: &quot;1397&quot;]}"/>
    <x v="1"/>
    <x v="2"/>
    <x v="1"/>
    <n v="1397"/>
    <n v="0.01"/>
    <x v="13"/>
    <n v="300"/>
    <n v="419100"/>
    <n v="414909"/>
    <n v="65659"/>
    <x v="1"/>
    <x v="1"/>
    <x v="1"/>
  </r>
  <r>
    <s v="ORD-CND-CPR-20141001"/>
    <s v="{&quot;type&quot;: &quot;buyerDetails&quot;, &quot;info&quot;: [&quot;origin&quot;: &quot;Canada&quot;, &quot;segment&quot;: &quot;Channel Partners&quot;, &quot;date&quot;: &quot;1&quot;, &quot;month&quot;: &quot;10&quot;, &quot;year&quot;: &quot;2014&quot;, &quot;units&quot;: &quot;1295&quot;]}"/>
    <x v="4"/>
    <x v="4"/>
    <x v="0"/>
    <n v="1295"/>
    <n v="0.02"/>
    <x v="13"/>
    <n v="20"/>
    <n v="25900"/>
    <n v="25382"/>
    <n v="12432"/>
    <x v="1"/>
    <x v="1"/>
    <x v="1"/>
  </r>
  <r>
    <s v="ORD-USA-GOV-20141001"/>
    <s v="{&quot;type&quot;: &quot;buyerDetails&quot;, &quot;info&quot;: [&quot;origin&quot;: &quot;United States of America&quot;, &quot;segment&quot;: &quot;Government&quot;, &quot;date&quot;: &quot;1&quot;, &quot;month&quot;: &quot;10&quot;, &quot;year&quot;: &quot;2014&quot;, &quot;units&quot;: &quot;1566&quot;]}"/>
    <x v="2"/>
    <x v="2"/>
    <x v="3"/>
    <n v="1566"/>
    <n v="0.02"/>
    <x v="13"/>
    <n v="15"/>
    <n v="23490"/>
    <n v="23020.2"/>
    <n v="15190.2"/>
    <x v="1"/>
    <x v="1"/>
    <x v="1"/>
  </r>
  <r>
    <s v="ORD-CND-CPR-20141001"/>
    <s v="{&quot;type&quot;: &quot;buyerDetails&quot;, &quot;info&quot;: [&quot;origin&quot;: &quot;Canada&quot;, &quot;segment&quot;: &quot;Channel Partners&quot;, &quot;date&quot;: &quot;1&quot;, &quot;month&quot;: &quot;10&quot;, &quot;year&quot;: &quot;2014&quot;, &quot;units&quot;: &quot;1295&quot;]}"/>
    <x v="4"/>
    <x v="4"/>
    <x v="2"/>
    <n v="1295"/>
    <n v="0.02"/>
    <x v="13"/>
    <n v="20"/>
    <n v="25900"/>
    <n v="25382"/>
    <n v="21497"/>
    <x v="1"/>
    <x v="1"/>
    <x v="1"/>
  </r>
  <r>
    <s v="ORD-USA-GOV-20141001"/>
    <s v="{&quot;type&quot;: &quot;buyerDetails&quot;, &quot;info&quot;: [&quot;origin&quot;: &quot;United States of America&quot;, &quot;segment&quot;: &quot;Government&quot;, &quot;date&quot;: &quot;1&quot;, &quot;month&quot;: &quot;10&quot;, &quot;year&quot;: &quot;2014&quot;, &quot;units&quot;: &quot;1566&quot;]}"/>
    <x v="2"/>
    <x v="2"/>
    <x v="5"/>
    <n v="1566"/>
    <n v="0.02"/>
    <x v="13"/>
    <n v="180"/>
    <n v="281880"/>
    <n v="276242.40000000002"/>
    <n v="88322.400000000023"/>
    <x v="1"/>
    <x v="1"/>
    <x v="1"/>
  </r>
  <r>
    <s v="ORD-GER-GOV-20141001"/>
    <s v="{&quot;type&quot;: &quot;buyerDetails&quot;, &quot;info&quot;: [&quot;origin&quot;: &quot;Germany&quot;, &quot;segment&quot;: &quot;Government&quot;, &quot;date&quot;: &quot;1&quot;, &quot;month&quot;: &quot;10&quot;, &quot;year&quot;: &quot;2014&quot;, &quot;units&quot;: &quot;2877&quot;]}"/>
    <x v="3"/>
    <x v="2"/>
    <x v="1"/>
    <n v="2877"/>
    <n v="0.02"/>
    <x v="13"/>
    <n v="300"/>
    <n v="863100"/>
    <n v="845838"/>
    <n v="126588"/>
    <x v="1"/>
    <x v="1"/>
    <x v="1"/>
  </r>
  <r>
    <s v="ORD-GER-GOV-20141001"/>
    <s v="{&quot;type&quot;: &quot;buyerDetails&quot;, &quot;info&quot;: [&quot;origin&quot;: &quot;Germany&quot;, &quot;segment&quot;: &quot;Government&quot;, &quot;date&quot;: &quot;1&quot;, &quot;month&quot;: &quot;10&quot;, &quot;year&quot;: &quot;2014&quot;, &quot;units&quot;: &quot;2877&quot;]}"/>
    <x v="3"/>
    <x v="2"/>
    <x v="5"/>
    <n v="2877"/>
    <n v="0.02"/>
    <x v="13"/>
    <n v="180"/>
    <n v="517860"/>
    <n v="507502.8"/>
    <n v="162262.79999999999"/>
    <x v="1"/>
    <x v="1"/>
    <x v="1"/>
  </r>
  <r>
    <s v="ORD-CND-ENT-20141001"/>
    <s v="{&quot;type&quot;: &quot;buyerDetails&quot;, &quot;info&quot;: [&quot;origin&quot;: &quot;Canada&quot;, &quot;segment&quot;: &quot;Enterprise&quot;, &quot;date&quot;: &quot;1&quot;, &quot;month&quot;: &quot;10&quot;, &quot;year&quot;: &quot;2014&quot;, &quot;units&quot;: &quot;2009&quot;]}"/>
    <x v="4"/>
    <x v="3"/>
    <x v="0"/>
    <n v="2009"/>
    <n v="0.03"/>
    <x v="13"/>
    <n v="20"/>
    <n v="40180"/>
    <n v="38974.6"/>
    <n v="18884.599999999999"/>
    <x v="1"/>
    <x v="1"/>
    <x v="1"/>
  </r>
  <r>
    <s v="ORD-CND-ENT-20141001"/>
    <s v="{&quot;type&quot;: &quot;buyerDetails&quot;, &quot;info&quot;: [&quot;origin&quot;: &quot;Canada&quot;, &quot;segment&quot;: &quot;Enterprise&quot;, &quot;date&quot;: &quot;1&quot;, &quot;month&quot;: &quot;10&quot;, &quot;year&quot;: &quot;2014&quot;, &quot;units&quot;: &quot;2009&quot;]}"/>
    <x v="4"/>
    <x v="3"/>
    <x v="5"/>
    <n v="2009"/>
    <n v="0.03"/>
    <x v="13"/>
    <n v="180"/>
    <n v="361620"/>
    <n v="350771.39999999997"/>
    <n v="109691.39999999997"/>
    <x v="1"/>
    <x v="1"/>
    <x v="1"/>
  </r>
  <r>
    <s v="ORD-MXC-MDM-20141001"/>
    <s v="{&quot;type&quot;: &quot;buyerDetails&quot;, &quot;info&quot;: [&quot;origin&quot;: &quot;Mexico&quot;, &quot;segment&quot;: &quot;Midmarket&quot;, &quot;date&quot;: &quot;1&quot;, &quot;month&quot;: &quot;10&quot;, &quot;year&quot;: &quot;2014&quot;, &quot;units&quot;: &quot;2031&quot;]}"/>
    <x v="1"/>
    <x v="0"/>
    <x v="0"/>
    <n v="2031"/>
    <n v="3.9999999999999994E-2"/>
    <x v="13"/>
    <n v="20"/>
    <n v="40620"/>
    <n v="38995.199999999997"/>
    <n v="18685.199999999997"/>
    <x v="1"/>
    <x v="1"/>
    <x v="1"/>
  </r>
  <r>
    <s v="ORD-MXC-MDM-20141001"/>
    <s v="{&quot;type&quot;: &quot;buyerDetails&quot;, &quot;info&quot;: [&quot;origin&quot;: &quot;Mexico&quot;, &quot;segment&quot;: &quot;Midmarket&quot;, &quot;date&quot;: &quot;1&quot;, &quot;month&quot;: &quot;10&quot;, &quot;year&quot;: &quot;2014&quot;, &quot;units&quot;: &quot;2031&quot;]}"/>
    <x v="1"/>
    <x v="0"/>
    <x v="3"/>
    <n v="2031"/>
    <n v="3.9999999999999994E-2"/>
    <x v="13"/>
    <n v="15"/>
    <n v="30465"/>
    <n v="29246.399999999998"/>
    <n v="19091.399999999998"/>
    <x v="1"/>
    <x v="1"/>
    <x v="1"/>
  </r>
  <r>
    <s v="ORD-GER-SMB-20141001"/>
    <s v="{&quot;type&quot;: &quot;buyerDetails&quot;, &quot;info&quot;: [&quot;origin&quot;: &quot;Germany&quot;, &quot;segment&quot;: &quot;Small Business&quot;, &quot;date&quot;: &quot;1&quot;, &quot;month&quot;: &quot;10&quot;, &quot;year&quot;: &quot;2014&quot;, &quot;units&quot;: &quot;2021&quot;]}"/>
    <x v="3"/>
    <x v="1"/>
    <x v="3"/>
    <n v="2021"/>
    <n v="0.04"/>
    <x v="13"/>
    <n v="15"/>
    <n v="30315"/>
    <n v="29102.399999999998"/>
    <n v="18997.399999999998"/>
    <x v="1"/>
    <x v="1"/>
    <x v="1"/>
  </r>
  <r>
    <s v="ORD-GER-SMB-20141001"/>
    <s v="{&quot;type&quot;: &quot;buyerDetails&quot;, &quot;info&quot;: [&quot;origin&quot;: &quot;Germany&quot;, &quot;segment&quot;: &quot;Small Business&quot;, &quot;date&quot;: &quot;1&quot;, &quot;month&quot;: &quot;10&quot;, &quot;year&quot;: &quot;2014&quot;, &quot;units&quot;: &quot;2021&quot;]}"/>
    <x v="3"/>
    <x v="1"/>
    <x v="2"/>
    <n v="2021"/>
    <n v="0.04"/>
    <x v="13"/>
    <n v="20"/>
    <n v="40420"/>
    <n v="38803.199999999997"/>
    <n v="32740.199999999997"/>
    <x v="1"/>
    <x v="1"/>
    <x v="1"/>
  </r>
  <r>
    <s v="ORD-FRA-GOV-20141001"/>
    <s v="{&quot;type&quot;: &quot;buyerDetails&quot;, &quot;info&quot;: [&quot;origin&quot;: &quot;France&quot;, &quot;segment&quot;: &quot;Government&quot;, &quot;date&quot;: &quot;1&quot;, &quot;month&quot;: &quot;10&quot;, &quot;year&quot;: &quot;2014&quot;, &quot;units&quot;: &quot;2177&quot;]}"/>
    <x v="0"/>
    <x v="2"/>
    <x v="1"/>
    <n v="2177"/>
    <n v="0.04"/>
    <x v="13"/>
    <n v="300"/>
    <n v="653100"/>
    <n v="626976"/>
    <n v="82726"/>
    <x v="1"/>
    <x v="1"/>
    <x v="1"/>
  </r>
  <r>
    <s v="ORD-FRA-GOV-20141001"/>
    <s v="{&quot;type&quot;: &quot;buyerDetails&quot;, &quot;info&quot;: [&quot;origin&quot;: &quot;France&quot;, &quot;segment&quot;: &quot;Government&quot;, &quot;date&quot;: &quot;1&quot;, &quot;month&quot;: &quot;10&quot;, &quot;year&quot;: &quot;2014&quot;, &quot;units&quot;: &quot;2177&quot;]}"/>
    <x v="0"/>
    <x v="2"/>
    <x v="5"/>
    <n v="2177"/>
    <n v="0.04"/>
    <x v="13"/>
    <n v="180"/>
    <n v="391860"/>
    <n v="376185.59999999998"/>
    <n v="114945.59999999998"/>
    <x v="1"/>
    <x v="1"/>
    <x v="1"/>
  </r>
  <r>
    <s v="ORD-MXC-GOV-20141001"/>
    <s v="{&quot;type&quot;: &quot;buyerDetails&quot;, &quot;info&quot;: [&quot;origin&quot;: &quot;Mexico&quot;, &quot;segment&quot;: &quot;Government&quot;, &quot;date&quot;: &quot;1&quot;, &quot;month&quot;: &quot;10&quot;, &quot;year&quot;: &quot;2014&quot;, &quot;units&quot;: &quot;2689&quot;]}"/>
    <x v="1"/>
    <x v="2"/>
    <x v="0"/>
    <n v="2689"/>
    <n v="4.9999999999999996E-2"/>
    <x v="13"/>
    <n v="20"/>
    <n v="53780"/>
    <n v="51091"/>
    <n v="24201"/>
    <x v="1"/>
    <x v="2"/>
    <x v="1"/>
  </r>
  <r>
    <s v="ORD-MXC-GOV-20141001"/>
    <s v="{&quot;type&quot;: &quot;buyerDetails&quot;, &quot;info&quot;: [&quot;origin&quot;: &quot;Mexico&quot;, &quot;segment&quot;: &quot;Government&quot;, &quot;date&quot;: &quot;1&quot;, &quot;month&quot;: &quot;10&quot;, &quot;year&quot;: &quot;2014&quot;, &quot;units&quot;: &quot;2689&quot;]}"/>
    <x v="1"/>
    <x v="2"/>
    <x v="1"/>
    <n v="2689"/>
    <n v="4.9999999999999996E-2"/>
    <x v="13"/>
    <n v="300"/>
    <n v="806700"/>
    <n v="766365"/>
    <n v="94115"/>
    <x v="1"/>
    <x v="2"/>
    <x v="1"/>
  </r>
  <r>
    <s v="ORD-USA-ENT-20141001"/>
    <s v="{&quot;type&quot;: &quot;buyerDetails&quot;, &quot;info&quot;: [&quot;origin&quot;: &quot;United States of America&quot;, &quot;segment&quot;: &quot;Enterprise&quot;, &quot;date&quot;: &quot;1&quot;, &quot;month&quot;: &quot;10&quot;, &quot;year&quot;: &quot;2014&quot;, &quot;units&quot;: &quot;861&quot;]}"/>
    <x v="2"/>
    <x v="3"/>
    <x v="0"/>
    <n v="861"/>
    <n v="0.05"/>
    <x v="13"/>
    <n v="20"/>
    <n v="17220"/>
    <n v="16359"/>
    <n v="7749"/>
    <x v="1"/>
    <x v="2"/>
    <x v="1"/>
  </r>
  <r>
    <s v="ORD-USA-ENT-20141001"/>
    <s v="{&quot;type&quot;: &quot;buyerDetails&quot;, &quot;info&quot;: [&quot;origin&quot;: &quot;United States of America&quot;, &quot;segment&quot;: &quot;Enterprise&quot;, &quot;date&quot;: &quot;1&quot;, &quot;month&quot;: &quot;10&quot;, &quot;year&quot;: &quot;2014&quot;, &quot;units&quot;: &quot;861&quot;]}"/>
    <x v="2"/>
    <x v="3"/>
    <x v="5"/>
    <n v="861"/>
    <n v="0.05"/>
    <x v="13"/>
    <n v="180"/>
    <n v="154980"/>
    <n v="147231"/>
    <n v="43911"/>
    <x v="1"/>
    <x v="2"/>
    <x v="1"/>
  </r>
  <r>
    <s v="ORD-USA-MDM-20141001"/>
    <s v="{&quot;type&quot;: &quot;buyerDetails&quot;, &quot;info&quot;: [&quot;origin&quot;: &quot;United States of America&quot;, &quot;segment&quot;: &quot;Midmarket&quot;, &quot;date&quot;: &quot;1&quot;, &quot;month&quot;: &quot;10&quot;, &quot;year&quot;: &quot;2014&quot;, &quot;units&quot;: &quot;1153&quot;]}"/>
    <x v="2"/>
    <x v="0"/>
    <x v="0"/>
    <n v="1153"/>
    <n v="6.0000000000000005E-2"/>
    <x v="13"/>
    <n v="20"/>
    <n v="23060"/>
    <n v="21676.399999999998"/>
    <n v="10146.399999999998"/>
    <x v="1"/>
    <x v="2"/>
    <x v="1"/>
  </r>
  <r>
    <s v="ORD-USA-MDM-20141001"/>
    <s v="{&quot;type&quot;: &quot;buyerDetails&quot;, &quot;info&quot;: [&quot;origin&quot;: &quot;United States of America&quot;, &quot;segment&quot;: &quot;Midmarket&quot;, &quot;date&quot;: &quot;1&quot;, &quot;month&quot;: &quot;10&quot;, &quot;year&quot;: &quot;2014&quot;, &quot;units&quot;: &quot;1153&quot;]}"/>
    <x v="2"/>
    <x v="0"/>
    <x v="1"/>
    <n v="1153"/>
    <n v="6.0000000000000005E-2"/>
    <x v="13"/>
    <n v="300"/>
    <n v="345900"/>
    <n v="325146"/>
    <n v="36896"/>
    <x v="1"/>
    <x v="2"/>
    <x v="1"/>
  </r>
  <r>
    <s v="ORD-FRA-GOV-20141001"/>
    <s v="{&quot;type&quot;: &quot;buyerDetails&quot;, &quot;info&quot;: [&quot;origin&quot;: &quot;France&quot;, &quot;segment&quot;: &quot;Government&quot;, &quot;date&quot;: &quot;1&quot;, &quot;month&quot;: &quot;10&quot;, &quot;year&quot;: &quot;2014&quot;, &quot;units&quot;: &quot;1976&quot;]}"/>
    <x v="0"/>
    <x v="2"/>
    <x v="3"/>
    <n v="1976"/>
    <n v="7.0000000000000007E-2"/>
    <x v="13"/>
    <n v="15"/>
    <n v="29640"/>
    <n v="27565.199999999997"/>
    <n v="17685.199999999997"/>
    <x v="1"/>
    <x v="2"/>
    <x v="1"/>
  </r>
  <r>
    <s v="ORD-FRA-SMB-20141001"/>
    <s v="{&quot;type&quot;: &quot;buyerDetails&quot;, &quot;info&quot;: [&quot;origin&quot;: &quot;France&quot;, &quot;segment&quot;: &quot;Small Business&quot;, &quot;date&quot;: &quot;1&quot;, &quot;month&quot;: &quot;10&quot;, &quot;year&quot;: &quot;2014&quot;, &quot;units&quot;: &quot;2181&quot;]}"/>
    <x v="0"/>
    <x v="1"/>
    <x v="3"/>
    <n v="2181"/>
    <n v="7.0000000000000007E-2"/>
    <x v="13"/>
    <n v="15"/>
    <n v="32715"/>
    <n v="30424.949999999997"/>
    <n v="19519.949999999997"/>
    <x v="1"/>
    <x v="2"/>
    <x v="1"/>
  </r>
  <r>
    <s v="ORD-FRA-SMB-20141001"/>
    <s v="{&quot;type&quot;: &quot;buyerDetails&quot;, &quot;info&quot;: [&quot;origin&quot;: &quot;France&quot;, &quot;segment&quot;: &quot;Small Business&quot;, &quot;date&quot;: &quot;1&quot;, &quot;month&quot;: &quot;10&quot;, &quot;year&quot;: &quot;2014&quot;, &quot;units&quot;: &quot;2181&quot;]}"/>
    <x v="0"/>
    <x v="1"/>
    <x v="2"/>
    <n v="2181"/>
    <n v="7.0000000000000007E-2"/>
    <x v="13"/>
    <n v="20"/>
    <n v="43620"/>
    <n v="40566.6"/>
    <n v="34023.599999999999"/>
    <x v="1"/>
    <x v="2"/>
    <x v="1"/>
  </r>
  <r>
    <s v="ORD-FRA-GOV-20141001"/>
    <s v="{&quot;type&quot;: &quot;buyerDetails&quot;, &quot;info&quot;: [&quot;origin&quot;: &quot;France&quot;, &quot;segment&quot;: &quot;Government&quot;, &quot;date&quot;: &quot;1&quot;, &quot;month&quot;: &quot;10&quot;, &quot;year&quot;: &quot;2014&quot;, &quot;units&quot;: &quot;1976&quot;]}"/>
    <x v="0"/>
    <x v="2"/>
    <x v="5"/>
    <n v="1976"/>
    <n v="7.0000000000000007E-2"/>
    <x v="13"/>
    <n v="180"/>
    <n v="355680"/>
    <n v="330782.39999999997"/>
    <n v="93662.399999999965"/>
    <x v="1"/>
    <x v="2"/>
    <x v="1"/>
  </r>
  <r>
    <s v="ORD-FRA-MDM-20141001"/>
    <s v="{&quot;type&quot;: &quot;buyerDetails&quot;, &quot;info&quot;: [&quot;origin&quot;: &quot;France&quot;, &quot;segment&quot;: &quot;Midmarket&quot;, &quot;date&quot;: &quot;1&quot;, &quot;month&quot;: &quot;10&quot;, &quot;year&quot;: &quot;2014&quot;, &quot;units&quot;: &quot;1227&quot;]}"/>
    <x v="0"/>
    <x v="0"/>
    <x v="0"/>
    <n v="1227"/>
    <n v="0.09"/>
    <x v="13"/>
    <n v="20"/>
    <n v="24540"/>
    <n v="22331.4"/>
    <n v="10061.400000000001"/>
    <x v="1"/>
    <x v="2"/>
    <x v="1"/>
  </r>
  <r>
    <s v="ORD-FRA-MDM-20141001"/>
    <s v="{&quot;type&quot;: &quot;buyerDetails&quot;, &quot;info&quot;: [&quot;origin&quot;: &quot;France&quot;, &quot;segment&quot;: &quot;Midmarket&quot;, &quot;date&quot;: &quot;1&quot;, &quot;month&quot;: &quot;10&quot;, &quot;year&quot;: &quot;2014&quot;, &quot;units&quot;: &quot;1227&quot;]}"/>
    <x v="0"/>
    <x v="0"/>
    <x v="1"/>
    <n v="1227"/>
    <n v="0.09"/>
    <x v="13"/>
    <n v="300"/>
    <n v="368100"/>
    <n v="334971"/>
    <n v="28221"/>
    <x v="1"/>
    <x v="2"/>
    <x v="1"/>
  </r>
  <r>
    <s v="ORD-CND-GOV-20141001"/>
    <s v="{&quot;type&quot;: &quot;buyerDetails&quot;, &quot;info&quot;: [&quot;origin&quot;: &quot;Canada&quot;, &quot;segment&quot;: &quot;Government&quot;, &quot;date&quot;: &quot;1&quot;, &quot;month&quot;: &quot;10&quot;, &quot;year&quot;: &quot;2014&quot;, &quot;units&quot;: &quot;1269&quot;]}"/>
    <x v="4"/>
    <x v="2"/>
    <x v="5"/>
    <n v="1269"/>
    <n v="0.09"/>
    <x v="13"/>
    <n v="180"/>
    <n v="228420"/>
    <n v="207862.2"/>
    <n v="55582.200000000012"/>
    <x v="1"/>
    <x v="2"/>
    <x v="1"/>
  </r>
  <r>
    <s v="ORD-CND-GOV-20141001"/>
    <s v="{&quot;type&quot;: &quot;buyerDetails&quot;, &quot;info&quot;: [&quot;origin&quot;: &quot;Canada&quot;, &quot;segment&quot;: &quot;Government&quot;, &quot;date&quot;: &quot;1&quot;, &quot;month&quot;: &quot;10&quot;, &quot;year&quot;: &quot;2014&quot;, &quot;units&quot;: &quot;1269&quot;]}"/>
    <x v="4"/>
    <x v="2"/>
    <x v="4"/>
    <n v="1269"/>
    <n v="0.09"/>
    <x v="13"/>
    <n v="350"/>
    <n v="444150"/>
    <n v="404176.5"/>
    <n v="150376.5"/>
    <x v="1"/>
    <x v="2"/>
    <x v="1"/>
  </r>
  <r>
    <s v="ORD-GER-GOV-20141001"/>
    <s v="{&quot;type&quot;: &quot;buyerDetails&quot;, &quot;info&quot;: [&quot;origin&quot;: &quot;Germany&quot;, &quot;segment&quot;: &quot;Government&quot;, &quot;date&quot;: &quot;1&quot;, &quot;month&quot;: &quot;10&quot;, &quot;year&quot;: &quot;2014&quot;, &quot;units&quot;: &quot;360&quot;]}"/>
    <x v="3"/>
    <x v="2"/>
    <x v="0"/>
    <n v="360"/>
    <n v="9.0000000000000011E-2"/>
    <x v="13"/>
    <n v="20"/>
    <n v="7200"/>
    <n v="6552"/>
    <n v="2952"/>
    <x v="1"/>
    <x v="2"/>
    <x v="1"/>
  </r>
  <r>
    <s v="ORD-GER-GOV-20141001"/>
    <s v="{&quot;type&quot;: &quot;buyerDetails&quot;, &quot;info&quot;: [&quot;origin&quot;: &quot;Germany&quot;, &quot;segment&quot;: &quot;Government&quot;, &quot;date&quot;: &quot;1&quot;, &quot;month&quot;: &quot;10&quot;, &quot;year&quot;: &quot;2014&quot;, &quot;units&quot;: &quot;360&quot;]}"/>
    <x v="3"/>
    <x v="2"/>
    <x v="1"/>
    <n v="360"/>
    <n v="9.0000000000000011E-2"/>
    <x v="13"/>
    <n v="300"/>
    <n v="108000"/>
    <n v="98280"/>
    <n v="8280"/>
    <x v="1"/>
    <x v="2"/>
    <x v="1"/>
  </r>
  <r>
    <s v="ORD-GER-GOV-20141001"/>
    <s v="{&quot;type&quot;: &quot;buyerDetails&quot;, &quot;info&quot;: [&quot;origin&quot;: &quot;Germany&quot;, &quot;segment&quot;: &quot;Government&quot;, &quot;date&quot;: &quot;1&quot;, &quot;month&quot;: &quot;10&quot;, &quot;year&quot;: &quot;2014&quot;, &quot;units&quot;: &quot;241&quot;]}"/>
    <x v="3"/>
    <x v="2"/>
    <x v="0"/>
    <n v="241"/>
    <n v="0.1"/>
    <x v="13"/>
    <n v="20"/>
    <n v="4820"/>
    <n v="4338"/>
    <n v="1928"/>
    <x v="1"/>
    <x v="3"/>
    <x v="1"/>
  </r>
  <r>
    <s v="ORD-GER-GOV-20141001"/>
    <s v="{&quot;type&quot;: &quot;buyerDetails&quot;, &quot;info&quot;: [&quot;origin&quot;: &quot;Germany&quot;, &quot;segment&quot;: &quot;Government&quot;, &quot;date&quot;: &quot;1&quot;, &quot;month&quot;: &quot;10&quot;, &quot;year&quot;: &quot;2014&quot;, &quot;units&quot;: &quot;241&quot;]}"/>
    <x v="3"/>
    <x v="2"/>
    <x v="5"/>
    <n v="241"/>
    <n v="0.1"/>
    <x v="13"/>
    <n v="180"/>
    <n v="43380"/>
    <n v="39042"/>
    <n v="10122"/>
    <x v="1"/>
    <x v="3"/>
    <x v="1"/>
  </r>
  <r>
    <s v="ORD-GER-CPR-20141001"/>
    <s v="{&quot;type&quot;: &quot;buyerDetails&quot;, &quot;info&quot;: [&quot;origin&quot;: &quot;Germany&quot;, &quot;segment&quot;: &quot;Channel Partners&quot;, &quot;date&quot;: &quot;1&quot;, &quot;month&quot;: &quot;10&quot;, &quot;year&quot;: &quot;2014&quot;, &quot;units&quot;: &quot;472&quot;]}"/>
    <x v="3"/>
    <x v="4"/>
    <x v="5"/>
    <n v="472"/>
    <n v="0.10999999999999999"/>
    <x v="13"/>
    <n v="180"/>
    <n v="84960"/>
    <n v="75614.399999999994"/>
    <n v="18974.399999999994"/>
    <x v="1"/>
    <x v="3"/>
    <x v="1"/>
  </r>
  <r>
    <s v="ORD-GER-CPR-20141001"/>
    <s v="{&quot;type&quot;: &quot;buyerDetails&quot;, &quot;info&quot;: [&quot;origin&quot;: &quot;Germany&quot;, &quot;segment&quot;: &quot;Channel Partners&quot;, &quot;date&quot;: &quot;1&quot;, &quot;month&quot;: &quot;10&quot;, &quot;year&quot;: &quot;2014&quot;, &quot;units&quot;: &quot;472&quot;]}"/>
    <x v="3"/>
    <x v="4"/>
    <x v="4"/>
    <n v="472"/>
    <n v="0.10999999999999999"/>
    <x v="13"/>
    <n v="350"/>
    <n v="165200"/>
    <n v="147028"/>
    <n v="52628"/>
    <x v="1"/>
    <x v="3"/>
    <x v="1"/>
  </r>
  <r>
    <s v="ORD-FRA-ENT-20141001"/>
    <s v="{&quot;type&quot;: &quot;buyerDetails&quot;, &quot;info&quot;: [&quot;origin&quot;: &quot;France&quot;, &quot;segment&quot;: &quot;Enterprise&quot;, &quot;date&quot;: &quot;1&quot;, &quot;month&quot;: &quot;10&quot;, &quot;year&quot;: &quot;2014&quot;, &quot;units&quot;: &quot;2441&quot;]}"/>
    <x v="0"/>
    <x v="3"/>
    <x v="0"/>
    <n v="2441"/>
    <n v="0.11"/>
    <x v="13"/>
    <n v="20"/>
    <n v="48820"/>
    <n v="43449.8"/>
    <n v="19039.800000000003"/>
    <x v="1"/>
    <x v="3"/>
    <x v="1"/>
  </r>
  <r>
    <s v="ORD-FRA-ENT-20141001"/>
    <s v="{&quot;type&quot;: &quot;buyerDetails&quot;, &quot;info&quot;: [&quot;origin&quot;: &quot;France&quot;, &quot;segment&quot;: &quot;Enterprise&quot;, &quot;date&quot;: &quot;1&quot;, &quot;month&quot;: &quot;10&quot;, &quot;year&quot;: &quot;2014&quot;, &quot;units&quot;: &quot;2441&quot;]}"/>
    <x v="0"/>
    <x v="3"/>
    <x v="2"/>
    <n v="2441"/>
    <n v="0.11"/>
    <x v="13"/>
    <n v="20"/>
    <n v="48820"/>
    <n v="43449.8"/>
    <n v="36126.800000000003"/>
    <x v="1"/>
    <x v="3"/>
    <x v="1"/>
  </r>
  <r>
    <s v="ORD-MXC-GOV-20141001"/>
    <s v="{&quot;type&quot;: &quot;buyerDetails&quot;, &quot;info&quot;: [&quot;origin&quot;: &quot;Mexico&quot;, &quot;segment&quot;: &quot;Government&quot;, &quot;date&quot;: &quot;1&quot;, &quot;month&quot;: &quot;10&quot;, &quot;year&quot;: &quot;2014&quot;, &quot;units&quot;: &quot;905&quot;]}"/>
    <x v="1"/>
    <x v="2"/>
    <x v="0"/>
    <n v="905"/>
    <n v="0.12"/>
    <x v="13"/>
    <n v="20"/>
    <n v="18100"/>
    <n v="15928"/>
    <n v="6878"/>
    <x v="1"/>
    <x v="3"/>
    <x v="1"/>
  </r>
  <r>
    <s v="ORD-USA-GOV-20141001"/>
    <s v="{&quot;type&quot;: &quot;buyerDetails&quot;, &quot;info&quot;: [&quot;origin&quot;: &quot;United States of America&quot;, &quot;segment&quot;: &quot;Government&quot;, &quot;date&quot;: &quot;1&quot;, &quot;month&quot;: &quot;10&quot;, &quot;year&quot;: &quot;2014&quot;, &quot;units&quot;: &quot;986&quot;]}"/>
    <x v="2"/>
    <x v="2"/>
    <x v="1"/>
    <n v="986"/>
    <n v="0.12"/>
    <x v="13"/>
    <n v="300"/>
    <n v="295800"/>
    <n v="260304"/>
    <n v="13804"/>
    <x v="1"/>
    <x v="3"/>
    <x v="1"/>
  </r>
  <r>
    <s v="ORD-MXC-ENT-20141001"/>
    <s v="{&quot;type&quot;: &quot;buyerDetails&quot;, &quot;info&quot;: [&quot;origin&quot;: &quot;Mexico&quot;, &quot;segment&quot;: &quot;Enterprise&quot;, &quot;date&quot;: &quot;1&quot;, &quot;month&quot;: &quot;10&quot;, &quot;year&quot;: &quot;2014&quot;, &quot;units&quot;: &quot;2156&quot;]}"/>
    <x v="1"/>
    <x v="3"/>
    <x v="0"/>
    <n v="2156"/>
    <n v="0.12"/>
    <x v="13"/>
    <n v="20"/>
    <n v="43120"/>
    <n v="37945.599999999999"/>
    <n v="16385.599999999999"/>
    <x v="1"/>
    <x v="3"/>
    <x v="1"/>
  </r>
  <r>
    <s v="ORD-CND-GOV-20141001"/>
    <s v="{&quot;type&quot;: &quot;buyerDetails&quot;, &quot;info&quot;: [&quot;origin&quot;: &quot;Canada&quot;, &quot;segment&quot;: &quot;Government&quot;, &quot;date&quot;: &quot;1&quot;, &quot;month&quot;: &quot;10&quot;, &quot;year&quot;: &quot;2014&quot;, &quot;units&quot;: &quot;2734&quot;]}"/>
    <x v="4"/>
    <x v="2"/>
    <x v="3"/>
    <n v="2734"/>
    <n v="0.12"/>
    <x v="13"/>
    <n v="15"/>
    <n v="41010"/>
    <n v="36088.800000000003"/>
    <n v="22418.800000000003"/>
    <x v="1"/>
    <x v="3"/>
    <x v="1"/>
  </r>
  <r>
    <s v="ORD-MXC-ENT-20141001"/>
    <s v="{&quot;type&quot;: &quot;buyerDetails&quot;, &quot;info&quot;: [&quot;origin&quot;: &quot;Mexico&quot;, &quot;segment&quot;: &quot;Enterprise&quot;, &quot;date&quot;: &quot;1&quot;, &quot;month&quot;: &quot;10&quot;, &quot;year&quot;: &quot;2014&quot;, &quot;units&quot;: &quot;2156&quot;]}"/>
    <x v="1"/>
    <x v="3"/>
    <x v="2"/>
    <n v="2156"/>
    <n v="0.12"/>
    <x v="13"/>
    <n v="20"/>
    <n v="43120"/>
    <n v="37945.599999999999"/>
    <n v="31477.599999999999"/>
    <x v="1"/>
    <x v="3"/>
    <x v="1"/>
  </r>
  <r>
    <s v="ORD-MXC-GOV-20141001"/>
    <s v="{&quot;type&quot;: &quot;buyerDetails&quot;, &quot;info&quot;: [&quot;origin&quot;: &quot;Mexico&quot;, &quot;segment&quot;: &quot;Government&quot;, &quot;date&quot;: &quot;1&quot;, &quot;month&quot;: &quot;10&quot;, &quot;year&quot;: &quot;2014&quot;, &quot;units&quot;: &quot;905&quot;]}"/>
    <x v="1"/>
    <x v="2"/>
    <x v="5"/>
    <n v="905"/>
    <n v="0.12"/>
    <x v="13"/>
    <n v="180"/>
    <n v="162900"/>
    <n v="143352"/>
    <n v="34752"/>
    <x v="1"/>
    <x v="3"/>
    <x v="1"/>
  </r>
  <r>
    <s v="ORD-USA-GOV-20141001"/>
    <s v="{&quot;type&quot;: &quot;buyerDetails&quot;, &quot;info&quot;: [&quot;origin&quot;: &quot;United States of America&quot;, &quot;segment&quot;: &quot;Government&quot;, &quot;date&quot;: &quot;1&quot;, &quot;month&quot;: &quot;10&quot;, &quot;year&quot;: &quot;2014&quot;, &quot;units&quot;: &quot;986&quot;]}"/>
    <x v="2"/>
    <x v="2"/>
    <x v="5"/>
    <n v="986"/>
    <n v="0.12"/>
    <x v="13"/>
    <n v="180"/>
    <n v="177480"/>
    <n v="156182.39999999999"/>
    <n v="37862.399999999994"/>
    <x v="1"/>
    <x v="3"/>
    <x v="1"/>
  </r>
  <r>
    <s v="ORD-CND-GOV-20141001"/>
    <s v="{&quot;type&quot;: &quot;buyerDetails&quot;, &quot;info&quot;: [&quot;origin&quot;: &quot;Canada&quot;, &quot;segment&quot;: &quot;Government&quot;, &quot;date&quot;: &quot;1&quot;, &quot;month&quot;: &quot;10&quot;, &quot;year&quot;: &quot;2014&quot;, &quot;units&quot;: &quot;2734&quot;]}"/>
    <x v="4"/>
    <x v="2"/>
    <x v="4"/>
    <n v="2734"/>
    <n v="0.12"/>
    <x v="13"/>
    <n v="350"/>
    <n v="956900"/>
    <n v="842072"/>
    <n v="295272"/>
    <x v="1"/>
    <x v="3"/>
    <x v="1"/>
  </r>
  <r>
    <s v="ORD-CND-GOV-20141001"/>
    <s v="{&quot;type&quot;: &quot;buyerDetails&quot;, &quot;info&quot;: [&quot;origin&quot;: &quot;Canada&quot;, &quot;segment&quot;: &quot;Government&quot;, &quot;date&quot;: &quot;1&quot;, &quot;month&quot;: &quot;10&quot;, &quot;year&quot;: &quot;2014&quot;, &quot;units&quot;: &quot;1249&quot;]}"/>
    <x v="4"/>
    <x v="2"/>
    <x v="0"/>
    <n v="1249"/>
    <n v="0.13"/>
    <x v="13"/>
    <n v="20"/>
    <n v="24980"/>
    <n v="21732.6"/>
    <n v="9242.5999999999985"/>
    <x v="1"/>
    <x v="3"/>
    <x v="1"/>
  </r>
  <r>
    <s v="ORD-CND-GOV-20141001"/>
    <s v="{&quot;type&quot;: &quot;buyerDetails&quot;, &quot;info&quot;: [&quot;origin&quot;: &quot;Canada&quot;, &quot;segment&quot;: &quot;Government&quot;, &quot;date&quot;: &quot;1&quot;, &quot;month&quot;: &quot;10&quot;, &quot;year&quot;: &quot;2014&quot;, &quot;units&quot;: &quot;1249&quot;]}"/>
    <x v="4"/>
    <x v="2"/>
    <x v="3"/>
    <n v="1249"/>
    <n v="0.13"/>
    <x v="13"/>
    <n v="15"/>
    <n v="18735"/>
    <n v="16299.45"/>
    <n v="10054.450000000001"/>
    <x v="1"/>
    <x v="3"/>
    <x v="1"/>
  </r>
  <r>
    <s v="ORD-CND-MDM-20141001"/>
    <s v="{&quot;type&quot;: &quot;buyerDetails&quot;, &quot;info&quot;: [&quot;origin&quot;: &quot;Canada&quot;, &quot;segment&quot;: &quot;Midmarket&quot;, &quot;date&quot;: &quot;1&quot;, &quot;month&quot;: &quot;10&quot;, &quot;year&quot;: &quot;2014&quot;, &quot;units&quot;: &quot;1565&quot;]}"/>
    <x v="4"/>
    <x v="0"/>
    <x v="0"/>
    <n v="1565"/>
    <n v="0.13"/>
    <x v="13"/>
    <n v="20"/>
    <n v="31300"/>
    <n v="27231"/>
    <n v="11581"/>
    <x v="1"/>
    <x v="3"/>
    <x v="1"/>
  </r>
  <r>
    <s v="ORD-MXC-CPR-20141001"/>
    <s v="{&quot;type&quot;: &quot;buyerDetails&quot;, &quot;info&quot;: [&quot;origin&quot;: &quot;Mexico&quot;, &quot;segment&quot;: &quot;Channel Partners&quot;, &quot;date&quot;: &quot;1&quot;, &quot;month&quot;: &quot;10&quot;, &quot;year&quot;: &quot;2014&quot;, &quot;units&quot;: &quot;410&quot;]}"/>
    <x v="1"/>
    <x v="4"/>
    <x v="5"/>
    <n v="410"/>
    <n v="0.13"/>
    <x v="13"/>
    <n v="180"/>
    <n v="73800"/>
    <n v="64206"/>
    <n v="15006"/>
    <x v="1"/>
    <x v="3"/>
    <x v="1"/>
  </r>
  <r>
    <s v="ORD-CND-MDM-20141001"/>
    <s v="{&quot;type&quot;: &quot;buyerDetails&quot;, &quot;info&quot;: [&quot;origin&quot;: &quot;Canada&quot;, &quot;segment&quot;: &quot;Midmarket&quot;, &quot;date&quot;: &quot;1&quot;, &quot;month&quot;: &quot;10&quot;, &quot;year&quot;: &quot;2014&quot;, &quot;units&quot;: &quot;1565&quot;]}"/>
    <x v="4"/>
    <x v="0"/>
    <x v="1"/>
    <n v="1565"/>
    <n v="0.13"/>
    <x v="13"/>
    <n v="300"/>
    <n v="469500"/>
    <n v="408465"/>
    <n v="17215"/>
    <x v="1"/>
    <x v="3"/>
    <x v="1"/>
  </r>
  <r>
    <s v="ORD-MXC-CPR-20141001"/>
    <s v="{&quot;type&quot;: &quot;buyerDetails&quot;, &quot;info&quot;: [&quot;origin&quot;: &quot;Mexico&quot;, &quot;segment&quot;: &quot;Channel Partners&quot;, &quot;date&quot;: &quot;1&quot;, &quot;month&quot;: &quot;10&quot;, &quot;year&quot;: &quot;2014&quot;, &quot;units&quot;: &quot;410&quot;]}"/>
    <x v="1"/>
    <x v="4"/>
    <x v="4"/>
    <n v="410"/>
    <n v="0.13"/>
    <x v="13"/>
    <n v="350"/>
    <n v="143500"/>
    <n v="124845"/>
    <n v="42845"/>
    <x v="1"/>
    <x v="3"/>
    <x v="1"/>
  </r>
  <r>
    <s v="ORD-FRA-CPR-20141001"/>
    <s v="{&quot;type&quot;: &quot;buyerDetails&quot;, &quot;info&quot;: [&quot;origin&quot;: &quot;France&quot;, &quot;segment&quot;: &quot;Channel Partners&quot;, &quot;date&quot;: &quot;1&quot;, &quot;month&quot;: &quot;10&quot;, &quot;year&quot;: &quot;2014&quot;, &quot;units&quot;: &quot;1393&quot;]}"/>
    <x v="0"/>
    <x v="4"/>
    <x v="0"/>
    <n v="1393"/>
    <n v="0.13999999999999999"/>
    <x v="13"/>
    <n v="20"/>
    <n v="27860"/>
    <n v="23959.599999999999"/>
    <n v="10029.599999999999"/>
    <x v="1"/>
    <x v="3"/>
    <x v="1"/>
  </r>
  <r>
    <s v="ORD-FRA-CPR-20141001"/>
    <s v="{&quot;type&quot;: &quot;buyerDetails&quot;, &quot;info&quot;: [&quot;origin&quot;: &quot;France&quot;, &quot;segment&quot;: &quot;Channel Partners&quot;, &quot;date&quot;: &quot;1&quot;, &quot;month&quot;: &quot;10&quot;, &quot;year&quot;: &quot;2014&quot;, &quot;units&quot;: &quot;1393&quot;]}"/>
    <x v="0"/>
    <x v="4"/>
    <x v="4"/>
    <n v="1393"/>
    <n v="0.13999999999999999"/>
    <x v="13"/>
    <n v="350"/>
    <n v="487550"/>
    <n v="419293"/>
    <n v="140693"/>
    <x v="1"/>
    <x v="3"/>
    <x v="1"/>
  </r>
  <r>
    <s v="ORD-USA-SMB-20141001"/>
    <s v="{&quot;type&quot;: &quot;buyerDetails&quot;, &quot;info&quot;: [&quot;origin&quot;: &quot;United States of America&quot;, &quot;segment&quot;: &quot;Small Business&quot;, &quot;date&quot;: &quot;1&quot;, &quot;month&quot;: &quot;10&quot;, &quot;year&quot;: &quot;2014&quot;, &quot;units&quot;: &quot;1010&quot;]}"/>
    <x v="2"/>
    <x v="1"/>
    <x v="1"/>
    <n v="1010"/>
    <n v="0.14000000000000001"/>
    <x v="13"/>
    <n v="300"/>
    <n v="303000"/>
    <n v="260580"/>
    <n v="8080"/>
    <x v="1"/>
    <x v="3"/>
    <x v="1"/>
  </r>
  <r>
    <s v="ORD-CND-SMB-20141001"/>
    <s v="{&quot;type&quot;: &quot;buyerDetails&quot;, &quot;info&quot;: [&quot;origin&quot;: &quot;Canada&quot;, &quot;segment&quot;: &quot;Small Business&quot;, &quot;date&quot;: &quot;1&quot;, &quot;month&quot;: &quot;10&quot;, &quot;year&quot;: &quot;2014&quot;, &quot;units&quot;: &quot;1496&quot;]}"/>
    <x v="4"/>
    <x v="1"/>
    <x v="1"/>
    <n v="1496"/>
    <n v="0.14000000000000001"/>
    <x v="13"/>
    <n v="300"/>
    <n v="448800"/>
    <n v="385968"/>
    <n v="11968"/>
    <x v="1"/>
    <x v="3"/>
    <x v="1"/>
  </r>
  <r>
    <s v="ORD-FRA-GOV-20141001"/>
    <s v="{&quot;type&quot;: &quot;buyerDetails&quot;, &quot;info&quot;: [&quot;origin&quot;: &quot;France&quot;, &quot;segment&quot;: &quot;Government&quot;, &quot;date&quot;: &quot;1&quot;, &quot;month&quot;: &quot;10&quot;, &quot;year&quot;: &quot;2014&quot;, &quot;units&quot;: &quot;1731&quot;]}"/>
    <x v="0"/>
    <x v="2"/>
    <x v="0"/>
    <n v="1731"/>
    <n v="0.14000000000000001"/>
    <x v="13"/>
    <n v="20"/>
    <n v="34620"/>
    <n v="29773.200000000001"/>
    <n v="12463.2"/>
    <x v="1"/>
    <x v="3"/>
    <x v="1"/>
  </r>
  <r>
    <s v="ORD-USA-SMB-20141001"/>
    <s v="{&quot;type&quot;: &quot;buyerDetails&quot;, &quot;info&quot;: [&quot;origin&quot;: &quot;United States of America&quot;, &quot;segment&quot;: &quot;Small Business&quot;, &quot;date&quot;: &quot;1&quot;, &quot;month&quot;: &quot;10&quot;, &quot;year&quot;: &quot;2014&quot;, &quot;units&quot;: &quot;1010&quot;]}"/>
    <x v="2"/>
    <x v="1"/>
    <x v="2"/>
    <n v="1010"/>
    <n v="0.14000000000000001"/>
    <x v="13"/>
    <n v="20"/>
    <n v="20200"/>
    <n v="17372"/>
    <n v="14342"/>
    <x v="1"/>
    <x v="3"/>
    <x v="1"/>
  </r>
  <r>
    <s v="ORD-USA-CPR-20141001"/>
    <s v="{&quot;type&quot;: &quot;buyerDetails&quot;, &quot;info&quot;: [&quot;origin&quot;: &quot;United States of America&quot;, &quot;segment&quot;: &quot;Channel Partners&quot;, &quot;date&quot;: &quot;1&quot;, &quot;month&quot;: &quot;10&quot;, &quot;year&quot;: &quot;2014&quot;, &quot;units&quot;: &quot;2914&quot;]}"/>
    <x v="2"/>
    <x v="4"/>
    <x v="0"/>
    <n v="2914"/>
    <n v="0.14000000000000001"/>
    <x v="13"/>
    <n v="20"/>
    <n v="58280"/>
    <n v="50120.799999999996"/>
    <n v="20980.799999999996"/>
    <x v="1"/>
    <x v="3"/>
    <x v="1"/>
  </r>
  <r>
    <s v="ORD-CND-SMB-20141001"/>
    <s v="{&quot;type&quot;: &quot;buyerDetails&quot;, &quot;info&quot;: [&quot;origin&quot;: &quot;Canada&quot;, &quot;segment&quot;: &quot;Small Business&quot;, &quot;date&quot;: &quot;1&quot;, &quot;month&quot;: &quot;10&quot;, &quot;year&quot;: &quot;2014&quot;, &quot;units&quot;: &quot;1496&quot;]}"/>
    <x v="4"/>
    <x v="1"/>
    <x v="2"/>
    <n v="1496"/>
    <n v="0.14000000000000001"/>
    <x v="13"/>
    <n v="20"/>
    <n v="29920"/>
    <n v="25731.200000000001"/>
    <n v="21243.200000000001"/>
    <x v="1"/>
    <x v="3"/>
    <x v="1"/>
  </r>
  <r>
    <s v="ORD-FRA-GOV-20141001"/>
    <s v="{&quot;type&quot;: &quot;buyerDetails&quot;, &quot;info&quot;: [&quot;origin&quot;: &quot;France&quot;, &quot;segment&quot;: &quot;Government&quot;, &quot;date&quot;: &quot;1&quot;, &quot;month&quot;: &quot;10&quot;, &quot;year&quot;: &quot;2014&quot;, &quot;units&quot;: &quot;1731&quot;]}"/>
    <x v="0"/>
    <x v="2"/>
    <x v="4"/>
    <n v="1731"/>
    <n v="0.14000000000000001"/>
    <x v="13"/>
    <n v="350"/>
    <n v="605850"/>
    <n v="521031"/>
    <n v="174831"/>
    <x v="1"/>
    <x v="3"/>
    <x v="1"/>
  </r>
  <r>
    <s v="ORD-USA-CPR-20141001"/>
    <s v="{&quot;type&quot;: &quot;buyerDetails&quot;, &quot;info&quot;: [&quot;origin&quot;: &quot;United States of America&quot;, &quot;segment&quot;: &quot;Channel Partners&quot;, &quot;date&quot;: &quot;1&quot;, &quot;month&quot;: &quot;10&quot;, &quot;year&quot;: &quot;2014&quot;, &quot;units&quot;: &quot;2914&quot;]}"/>
    <x v="2"/>
    <x v="4"/>
    <x v="4"/>
    <n v="2914"/>
    <n v="0.14000000000000001"/>
    <x v="13"/>
    <n v="350"/>
    <n v="1019900"/>
    <n v="877114"/>
    <n v="294314"/>
    <x v="1"/>
    <x v="3"/>
    <x v="1"/>
  </r>
  <r>
    <s v="ORD-MXC-SMB-20141001"/>
    <s v="{&quot;type&quot;: &quot;buyerDetails&quot;, &quot;info&quot;: [&quot;origin&quot;: &quot;Mexico&quot;, &quot;segment&quot;: &quot;Small Business&quot;, &quot;date&quot;: &quot;1&quot;, &quot;month&quot;: &quot;10&quot;, &quot;year&quot;: &quot;2014&quot;, &quot;units&quot;: &quot;546&quot;]}"/>
    <x v="1"/>
    <x v="1"/>
    <x v="3"/>
    <n v="546"/>
    <n v="0.15"/>
    <x v="13"/>
    <n v="15"/>
    <n v="8190"/>
    <n v="6961.5"/>
    <n v="4231.5"/>
    <x v="1"/>
    <x v="3"/>
    <x v="1"/>
  </r>
  <r>
    <s v="ORD-GER-MDM-20141001"/>
    <s v="{&quot;type&quot;: &quot;buyerDetails&quot;, &quot;info&quot;: [&quot;origin&quot;: &quot;Germany&quot;, &quot;segment&quot;: &quot;Midmarket&quot;, &quot;date&quot;: &quot;1&quot;, &quot;month&quot;: &quot;10&quot;, &quot;year&quot;: &quot;2014&quot;, &quot;units&quot;: &quot;1175&quot;]}"/>
    <x v="3"/>
    <x v="0"/>
    <x v="1"/>
    <n v="1175"/>
    <n v="0.15"/>
    <x v="13"/>
    <n v="300"/>
    <n v="352500"/>
    <n v="299625"/>
    <n v="5875"/>
    <x v="1"/>
    <x v="3"/>
    <x v="1"/>
  </r>
  <r>
    <s v="ORD-GER-ENT-20141001"/>
    <s v="{&quot;type&quot;: &quot;buyerDetails&quot;, &quot;info&quot;: [&quot;origin&quot;: &quot;Germany&quot;, &quot;segment&quot;: &quot;Enterprise&quot;, &quot;date&quot;: &quot;1&quot;, &quot;month&quot;: &quot;10&quot;, &quot;year&quot;: &quot;2014&quot;, &quot;units&quot;: &quot;1085&quot;]}"/>
    <x v="3"/>
    <x v="3"/>
    <x v="0"/>
    <n v="1085"/>
    <n v="0.15"/>
    <x v="13"/>
    <n v="20"/>
    <n v="21700"/>
    <n v="18445"/>
    <n v="7595"/>
    <x v="1"/>
    <x v="3"/>
    <x v="1"/>
  </r>
  <r>
    <s v="ORD-GER-MDM-20141001"/>
    <s v="{&quot;type&quot;: &quot;buyerDetails&quot;, &quot;info&quot;: [&quot;origin&quot;: &quot;Germany&quot;, &quot;segment&quot;: &quot;Midmarket&quot;, &quot;date&quot;: &quot;1&quot;, &quot;month&quot;: &quot;10&quot;, &quot;year&quot;: &quot;2014&quot;, &quot;units&quot;: &quot;1175&quot;]}"/>
    <x v="3"/>
    <x v="0"/>
    <x v="0"/>
    <n v="1175"/>
    <n v="0.15"/>
    <x v="13"/>
    <n v="20"/>
    <n v="23500"/>
    <n v="19975"/>
    <n v="8225"/>
    <x v="1"/>
    <x v="3"/>
    <x v="1"/>
  </r>
  <r>
    <s v="ORD-GER-ENT-20141001"/>
    <s v="{&quot;type&quot;: &quot;buyerDetails&quot;, &quot;info&quot;: [&quot;origin&quot;: &quot;Germany&quot;, &quot;segment&quot;: &quot;Enterprise&quot;, &quot;date&quot;: &quot;1&quot;, &quot;month&quot;: &quot;10&quot;, &quot;year&quot;: &quot;2014&quot;, &quot;units&quot;: &quot;1085&quot;]}"/>
    <x v="3"/>
    <x v="3"/>
    <x v="2"/>
    <n v="1085"/>
    <n v="0.15"/>
    <x v="13"/>
    <n v="20"/>
    <n v="21700"/>
    <n v="18445"/>
    <n v="15190"/>
    <x v="1"/>
    <x v="3"/>
    <x v="1"/>
  </r>
  <r>
    <s v="ORD-MXC-SMB-20141001"/>
    <s v="{&quot;type&quot;: &quot;buyerDetails&quot;, &quot;info&quot;: [&quot;origin&quot;: &quot;Mexico&quot;, &quot;segment&quot;: &quot;Small Business&quot;, &quot;date&quot;: &quot;1&quot;, &quot;month&quot;: &quot;10&quot;, &quot;year&quot;: &quot;2014&quot;, &quot;units&quot;: &quot;546&quot;]}"/>
    <x v="1"/>
    <x v="1"/>
    <x v="4"/>
    <n v="546"/>
    <n v="0.15"/>
    <x v="13"/>
    <n v="350"/>
    <n v="191100"/>
    <n v="162435"/>
    <n v="53235"/>
    <x v="1"/>
    <x v="3"/>
    <x v="1"/>
  </r>
  <r>
    <s v="ORD-FRA-GOV-20141101"/>
    <s v="{&quot;type&quot;: &quot;buyerDetails&quot;, &quot;info&quot;: [&quot;origin&quot;: &quot;France&quot;, &quot;segment&quot;: &quot;Government&quot;, &quot;date&quot;: &quot;1&quot;, &quot;month&quot;: &quot;11&quot;, &quot;year&quot;: &quot;2014&quot;, &quot;units&quot;: &quot;639&quot;]}"/>
    <x v="0"/>
    <x v="2"/>
    <x v="5"/>
    <n v="639"/>
    <n v="9.9999999999999985E-3"/>
    <x v="14"/>
    <n v="180"/>
    <n v="115020"/>
    <n v="113869.8"/>
    <n v="37189.800000000003"/>
    <x v="1"/>
    <x v="1"/>
    <x v="2"/>
  </r>
  <r>
    <s v="ORD-USA-SMB-20141101"/>
    <s v="{&quot;type&quot;: &quot;buyerDetails&quot;, &quot;info&quot;: [&quot;origin&quot;: &quot;United States of America&quot;, &quot;segment&quot;: &quot;Small Business&quot;, &quot;date&quot;: &quot;1&quot;, &quot;month&quot;: &quot;11&quot;, &quot;year&quot;: &quot;2014&quot;, &quot;units&quot;: &quot;2905&quot;]}"/>
    <x v="2"/>
    <x v="1"/>
    <x v="0"/>
    <n v="2905"/>
    <n v="0.01"/>
    <x v="14"/>
    <n v="20"/>
    <n v="58100"/>
    <n v="57519"/>
    <n v="28469"/>
    <x v="1"/>
    <x v="1"/>
    <x v="2"/>
  </r>
  <r>
    <s v="ORD-FRA-ENT-20141101"/>
    <s v="{&quot;type&quot;: &quot;buyerDetails&quot;, &quot;info&quot;: [&quot;origin&quot;: &quot;France&quot;, &quot;segment&quot;: &quot;Enterprise&quot;, &quot;date&quot;: &quot;1&quot;, &quot;month&quot;: &quot;11&quot;, &quot;year&quot;: &quot;2014&quot;, &quot;units&quot;: &quot;1744&quot;]}"/>
    <x v="0"/>
    <x v="3"/>
    <x v="1"/>
    <n v="1744"/>
    <n v="0.01"/>
    <x v="14"/>
    <n v="300"/>
    <n v="523200"/>
    <n v="517968"/>
    <n v="81968"/>
    <x v="1"/>
    <x v="1"/>
    <x v="2"/>
  </r>
  <r>
    <s v="ORD-MXC-CPR-20141101"/>
    <s v="{&quot;type&quot;: &quot;buyerDetails&quot;, &quot;info&quot;: [&quot;origin&quot;: &quot;Mexico&quot;, &quot;segment&quot;: &quot;Channel Partners&quot;, &quot;date&quot;: &quot;1&quot;, &quot;month&quot;: &quot;11&quot;, &quot;year&quot;: &quot;2014&quot;, &quot;units&quot;: &quot;690&quot;]}"/>
    <x v="1"/>
    <x v="4"/>
    <x v="3"/>
    <n v="690"/>
    <n v="0.02"/>
    <x v="14"/>
    <n v="15"/>
    <n v="10350"/>
    <n v="10143"/>
    <n v="6693"/>
    <x v="1"/>
    <x v="1"/>
    <x v="2"/>
  </r>
  <r>
    <s v="ORD-FRA-GOV-20141101"/>
    <s v="{&quot;type&quot;: &quot;buyerDetails&quot;, &quot;info&quot;: [&quot;origin&quot;: &quot;France&quot;, &quot;segment&quot;: &quot;Government&quot;, &quot;date&quot;: &quot;1&quot;, &quot;month&quot;: &quot;11&quot;, &quot;year&quot;: &quot;2014&quot;, &quot;units&quot;: &quot;941&quot;]}"/>
    <x v="0"/>
    <x v="2"/>
    <x v="4"/>
    <n v="941"/>
    <n v="0.02"/>
    <x v="14"/>
    <n v="350"/>
    <n v="329350"/>
    <n v="322763"/>
    <n v="134563"/>
    <x v="1"/>
    <x v="1"/>
    <x v="2"/>
  </r>
  <r>
    <s v="ORD-USA-GOV-20141101"/>
    <s v="{&quot;type&quot;: &quot;buyerDetails&quot;, &quot;info&quot;: [&quot;origin&quot;: &quot;United States of America&quot;, &quot;segment&quot;: &quot;Government&quot;, &quot;date&quot;: &quot;1&quot;, &quot;month&quot;: &quot;11&quot;, &quot;year&quot;: &quot;2014&quot;, &quot;units&quot;: &quot;1236&quot;]}"/>
    <x v="2"/>
    <x v="2"/>
    <x v="4"/>
    <n v="1236"/>
    <n v="0.02"/>
    <x v="14"/>
    <n v="350"/>
    <n v="432600"/>
    <n v="423948"/>
    <n v="176748"/>
    <x v="1"/>
    <x v="1"/>
    <x v="2"/>
  </r>
  <r>
    <s v="ORD-GER-CPR-20141101"/>
    <s v="{&quot;type&quot;: &quot;buyerDetails&quot;, &quot;info&quot;: [&quot;origin&quot;: &quot;Germany&quot;, &quot;segment&quot;: &quot;Channel Partners&quot;, &quot;date&quot;: &quot;1&quot;, &quot;month&quot;: &quot;11&quot;, &quot;year&quot;: &quot;2014&quot;, &quot;units&quot;: &quot;2342&quot;]}"/>
    <x v="3"/>
    <x v="4"/>
    <x v="3"/>
    <n v="2342"/>
    <n v="0.05"/>
    <x v="14"/>
    <n v="15"/>
    <n v="35130"/>
    <n v="33373.5"/>
    <n v="21663.5"/>
    <x v="1"/>
    <x v="2"/>
    <x v="2"/>
  </r>
  <r>
    <s v="ORD-MXC-MDM-20141101"/>
    <s v="{&quot;type&quot;: &quot;buyerDetails&quot;, &quot;info&quot;: [&quot;origin&quot;: &quot;Mexico&quot;, &quot;segment&quot;: &quot;Midmarket&quot;, &quot;date&quot;: &quot;1&quot;, &quot;month&quot;: &quot;11&quot;, &quot;year&quot;: &quot;2014&quot;, &quot;units&quot;: &quot;2791&quot;]}"/>
    <x v="1"/>
    <x v="0"/>
    <x v="2"/>
    <n v="2791"/>
    <n v="0.05"/>
    <x v="14"/>
    <n v="20"/>
    <n v="55820"/>
    <n v="53029"/>
    <n v="44656"/>
    <x v="1"/>
    <x v="2"/>
    <x v="2"/>
  </r>
  <r>
    <s v="ORD-USA-CPR-20141101"/>
    <s v="{&quot;type&quot;: &quot;buyerDetails&quot;, &quot;info&quot;: [&quot;origin&quot;: &quot;United States of America&quot;, &quot;segment&quot;: &quot;Channel Partners&quot;, &quot;date&quot;: &quot;1&quot;, &quot;month&quot;: &quot;11&quot;, &quot;year&quot;: &quot;2014&quot;, &quot;units&quot;: &quot;2723&quot;]}"/>
    <x v="2"/>
    <x v="4"/>
    <x v="3"/>
    <n v="2723"/>
    <n v="0.06"/>
    <x v="14"/>
    <n v="15"/>
    <n v="40845"/>
    <n v="38394.299999999996"/>
    <n v="24779.299999999996"/>
    <x v="1"/>
    <x v="2"/>
    <x v="2"/>
  </r>
  <r>
    <s v="ORD-USA-MDM-20141101"/>
    <s v="{&quot;type&quot;: &quot;buyerDetails&quot;, &quot;info&quot;: [&quot;origin&quot;: &quot;United States of America&quot;, &quot;segment&quot;: &quot;Midmarket&quot;, &quot;date&quot;: &quot;1&quot;, &quot;month&quot;: &quot;11&quot;, &quot;year&quot;: &quot;2014&quot;, &quot;units&quot;: &quot;2030&quot;]}"/>
    <x v="2"/>
    <x v="0"/>
    <x v="2"/>
    <n v="2030"/>
    <n v="0.06"/>
    <x v="14"/>
    <n v="20"/>
    <n v="40600"/>
    <n v="38164"/>
    <n v="32074"/>
    <x v="1"/>
    <x v="2"/>
    <x v="2"/>
  </r>
  <r>
    <s v="ORD-MXC-GOV-20141101"/>
    <s v="{&quot;type&quot;: &quot;buyerDetails&quot;, &quot;info&quot;: [&quot;origin&quot;: &quot;Mexico&quot;, &quot;segment&quot;: &quot;Government&quot;, &quot;date&quot;: &quot;1&quot;, &quot;month&quot;: &quot;11&quot;, &quot;year&quot;: &quot;2014&quot;, &quot;units&quot;: &quot;1333&quot;]}"/>
    <x v="1"/>
    <x v="2"/>
    <x v="5"/>
    <n v="1333"/>
    <n v="6.0000000000000005E-2"/>
    <x v="14"/>
    <n v="180"/>
    <n v="239940"/>
    <n v="225543.59999999998"/>
    <n v="65583.599999999977"/>
    <x v="1"/>
    <x v="2"/>
    <x v="2"/>
  </r>
  <r>
    <s v="ORD-FRA-CPR-20141101"/>
    <s v="{&quot;type&quot;: &quot;buyerDetails&quot;, &quot;info&quot;: [&quot;origin&quot;: &quot;France&quot;, &quot;segment&quot;: &quot;Channel Partners&quot;, &quot;date&quot;: &quot;1&quot;, &quot;month&quot;: &quot;11&quot;, &quot;year&quot;: &quot;2014&quot;, &quot;units&quot;: &quot;2342&quot;]}"/>
    <x v="0"/>
    <x v="4"/>
    <x v="3"/>
    <n v="2342"/>
    <n v="6.9999999999999993E-2"/>
    <x v="14"/>
    <n v="15"/>
    <n v="35130"/>
    <n v="32670.9"/>
    <n v="20960.900000000001"/>
    <x v="1"/>
    <x v="2"/>
    <x v="2"/>
  </r>
  <r>
    <s v="ORD-USA-GOV-20141101"/>
    <s v="{&quot;type&quot;: &quot;buyerDetails&quot;, &quot;info&quot;: [&quot;origin&quot;: &quot;United States of America&quot;, &quot;segment&quot;: &quot;Government&quot;, &quot;date&quot;: &quot;1&quot;, &quot;month&quot;: &quot;11&quot;, &quot;year&quot;: &quot;2014&quot;, &quot;units&quot;: &quot;547&quot;]}"/>
    <x v="2"/>
    <x v="2"/>
    <x v="5"/>
    <n v="547"/>
    <n v="6.9999999999999993E-2"/>
    <x v="14"/>
    <n v="180"/>
    <n v="98460"/>
    <n v="91567.8"/>
    <n v="25927.800000000003"/>
    <x v="1"/>
    <x v="2"/>
    <x v="2"/>
  </r>
  <r>
    <s v="ORD-CND-GOV-20141101"/>
    <s v="{&quot;type&quot;: &quot;buyerDetails&quot;, &quot;info&quot;: [&quot;origin&quot;: &quot;Canada&quot;, &quot;segment&quot;: &quot;Government&quot;, &quot;date&quot;: &quot;1&quot;, &quot;month&quot;: &quot;11&quot;, &quot;year&quot;: &quot;2014&quot;, &quot;units&quot;: &quot;1118&quot;]}"/>
    <x v="4"/>
    <x v="2"/>
    <x v="4"/>
    <n v="1118"/>
    <n v="7.0000000000000007E-2"/>
    <x v="14"/>
    <n v="350"/>
    <n v="391300"/>
    <n v="363909"/>
    <n v="140309"/>
    <x v="1"/>
    <x v="2"/>
    <x v="2"/>
  </r>
  <r>
    <s v="ORD-FRA-MDM-20141101"/>
    <s v="{&quot;type&quot;: &quot;buyerDetails&quot;, &quot;info&quot;: [&quot;origin&quot;: &quot;France&quot;, &quot;segment&quot;: &quot;Midmarket&quot;, &quot;date&quot;: &quot;1&quot;, &quot;month&quot;: &quot;11&quot;, &quot;year&quot;: &quot;2014&quot;, &quot;units&quot;: &quot;490&quot;]}"/>
    <x v="0"/>
    <x v="0"/>
    <x v="2"/>
    <n v="490"/>
    <n v="0.08"/>
    <x v="14"/>
    <n v="20"/>
    <n v="9800"/>
    <n v="9016"/>
    <n v="7546"/>
    <x v="1"/>
    <x v="2"/>
    <x v="2"/>
  </r>
  <r>
    <s v="ORD-GER-GOV-20141101"/>
    <s v="{&quot;type&quot;: &quot;buyerDetails&quot;, &quot;info&quot;: [&quot;origin&quot;: &quot;Germany&quot;, &quot;segment&quot;: &quot;Government&quot;, &quot;date&quot;: &quot;1&quot;, &quot;month&quot;: &quot;11&quot;, &quot;year&quot;: &quot;2014&quot;, &quot;units&quot;: &quot;1520&quot;]}"/>
    <x v="3"/>
    <x v="2"/>
    <x v="4"/>
    <n v="1520"/>
    <n v="0.08"/>
    <x v="14"/>
    <n v="350"/>
    <n v="532000"/>
    <n v="489440"/>
    <n v="185440"/>
    <x v="1"/>
    <x v="2"/>
    <x v="2"/>
  </r>
  <r>
    <s v="ORD-FRA-SMB-20141101"/>
    <s v="{&quot;type&quot;: &quot;buyerDetails&quot;, &quot;info&quot;: [&quot;origin&quot;: &quot;France&quot;, &quot;segment&quot;: &quot;Small Business&quot;, &quot;date&quot;: &quot;1&quot;, &quot;month&quot;: &quot;11&quot;, &quot;year&quot;: &quot;2014&quot;, &quot;units&quot;: &quot;1324&quot;]}"/>
    <x v="0"/>
    <x v="1"/>
    <x v="0"/>
    <n v="1324"/>
    <n v="0.09"/>
    <x v="14"/>
    <n v="20"/>
    <n v="26480"/>
    <n v="24096.799999999999"/>
    <n v="10856.8"/>
    <x v="1"/>
    <x v="2"/>
    <x v="2"/>
  </r>
  <r>
    <s v="ORD-CND-CPR-20141101"/>
    <s v="{&quot;type&quot;: &quot;buyerDetails&quot;, &quot;info&quot;: [&quot;origin&quot;: &quot;Canada&quot;, &quot;segment&quot;: &quot;Channel Partners&quot;, &quot;date&quot;: &quot;1&quot;, &quot;month&quot;: &quot;11&quot;, &quot;year&quot;: &quot;2014&quot;, &quot;units&quot;: &quot;2321&quot;]}"/>
    <x v="4"/>
    <x v="4"/>
    <x v="3"/>
    <n v="2321"/>
    <n v="0.09"/>
    <x v="14"/>
    <n v="15"/>
    <n v="34815"/>
    <n v="31681.65"/>
    <n v="20076.650000000001"/>
    <x v="1"/>
    <x v="2"/>
    <x v="2"/>
  </r>
  <r>
    <s v="ORD-MXC-ENT-20141101"/>
    <s v="{&quot;type&quot;: &quot;buyerDetails&quot;, &quot;info&quot;: [&quot;origin&quot;: &quot;Mexico&quot;, &quot;segment&quot;: &quot;Enterprise&quot;, &quot;date&quot;: &quot;1&quot;, &quot;month&quot;: &quot;11&quot;, &quot;year&quot;: &quot;2014&quot;, &quot;units&quot;: &quot;877&quot;]}"/>
    <x v="1"/>
    <x v="3"/>
    <x v="1"/>
    <n v="877"/>
    <n v="0.09"/>
    <x v="14"/>
    <n v="300"/>
    <n v="263100"/>
    <n v="239421"/>
    <n v="20171"/>
    <x v="1"/>
    <x v="2"/>
    <x v="2"/>
  </r>
  <r>
    <s v="ORD-MXC-GOV-20141101"/>
    <s v="{&quot;type&quot;: &quot;buyerDetails&quot;, &quot;info&quot;: [&quot;origin&quot;: &quot;Mexico&quot;, &quot;segment&quot;: &quot;Government&quot;, &quot;date&quot;: &quot;1&quot;, &quot;month&quot;: &quot;11&quot;, &quot;year&quot;: &quot;2014&quot;, &quot;units&quot;: &quot;1694&quot;]}"/>
    <x v="1"/>
    <x v="2"/>
    <x v="4"/>
    <n v="1694"/>
    <n v="0.09"/>
    <x v="14"/>
    <n v="350"/>
    <n v="592900"/>
    <n v="539539"/>
    <n v="200739"/>
    <x v="1"/>
    <x v="2"/>
    <x v="2"/>
  </r>
  <r>
    <s v="ORD-CND-ENT-20141101"/>
    <s v="{&quot;type&quot;: &quot;buyerDetails&quot;, &quot;info&quot;: [&quot;origin&quot;: &quot;Canada&quot;, &quot;segment&quot;: &quot;Enterprise&quot;, &quot;date&quot;: &quot;1&quot;, &quot;month&quot;: &quot;11&quot;, &quot;year&quot;: &quot;2014&quot;, &quot;units&quot;: &quot;2529&quot;]}"/>
    <x v="4"/>
    <x v="3"/>
    <x v="1"/>
    <n v="2529"/>
    <n v="0.1"/>
    <x v="14"/>
    <n v="300"/>
    <n v="758700"/>
    <n v="682830"/>
    <n v="50580"/>
    <x v="1"/>
    <x v="3"/>
    <x v="2"/>
  </r>
  <r>
    <s v="ORD-GER-GOV-20141101"/>
    <s v="{&quot;type&quot;: &quot;buyerDetails&quot;, &quot;info&quot;: [&quot;origin&quot;: &quot;Germany&quot;, &quot;segment&quot;: &quot;Government&quot;, &quot;date&quot;: &quot;1&quot;, &quot;month&quot;: &quot;11&quot;, &quot;year&quot;: &quot;2014&quot;, &quot;units&quot;: &quot;2665&quot;]}"/>
    <x v="3"/>
    <x v="2"/>
    <x v="5"/>
    <n v="2665"/>
    <n v="0.1"/>
    <x v="14"/>
    <n v="180"/>
    <n v="479700"/>
    <n v="431730"/>
    <n v="111930"/>
    <x v="1"/>
    <x v="3"/>
    <x v="2"/>
  </r>
  <r>
    <s v="ORD-CND-SMB-20141101"/>
    <s v="{&quot;type&quot;: &quot;buyerDetails&quot;, &quot;info&quot;: [&quot;origin&quot;: &quot;Canada&quot;, &quot;segment&quot;: &quot;Small Business&quot;, &quot;date&quot;: &quot;1&quot;, &quot;month&quot;: &quot;11&quot;, &quot;year&quot;: &quot;2014&quot;, &quot;units&quot;: &quot;1366&quot;]}"/>
    <x v="4"/>
    <x v="1"/>
    <x v="0"/>
    <n v="1366"/>
    <n v="0.11"/>
    <x v="14"/>
    <n v="20"/>
    <n v="27320"/>
    <n v="24314.799999999999"/>
    <n v="10654.8"/>
    <x v="1"/>
    <x v="3"/>
    <x v="2"/>
  </r>
  <r>
    <s v="ORD-CND-GOV-20141101"/>
    <s v="{&quot;type&quot;: &quot;buyerDetails&quot;, &quot;info&quot;: [&quot;origin&quot;: &quot;Canada&quot;, &quot;segment&quot;: &quot;Government&quot;, &quot;date&quot;: &quot;1&quot;, &quot;month&quot;: &quot;11&quot;, &quot;year&quot;: &quot;2014&quot;, &quot;units&quot;: &quot;1808&quot;]}"/>
    <x v="4"/>
    <x v="2"/>
    <x v="5"/>
    <n v="1808"/>
    <n v="0.11"/>
    <x v="14"/>
    <n v="180"/>
    <n v="325440"/>
    <n v="289641.59999999998"/>
    <n v="72681.599999999977"/>
    <x v="1"/>
    <x v="3"/>
    <x v="2"/>
  </r>
  <r>
    <s v="ORD-MXC-GOV-20141101"/>
    <s v="{&quot;type&quot;: &quot;buyerDetails&quot;, &quot;info&quot;: [&quot;origin&quot;: &quot;Mexico&quot;, &quot;segment&quot;: &quot;Government&quot;, &quot;date&quot;: &quot;1&quot;, &quot;month&quot;: &quot;11&quot;, &quot;year&quot;: &quot;2014&quot;, &quot;units&quot;: &quot;1197&quot;]}"/>
    <x v="1"/>
    <x v="2"/>
    <x v="0"/>
    <n v="1197"/>
    <n v="0.12"/>
    <x v="14"/>
    <n v="20"/>
    <n v="23940"/>
    <n v="21067.200000000001"/>
    <n v="9097.2000000000007"/>
    <x v="1"/>
    <x v="3"/>
    <x v="2"/>
  </r>
  <r>
    <s v="ORD-GER-SMB-20141101"/>
    <s v="{&quot;type&quot;: &quot;buyerDetails&quot;, &quot;info&quot;: [&quot;origin&quot;: &quot;Germany&quot;, &quot;segment&quot;: &quot;Small Business&quot;, &quot;date&quot;: &quot;1&quot;, &quot;month&quot;: &quot;11&quot;, &quot;year&quot;: &quot;2014&quot;, &quot;units&quot;: &quot;1359&quot;]}"/>
    <x v="3"/>
    <x v="1"/>
    <x v="0"/>
    <n v="1359"/>
    <n v="0.12"/>
    <x v="14"/>
    <n v="20"/>
    <n v="27180"/>
    <n v="23918.400000000001"/>
    <n v="10328.400000000001"/>
    <x v="1"/>
    <x v="3"/>
    <x v="2"/>
  </r>
  <r>
    <s v="ORD-FRA-GOV-20141101"/>
    <s v="{&quot;type&quot;: &quot;buyerDetails&quot;, &quot;info&quot;: [&quot;origin&quot;: &quot;France&quot;, &quot;segment&quot;: &quot;Government&quot;, &quot;date&quot;: &quot;1&quot;, &quot;month&quot;: &quot;11&quot;, &quot;year&quot;: &quot;2014&quot;, &quot;units&quot;: &quot;1594&quot;]}"/>
    <x v="0"/>
    <x v="2"/>
    <x v="0"/>
    <n v="1594"/>
    <n v="0.12"/>
    <x v="14"/>
    <n v="20"/>
    <n v="31880"/>
    <n v="28054.400000000001"/>
    <n v="12114.400000000001"/>
    <x v="1"/>
    <x v="3"/>
    <x v="2"/>
  </r>
  <r>
    <s v="ORD-MXC-SMB-20141101"/>
    <s v="{&quot;type&quot;: &quot;buyerDetails&quot;, &quot;info&quot;: [&quot;origin&quot;: &quot;Mexico&quot;, &quot;segment&quot;: &quot;Small Business&quot;, &quot;date&quot;: &quot;1&quot;, &quot;month&quot;: &quot;11&quot;, &quot;year&quot;: &quot;2014&quot;, &quot;units&quot;: &quot;2150&quot;]}"/>
    <x v="1"/>
    <x v="1"/>
    <x v="0"/>
    <n v="2150"/>
    <n v="0.12"/>
    <x v="14"/>
    <n v="20"/>
    <n v="43000"/>
    <n v="37840"/>
    <n v="16340"/>
    <x v="1"/>
    <x v="3"/>
    <x v="2"/>
  </r>
  <r>
    <s v="ORD-USA-ENT-20141101"/>
    <s v="{&quot;type&quot;: &quot;buyerDetails&quot;, &quot;info&quot;: [&quot;origin&quot;: &quot;United States of America&quot;, &quot;segment&quot;: &quot;Enterprise&quot;, &quot;date&quot;: &quot;1&quot;, &quot;month&quot;: &quot;11&quot;, &quot;year&quot;: &quot;2014&quot;, &quot;units&quot;: &quot;2387&quot;]}"/>
    <x v="2"/>
    <x v="3"/>
    <x v="1"/>
    <n v="2387"/>
    <n v="0.12"/>
    <x v="14"/>
    <n v="300"/>
    <n v="716100"/>
    <n v="630168"/>
    <n v="33418"/>
    <x v="1"/>
    <x v="3"/>
    <x v="2"/>
  </r>
  <r>
    <s v="ORD-CND-MDM-20141101"/>
    <s v="{&quot;type&quot;: &quot;buyerDetails&quot;, &quot;info&quot;: [&quot;origin&quot;: &quot;Canada&quot;, &quot;segment&quot;: &quot;Midmarket&quot;, &quot;date&quot;: &quot;1&quot;, &quot;month&quot;: &quot;11&quot;, &quot;year&quot;: &quot;2014&quot;, &quot;units&quot;: &quot;2689&quot;]}"/>
    <x v="4"/>
    <x v="0"/>
    <x v="2"/>
    <n v="2689"/>
    <n v="0.12"/>
    <x v="14"/>
    <n v="20"/>
    <n v="53780"/>
    <n v="47326.400000000001"/>
    <n v="39259.4"/>
    <x v="1"/>
    <x v="3"/>
    <x v="2"/>
  </r>
  <r>
    <s v="ORD-GER-GOV-20141101"/>
    <s v="{&quot;type&quot;: &quot;buyerDetails&quot;, &quot;info&quot;: [&quot;origin&quot;: &quot;Germany&quot;, &quot;segment&quot;: &quot;Government&quot;, &quot;date&quot;: &quot;1&quot;, &quot;month&quot;: &quot;11&quot;, &quot;year&quot;: &quot;2014&quot;, &quot;units&quot;: &quot;357&quot;]}"/>
    <x v="3"/>
    <x v="2"/>
    <x v="0"/>
    <n v="357"/>
    <n v="0.13"/>
    <x v="14"/>
    <n v="20"/>
    <n v="7140"/>
    <n v="6211.8"/>
    <n v="2641.8"/>
    <x v="1"/>
    <x v="3"/>
    <x v="2"/>
  </r>
  <r>
    <s v="ORD-CND-GOV-20141101"/>
    <s v="{&quot;type&quot;: &quot;buyerDetails&quot;, &quot;info&quot;: [&quot;origin&quot;: &quot;Canada&quot;, &quot;segment&quot;: &quot;Government&quot;, &quot;date&quot;: &quot;1&quot;, &quot;month&quot;: &quot;11&quot;, &quot;year&quot;: &quot;2014&quot;, &quot;units&quot;: &quot;700&quot;]}"/>
    <x v="4"/>
    <x v="2"/>
    <x v="0"/>
    <n v="700"/>
    <n v="0.14000000000000001"/>
    <x v="14"/>
    <n v="20"/>
    <n v="14000"/>
    <n v="12040"/>
    <n v="5040"/>
    <x v="1"/>
    <x v="3"/>
    <x v="2"/>
  </r>
  <r>
    <s v="ORD-USA-GOV-20141101"/>
    <s v="{&quot;type&quot;: &quot;buyerDetails&quot;, &quot;info&quot;: [&quot;origin&quot;: &quot;United States of America&quot;, &quot;segment&quot;: &quot;Government&quot;, &quot;date&quot;: &quot;1&quot;, &quot;month&quot;: &quot;11&quot;, &quot;year&quot;: &quot;2014&quot;, &quot;units&quot;: &quot;1177&quot;]}"/>
    <x v="2"/>
    <x v="2"/>
    <x v="0"/>
    <n v="1177"/>
    <n v="0.14000000000000001"/>
    <x v="14"/>
    <n v="20"/>
    <n v="23540"/>
    <n v="20244.400000000001"/>
    <n v="8474.4000000000015"/>
    <x v="1"/>
    <x v="3"/>
    <x v="2"/>
  </r>
  <r>
    <s v="ORD-GER-MDM-20141101"/>
    <s v="{&quot;type&quot;: &quot;buyerDetails&quot;, &quot;info&quot;: [&quot;origin&quot;: &quot;Germany&quot;, &quot;segment&quot;: &quot;Midmarket&quot;, &quot;date&quot;: &quot;1&quot;, &quot;month&quot;: &quot;11&quot;, &quot;year&quot;: &quot;2014&quot;, &quot;units&quot;: &quot;1513&quot;]}"/>
    <x v="3"/>
    <x v="0"/>
    <x v="2"/>
    <n v="1513"/>
    <n v="0.14000000000000001"/>
    <x v="14"/>
    <n v="20"/>
    <n v="30260"/>
    <n v="26023.599999999999"/>
    <n v="21484.6"/>
    <x v="1"/>
    <x v="3"/>
    <x v="2"/>
  </r>
  <r>
    <s v="ORD-GER-ENT-20141101"/>
    <s v="{&quot;type&quot;: &quot;buyerDetails&quot;, &quot;info&quot;: [&quot;origin&quot;: &quot;Germany&quot;, &quot;segment&quot;: &quot;Enterprise&quot;, &quot;date&quot;: &quot;1&quot;, &quot;month&quot;: &quot;11&quot;, &quot;year&quot;: &quot;2014&quot;, &quot;units&quot;: &quot;552&quot;]}"/>
    <x v="3"/>
    <x v="3"/>
    <x v="1"/>
    <n v="552"/>
    <n v="0.15"/>
    <x v="14"/>
    <n v="300"/>
    <n v="165600"/>
    <n v="140760"/>
    <n v="2760"/>
    <x v="1"/>
    <x v="3"/>
    <x v="2"/>
  </r>
  <r>
    <s v="ORD-USA-MDM-20141201"/>
    <s v="{&quot;type&quot;: &quot;buyerDetails&quot;, &quot;info&quot;: [&quot;origin&quot;: &quot;United States of America&quot;, &quot;segment&quot;: &quot;Midmarket&quot;, &quot;date&quot;: &quot;1&quot;, &quot;month&quot;: &quot;12&quot;, &quot;year&quot;: &quot;2014&quot;, &quot;units&quot;: &quot;615&quot;]}"/>
    <x v="2"/>
    <x v="0"/>
    <x v="3"/>
    <n v="615"/>
    <n v="0"/>
    <x v="15"/>
    <n v="15"/>
    <n v="9225"/>
    <n v="9225"/>
    <n v="6150"/>
    <x v="1"/>
    <x v="0"/>
    <x v="3"/>
  </r>
  <r>
    <s v="ORD-GER-GOV-20141201"/>
    <s v="{&quot;type&quot;: &quot;buyerDetails&quot;, &quot;info&quot;: [&quot;origin&quot;: &quot;Germany&quot;, &quot;segment&quot;: &quot;Government&quot;, &quot;date&quot;: &quot;1&quot;, &quot;month&quot;: &quot;12&quot;, &quot;year&quot;: &quot;2014&quot;, &quot;units&quot;: &quot;1513&quot;]}"/>
    <x v="3"/>
    <x v="2"/>
    <x v="0"/>
    <n v="1513"/>
    <n v="0"/>
    <x v="15"/>
    <n v="20"/>
    <n v="30260"/>
    <n v="30260"/>
    <n v="15130"/>
    <x v="1"/>
    <x v="0"/>
    <x v="3"/>
  </r>
  <r>
    <s v="ORD-CND-GOV-20141201"/>
    <s v="{&quot;type&quot;: &quot;buyerDetails&quot;, &quot;info&quot;: [&quot;origin&quot;: &quot;Canada&quot;, &quot;segment&quot;: &quot;Government&quot;, &quot;date&quot;: &quot;1&quot;, &quot;month&quot;: &quot;12&quot;, &quot;year&quot;: &quot;2014&quot;, &quot;units&quot;: &quot;1817&quot;]}"/>
    <x v="4"/>
    <x v="2"/>
    <x v="0"/>
    <n v="1817"/>
    <n v="0"/>
    <x v="15"/>
    <n v="20"/>
    <n v="36340"/>
    <n v="36340"/>
    <n v="18170"/>
    <x v="1"/>
    <x v="0"/>
    <x v="3"/>
  </r>
  <r>
    <s v="ORD-GER-GOV-20141201"/>
    <s v="{&quot;type&quot;: &quot;buyerDetails&quot;, &quot;info&quot;: [&quot;origin&quot;: &quot;Germany&quot;, &quot;segment&quot;: &quot;Government&quot;, &quot;date&quot;: &quot;1&quot;, &quot;month&quot;: &quot;12&quot;, &quot;year&quot;: &quot;2014&quot;, &quot;units&quot;: &quot;1513&quot;]}"/>
    <x v="3"/>
    <x v="2"/>
    <x v="2"/>
    <n v="1513"/>
    <n v="0"/>
    <x v="15"/>
    <n v="20"/>
    <n v="30260"/>
    <n v="30260"/>
    <n v="25721"/>
    <x v="1"/>
    <x v="0"/>
    <x v="3"/>
  </r>
  <r>
    <s v="ORD-CND-GOV-20141201"/>
    <s v="{&quot;type&quot;: &quot;buyerDetails&quot;, &quot;info&quot;: [&quot;origin&quot;: &quot;Canada&quot;, &quot;segment&quot;: &quot;Government&quot;, &quot;date&quot;: &quot;1&quot;, &quot;month&quot;: &quot;12&quot;, &quot;year&quot;: &quot;2014&quot;, &quot;units&quot;: &quot;1817&quot;]}"/>
    <x v="4"/>
    <x v="2"/>
    <x v="1"/>
    <n v="1817"/>
    <n v="0"/>
    <x v="15"/>
    <n v="300"/>
    <n v="545100"/>
    <n v="545100"/>
    <n v="90850"/>
    <x v="1"/>
    <x v="0"/>
    <x v="3"/>
  </r>
  <r>
    <s v="ORD-USA-MDM-20141201"/>
    <s v="{&quot;type&quot;: &quot;buyerDetails&quot;, &quot;info&quot;: [&quot;origin&quot;: &quot;United States of America&quot;, &quot;segment&quot;: &quot;Midmarket&quot;, &quot;date&quot;: &quot;1&quot;, &quot;month&quot;: &quot;12&quot;, &quot;year&quot;: &quot;2014&quot;, &quot;units&quot;: &quot;615&quot;]}"/>
    <x v="2"/>
    <x v="0"/>
    <x v="4"/>
    <n v="615"/>
    <n v="0"/>
    <x v="15"/>
    <n v="350"/>
    <n v="215250"/>
    <n v="215250"/>
    <n v="92250"/>
    <x v="1"/>
    <x v="0"/>
    <x v="3"/>
  </r>
  <r>
    <s v="ORD-FRA-GOV-20141201"/>
    <s v="{&quot;type&quot;: &quot;buyerDetails&quot;, &quot;info&quot;: [&quot;origin&quot;: &quot;France&quot;, &quot;segment&quot;: &quot;Government&quot;, &quot;date&quot;: &quot;1&quot;, &quot;month&quot;: &quot;12&quot;, &quot;year&quot;: &quot;2014&quot;, &quot;units&quot;: &quot;2155&quot;]}"/>
    <x v="0"/>
    <x v="2"/>
    <x v="0"/>
    <n v="2155"/>
    <n v="0.01"/>
    <x v="15"/>
    <n v="20"/>
    <n v="43100"/>
    <n v="42669"/>
    <n v="21119"/>
    <x v="1"/>
    <x v="1"/>
    <x v="3"/>
  </r>
  <r>
    <s v="ORD-FRA-GOV-20141201"/>
    <s v="{&quot;type&quot;: &quot;buyerDetails&quot;, &quot;info&quot;: [&quot;origin&quot;: &quot;France&quot;, &quot;segment&quot;: &quot;Government&quot;, &quot;date&quot;: &quot;1&quot;, &quot;month&quot;: &quot;12&quot;, &quot;year&quot;: &quot;2014&quot;, &quot;units&quot;: &quot;2155&quot;]}"/>
    <x v="0"/>
    <x v="2"/>
    <x v="2"/>
    <n v="2155"/>
    <n v="0.01"/>
    <x v="15"/>
    <n v="20"/>
    <n v="43100"/>
    <n v="42669"/>
    <n v="36204"/>
    <x v="1"/>
    <x v="1"/>
    <x v="3"/>
  </r>
  <r>
    <s v="ORD-FRA-CPR-20141201"/>
    <s v="{&quot;type&quot;: &quot;buyerDetails&quot;, &quot;info&quot;: [&quot;origin&quot;: &quot;France&quot;, &quot;segment&quot;: &quot;Channel Partners&quot;, &quot;date&quot;: &quot;1&quot;, &quot;month&quot;: &quot;12&quot;, &quot;year&quot;: &quot;2014&quot;, &quot;units&quot;: &quot;1055&quot;]}"/>
    <x v="0"/>
    <x v="4"/>
    <x v="0"/>
    <n v="1055"/>
    <n v="0.02"/>
    <x v="15"/>
    <n v="20"/>
    <n v="21100"/>
    <n v="20678"/>
    <n v="10128"/>
    <x v="1"/>
    <x v="1"/>
    <x v="3"/>
  </r>
  <r>
    <s v="ORD-MXC-CPR-20141201"/>
    <s v="{&quot;type&quot;: &quot;buyerDetails&quot;, &quot;info&quot;: [&quot;origin&quot;: &quot;Mexico&quot;, &quot;segment&quot;: &quot;Channel Partners&quot;, &quot;date&quot;: &quot;1&quot;, &quot;month&quot;: &quot;12&quot;, &quot;year&quot;: &quot;2014&quot;, &quot;units&quot;: &quot;1084&quot;]}"/>
    <x v="1"/>
    <x v="4"/>
    <x v="0"/>
    <n v="1084"/>
    <n v="0.02"/>
    <x v="15"/>
    <n v="20"/>
    <n v="21680"/>
    <n v="21246.399999999998"/>
    <n v="10406.399999999998"/>
    <x v="1"/>
    <x v="1"/>
    <x v="3"/>
  </r>
  <r>
    <s v="ORD-CND-SMB-20141201"/>
    <s v="{&quot;type&quot;: &quot;buyerDetails&quot;, &quot;info&quot;: [&quot;origin&quot;: &quot;Canada&quot;, &quot;segment&quot;: &quot;Small Business&quot;, &quot;date&quot;: &quot;1&quot;, &quot;month&quot;: &quot;12&quot;, &quot;year&quot;: &quot;2014&quot;, &quot;units&quot;: &quot;1916&quot;]}"/>
    <x v="4"/>
    <x v="1"/>
    <x v="0"/>
    <n v="1916"/>
    <n v="0.02"/>
    <x v="15"/>
    <n v="20"/>
    <n v="38320"/>
    <n v="37553.599999999999"/>
    <n v="18393.599999999999"/>
    <x v="1"/>
    <x v="1"/>
    <x v="3"/>
  </r>
  <r>
    <s v="ORD-CND-ENT-20141201"/>
    <s v="{&quot;type&quot;: &quot;buyerDetails&quot;, &quot;info&quot;: [&quot;origin&quot;: &quot;Canada&quot;, &quot;segment&quot;: &quot;Enterprise&quot;, &quot;date&quot;: &quot;1&quot;, &quot;month&quot;: &quot;12&quot;, &quot;year&quot;: &quot;2014&quot;, &quot;units&quot;: &quot;2729&quot;]}"/>
    <x v="4"/>
    <x v="3"/>
    <x v="0"/>
    <n v="2729"/>
    <n v="0.02"/>
    <x v="15"/>
    <n v="20"/>
    <n v="54580"/>
    <n v="53488.4"/>
    <n v="26198.400000000001"/>
    <x v="1"/>
    <x v="1"/>
    <x v="3"/>
  </r>
  <r>
    <s v="ORD-CND-GOV-20141201"/>
    <s v="{&quot;type&quot;: &quot;buyerDetails&quot;, &quot;info&quot;: [&quot;origin&quot;: &quot;Canada&quot;, &quot;segment&quot;: &quot;Government&quot;, &quot;date&quot;: &quot;1&quot;, &quot;month&quot;: &quot;12&quot;, &quot;year&quot;: &quot;2014&quot;, &quot;units&quot;: &quot;2852&quot;]}"/>
    <x v="4"/>
    <x v="2"/>
    <x v="0"/>
    <n v="2852"/>
    <n v="0.02"/>
    <x v="15"/>
    <n v="20"/>
    <n v="57040"/>
    <n v="55899.199999999997"/>
    <n v="27379.199999999997"/>
    <x v="1"/>
    <x v="1"/>
    <x v="3"/>
  </r>
  <r>
    <s v="ORD-CND-GOV-20141201"/>
    <s v="{&quot;type&quot;: &quot;buyerDetails&quot;, &quot;info&quot;: [&quot;origin&quot;: &quot;Canada&quot;, &quot;segment&quot;: &quot;Government&quot;, &quot;date&quot;: &quot;1&quot;, &quot;month&quot;: &quot;12&quot;, &quot;year&quot;: &quot;2014&quot;, &quot;units&quot;: &quot;2852&quot;]}"/>
    <x v="4"/>
    <x v="2"/>
    <x v="2"/>
    <n v="2852"/>
    <n v="0.02"/>
    <x v="15"/>
    <n v="20"/>
    <n v="57040"/>
    <n v="55899.199999999997"/>
    <n v="47343.199999999997"/>
    <x v="1"/>
    <x v="1"/>
    <x v="3"/>
  </r>
  <r>
    <s v="ORD-FRA-CPR-20141201"/>
    <s v="{&quot;type&quot;: &quot;buyerDetails&quot;, &quot;info&quot;: [&quot;origin&quot;: &quot;France&quot;, &quot;segment&quot;: &quot;Channel Partners&quot;, &quot;date&quot;: &quot;1&quot;, &quot;month&quot;: &quot;12&quot;, &quot;year&quot;: &quot;2014&quot;, &quot;units&quot;: &quot;1055&quot;]}"/>
    <x v="0"/>
    <x v="4"/>
    <x v="5"/>
    <n v="1055"/>
    <n v="0.02"/>
    <x v="15"/>
    <n v="180"/>
    <n v="189900"/>
    <n v="186102"/>
    <n v="59502"/>
    <x v="1"/>
    <x v="1"/>
    <x v="3"/>
  </r>
  <r>
    <s v="ORD-MXC-CPR-20141201"/>
    <s v="{&quot;type&quot;: &quot;buyerDetails&quot;, &quot;info&quot;: [&quot;origin&quot;: &quot;Mexico&quot;, &quot;segment&quot;: &quot;Channel Partners&quot;, &quot;date&quot;: &quot;1&quot;, &quot;month&quot;: &quot;12&quot;, &quot;year&quot;: &quot;2014&quot;, &quot;units&quot;: &quot;1084&quot;]}"/>
    <x v="1"/>
    <x v="4"/>
    <x v="5"/>
    <n v="1084"/>
    <n v="0.02"/>
    <x v="15"/>
    <n v="180"/>
    <n v="195120"/>
    <n v="191217.6"/>
    <n v="61137.600000000006"/>
    <x v="1"/>
    <x v="1"/>
    <x v="3"/>
  </r>
  <r>
    <s v="ORD-CND-ENT-20141201"/>
    <s v="{&quot;type&quot;: &quot;buyerDetails&quot;, &quot;info&quot;: [&quot;origin&quot;: &quot;Canada&quot;, &quot;segment&quot;: &quot;Enterprise&quot;, &quot;date&quot;: &quot;1&quot;, &quot;month&quot;: &quot;12&quot;, &quot;year&quot;: &quot;2014&quot;, &quot;units&quot;: &quot;2729&quot;]}"/>
    <x v="4"/>
    <x v="3"/>
    <x v="1"/>
    <n v="2729"/>
    <n v="0.02"/>
    <x v="15"/>
    <n v="300"/>
    <n v="818700"/>
    <n v="802326"/>
    <n v="120076"/>
    <x v="1"/>
    <x v="1"/>
    <x v="3"/>
  </r>
  <r>
    <s v="ORD-CND-SMB-20141201"/>
    <s v="{&quot;type&quot;: &quot;buyerDetails&quot;, &quot;info&quot;: [&quot;origin&quot;: &quot;Canada&quot;, &quot;segment&quot;: &quot;Small Business&quot;, &quot;date&quot;: &quot;1&quot;, &quot;month&quot;: &quot;12&quot;, &quot;year&quot;: &quot;2014&quot;, &quot;units&quot;: &quot;1916&quot;]}"/>
    <x v="4"/>
    <x v="1"/>
    <x v="4"/>
    <n v="1916"/>
    <n v="0.02"/>
    <x v="15"/>
    <n v="350"/>
    <n v="670600"/>
    <n v="657188"/>
    <n v="273988"/>
    <x v="1"/>
    <x v="1"/>
    <x v="3"/>
  </r>
  <r>
    <s v="ORD-FRA-ENT-20141201"/>
    <s v="{&quot;type&quot;: &quot;buyerDetails&quot;, &quot;info&quot;: [&quot;origin&quot;: &quot;France&quot;, &quot;segment&quot;: &quot;Enterprise&quot;, &quot;date&quot;: &quot;1&quot;, &quot;month&quot;: &quot;12&quot;, &quot;year&quot;: &quot;2014&quot;, &quot;units&quot;: &quot;1287&quot;]}"/>
    <x v="0"/>
    <x v="3"/>
    <x v="0"/>
    <n v="1287"/>
    <n v="0.03"/>
    <x v="15"/>
    <n v="20"/>
    <n v="25740"/>
    <n v="24967.8"/>
    <n v="12097.8"/>
    <x v="1"/>
    <x v="1"/>
    <x v="3"/>
  </r>
  <r>
    <s v="ORD-FRA-ENT-20141201"/>
    <s v="{&quot;type&quot;: &quot;buyerDetails&quot;, &quot;info&quot;: [&quot;origin&quot;: &quot;France&quot;, &quot;segment&quot;: &quot;Enterprise&quot;, &quot;date&quot;: &quot;1&quot;, &quot;month&quot;: &quot;12&quot;, &quot;year&quot;: &quot;2014&quot;, &quot;units&quot;: &quot;1287&quot;]}"/>
    <x v="0"/>
    <x v="3"/>
    <x v="3"/>
    <n v="1287"/>
    <n v="0.03"/>
    <x v="15"/>
    <n v="15"/>
    <n v="19305"/>
    <n v="18725.849999999999"/>
    <n v="12290.849999999999"/>
    <x v="1"/>
    <x v="1"/>
    <x v="3"/>
  </r>
  <r>
    <s v="ORD-GER-ENT-20141201"/>
    <s v="{&quot;type&quot;: &quot;buyerDetails&quot;, &quot;info&quot;: [&quot;origin&quot;: &quot;Germany&quot;, &quot;segment&quot;: &quot;Enterprise&quot;, &quot;date&quot;: &quot;1&quot;, &quot;month&quot;: &quot;12&quot;, &quot;year&quot;: &quot;2014&quot;, &quot;units&quot;: &quot;1706&quot;]}"/>
    <x v="3"/>
    <x v="3"/>
    <x v="0"/>
    <n v="1706"/>
    <n v="0.03"/>
    <x v="15"/>
    <n v="20"/>
    <n v="34120"/>
    <n v="33096.400000000001"/>
    <n v="16036.400000000001"/>
    <x v="1"/>
    <x v="1"/>
    <x v="3"/>
  </r>
  <r>
    <s v="ORD-GER-ENT-20141201"/>
    <s v="{&quot;type&quot;: &quot;buyerDetails&quot;, &quot;info&quot;: [&quot;origin&quot;: &quot;Germany&quot;, &quot;segment&quot;: &quot;Enterprise&quot;, &quot;date&quot;: &quot;1&quot;, &quot;month&quot;: &quot;12&quot;, &quot;year&quot;: &quot;2014&quot;, &quot;units&quot;: &quot;1706&quot;]}"/>
    <x v="3"/>
    <x v="3"/>
    <x v="3"/>
    <n v="1706"/>
    <n v="0.03"/>
    <x v="15"/>
    <n v="15"/>
    <n v="25590"/>
    <n v="24822.3"/>
    <n v="16292.3"/>
    <x v="1"/>
    <x v="1"/>
    <x v="3"/>
  </r>
  <r>
    <s v="ORD-USA-GOV-20141201"/>
    <s v="{&quot;type&quot;: &quot;buyerDetails&quot;, &quot;info&quot;: [&quot;origin&quot;: &quot;United States of America&quot;, &quot;segment&quot;: &quot;Government&quot;, &quot;date&quot;: &quot;1&quot;, &quot;month&quot;: &quot;12&quot;, &quot;year&quot;: &quot;2014&quot;, &quot;units&quot;: &quot;274&quot;]}"/>
    <x v="2"/>
    <x v="2"/>
    <x v="0"/>
    <n v="274"/>
    <n v="0.04"/>
    <x v="15"/>
    <n v="20"/>
    <n v="5480"/>
    <n v="5260.8"/>
    <n v="2520.8000000000002"/>
    <x v="1"/>
    <x v="1"/>
    <x v="3"/>
  </r>
  <r>
    <s v="ORD-USA-GOV-20141201"/>
    <s v="{&quot;type&quot;: &quot;buyerDetails&quot;, &quot;info&quot;: [&quot;origin&quot;: &quot;United States of America&quot;, &quot;segment&quot;: &quot;Government&quot;, &quot;date&quot;: &quot;1&quot;, &quot;month&quot;: &quot;12&quot;, &quot;year&quot;: &quot;2014&quot;, &quot;units&quot;: &quot;274&quot;]}"/>
    <x v="2"/>
    <x v="2"/>
    <x v="2"/>
    <n v="274"/>
    <n v="0.04"/>
    <x v="15"/>
    <n v="20"/>
    <n v="5480"/>
    <n v="5260.8"/>
    <n v="4438.8"/>
    <x v="1"/>
    <x v="1"/>
    <x v="3"/>
  </r>
  <r>
    <s v="ORD-MXC-ENT-20141201"/>
    <s v="{&quot;type&quot;: &quot;buyerDetails&quot;, &quot;info&quot;: [&quot;origin&quot;: &quot;Mexico&quot;, &quot;segment&quot;: &quot;Enterprise&quot;, &quot;date&quot;: &quot;1&quot;, &quot;month&quot;: &quot;12&quot;, &quot;year&quot;: &quot;2014&quot;, &quot;units&quot;: &quot;1138&quot;]}"/>
    <x v="1"/>
    <x v="3"/>
    <x v="0"/>
    <n v="1138"/>
    <n v="0.04"/>
    <x v="15"/>
    <n v="20"/>
    <n v="22760"/>
    <n v="21849.599999999999"/>
    <n v="10469.599999999999"/>
    <x v="1"/>
    <x v="1"/>
    <x v="3"/>
  </r>
  <r>
    <s v="ORD-MXC-ENT-20141201"/>
    <s v="{&quot;type&quot;: &quot;buyerDetails&quot;, &quot;info&quot;: [&quot;origin&quot;: &quot;Mexico&quot;, &quot;segment&quot;: &quot;Enterprise&quot;, &quot;date&quot;: &quot;1&quot;, &quot;month&quot;: &quot;12&quot;, &quot;year&quot;: &quot;2014&quot;, &quot;units&quot;: &quot;1138&quot;]}"/>
    <x v="1"/>
    <x v="3"/>
    <x v="3"/>
    <n v="1138"/>
    <n v="0.04"/>
    <x v="15"/>
    <n v="15"/>
    <n v="17070"/>
    <n v="16387.2"/>
    <n v="10697.2"/>
    <x v="1"/>
    <x v="1"/>
    <x v="3"/>
  </r>
  <r>
    <s v="ORD-CND-CPR-20141201"/>
    <s v="{&quot;type&quot;: &quot;buyerDetails&quot;, &quot;info&quot;: [&quot;origin&quot;: &quot;Canada&quot;, &quot;segment&quot;: &quot;Channel Partners&quot;, &quot;date&quot;: &quot;1&quot;, &quot;month&quot;: &quot;12&quot;, &quot;year&quot;: &quot;2014&quot;, &quot;units&quot;: &quot;2431&quot;]}"/>
    <x v="4"/>
    <x v="4"/>
    <x v="0"/>
    <n v="2431"/>
    <n v="4.9999999999999996E-2"/>
    <x v="15"/>
    <n v="20"/>
    <n v="48620"/>
    <n v="46189"/>
    <n v="21879"/>
    <x v="1"/>
    <x v="2"/>
    <x v="3"/>
  </r>
  <r>
    <s v="ORD-CND-CPR-20141201"/>
    <s v="{&quot;type&quot;: &quot;buyerDetails&quot;, &quot;info&quot;: [&quot;origin&quot;: &quot;Canada&quot;, &quot;segment&quot;: &quot;Channel Partners&quot;, &quot;date&quot;: &quot;1&quot;, &quot;month&quot;: &quot;12&quot;, &quot;year&quot;: &quot;2014&quot;, &quot;units&quot;: &quot;2431&quot;]}"/>
    <x v="4"/>
    <x v="4"/>
    <x v="5"/>
    <n v="2431"/>
    <n v="4.9999999999999996E-2"/>
    <x v="15"/>
    <n v="180"/>
    <n v="437580"/>
    <n v="415701"/>
    <n v="123981"/>
    <x v="1"/>
    <x v="2"/>
    <x v="3"/>
  </r>
  <r>
    <s v="ORD-USA-GOV-20141201"/>
    <s v="{&quot;type&quot;: &quot;buyerDetails&quot;, &quot;info&quot;: [&quot;origin&quot;: &quot;United States of America&quot;, &quot;segment&quot;: &quot;Government&quot;, &quot;date&quot;: &quot;1&quot;, &quot;month&quot;: &quot;12&quot;, &quot;year&quot;: &quot;2014&quot;, &quot;units&quot;: &quot;570&quot;]}"/>
    <x v="2"/>
    <x v="2"/>
    <x v="2"/>
    <n v="570"/>
    <n v="0.05"/>
    <x v="15"/>
    <n v="20"/>
    <n v="11400"/>
    <n v="10830"/>
    <n v="9120"/>
    <x v="1"/>
    <x v="2"/>
    <x v="3"/>
  </r>
  <r>
    <s v="ORD-USA-GOV-20141201"/>
    <s v="{&quot;type&quot;: &quot;buyerDetails&quot;, &quot;info&quot;: [&quot;origin&quot;: &quot;United States of America&quot;, &quot;segment&quot;: &quot;Government&quot;, &quot;date&quot;: &quot;1&quot;, &quot;month&quot;: &quot;12&quot;, &quot;year&quot;: &quot;2014&quot;, &quot;units&quot;: &quot;570&quot;]}"/>
    <x v="2"/>
    <x v="2"/>
    <x v="1"/>
    <n v="570"/>
    <n v="0.05"/>
    <x v="15"/>
    <n v="300"/>
    <n v="171000"/>
    <n v="162450"/>
    <n v="19950"/>
    <x v="1"/>
    <x v="2"/>
    <x v="3"/>
  </r>
  <r>
    <s v="ORD-USA-GOV-20141201"/>
    <s v="{&quot;type&quot;: &quot;buyerDetails&quot;, &quot;info&quot;: [&quot;origin&quot;: &quot;United States of America&quot;, &quot;segment&quot;: &quot;Government&quot;, &quot;date&quot;: &quot;1&quot;, &quot;month&quot;: &quot;12&quot;, &quot;year&quot;: &quot;2014&quot;, &quot;units&quot;: &quot;2663&quot;]}"/>
    <x v="2"/>
    <x v="2"/>
    <x v="0"/>
    <n v="2663"/>
    <n v="0.05"/>
    <x v="15"/>
    <n v="20"/>
    <n v="53260"/>
    <n v="50597"/>
    <n v="23967"/>
    <x v="1"/>
    <x v="2"/>
    <x v="3"/>
  </r>
  <r>
    <s v="ORD-FRA-GOV-20141201"/>
    <s v="{&quot;type&quot;: &quot;buyerDetails&quot;, &quot;info&quot;: [&quot;origin&quot;: &quot;France&quot;, &quot;segment&quot;: &quot;Government&quot;, &quot;date&quot;: &quot;1&quot;, &quot;month&quot;: &quot;12&quot;, &quot;year&quot;: &quot;2014&quot;, &quot;units&quot;: &quot;2487&quot;]}"/>
    <x v="0"/>
    <x v="2"/>
    <x v="2"/>
    <n v="2487"/>
    <n v="0.05"/>
    <x v="15"/>
    <n v="20"/>
    <n v="49740"/>
    <n v="47253"/>
    <n v="39792"/>
    <x v="1"/>
    <x v="2"/>
    <x v="3"/>
  </r>
  <r>
    <s v="ORD-GER-SMB-20141201"/>
    <s v="{&quot;type&quot;: &quot;buyerDetails&quot;, &quot;info&quot;: [&quot;origin&quot;: &quot;Germany&quot;, &quot;segment&quot;: &quot;Small Business&quot;, &quot;date&quot;: &quot;1&quot;, &quot;month&quot;: &quot;12&quot;, &quot;year&quot;: &quot;2014&quot;, &quot;units&quot;: &quot;1250&quot;]}"/>
    <x v="3"/>
    <x v="1"/>
    <x v="5"/>
    <n v="1250"/>
    <n v="0.05"/>
    <x v="15"/>
    <n v="180"/>
    <n v="225000"/>
    <n v="213750"/>
    <n v="63750"/>
    <x v="1"/>
    <x v="2"/>
    <x v="3"/>
  </r>
  <r>
    <s v="ORD-FRA-GOV-20141201"/>
    <s v="{&quot;type&quot;: &quot;buyerDetails&quot;, &quot;info&quot;: [&quot;origin&quot;: &quot;France&quot;, &quot;segment&quot;: &quot;Government&quot;, &quot;date&quot;: &quot;1&quot;, &quot;month&quot;: &quot;12&quot;, &quot;year&quot;: &quot;2014&quot;, &quot;units&quot;: &quot;2487&quot;]}"/>
    <x v="0"/>
    <x v="2"/>
    <x v="1"/>
    <n v="2487"/>
    <n v="0.05"/>
    <x v="15"/>
    <n v="300"/>
    <n v="746100"/>
    <n v="708795"/>
    <n v="87045"/>
    <x v="1"/>
    <x v="2"/>
    <x v="3"/>
  </r>
  <r>
    <s v="ORD-USA-GOV-20141201"/>
    <s v="{&quot;type&quot;: &quot;buyerDetails&quot;, &quot;info&quot;: [&quot;origin&quot;: &quot;United States of America&quot;, &quot;segment&quot;: &quot;Government&quot;, &quot;date&quot;: &quot;1&quot;, &quot;month&quot;: &quot;12&quot;, &quot;year&quot;: &quot;2014&quot;, &quot;units&quot;: &quot;2663&quot;]}"/>
    <x v="2"/>
    <x v="2"/>
    <x v="1"/>
    <n v="2663"/>
    <n v="0.05"/>
    <x v="15"/>
    <n v="300"/>
    <n v="798900"/>
    <n v="758955"/>
    <n v="93205"/>
    <x v="1"/>
    <x v="2"/>
    <x v="3"/>
  </r>
  <r>
    <s v="ORD-GER-SMB-20141201"/>
    <s v="{&quot;type&quot;: &quot;buyerDetails&quot;, &quot;info&quot;: [&quot;origin&quot;: &quot;Germany&quot;, &quot;segment&quot;: &quot;Small Business&quot;, &quot;date&quot;: &quot;1&quot;, &quot;month&quot;: &quot;12&quot;, &quot;year&quot;: &quot;2014&quot;, &quot;units&quot;: &quot;1250&quot;]}"/>
    <x v="3"/>
    <x v="1"/>
    <x v="4"/>
    <n v="1250"/>
    <n v="0.05"/>
    <x v="15"/>
    <n v="350"/>
    <n v="437500"/>
    <n v="415625"/>
    <n v="165625"/>
    <x v="1"/>
    <x v="2"/>
    <x v="3"/>
  </r>
  <r>
    <s v="ORD-CND-GOV-20141201"/>
    <s v="{&quot;type&quot;: &quot;buyerDetails&quot;, &quot;info&quot;: [&quot;origin&quot;: &quot;Canada&quot;, &quot;segment&quot;: &quot;Government&quot;, &quot;date&quot;: &quot;1&quot;, &quot;month&quot;: &quot;12&quot;, &quot;year&quot;: &quot;2014&quot;, &quot;units&quot;: &quot;1582&quot;]}"/>
    <x v="4"/>
    <x v="2"/>
    <x v="1"/>
    <n v="1582"/>
    <n v="6.9999999999999993E-2"/>
    <x v="15"/>
    <n v="300"/>
    <n v="474600"/>
    <n v="441378"/>
    <n v="45878"/>
    <x v="1"/>
    <x v="2"/>
    <x v="3"/>
  </r>
  <r>
    <s v="ORD-CND-GOV-20141201"/>
    <s v="{&quot;type&quot;: &quot;buyerDetails&quot;, &quot;info&quot;: [&quot;origin&quot;: &quot;Canada&quot;, &quot;segment&quot;: &quot;Government&quot;, &quot;date&quot;: &quot;1&quot;, &quot;month&quot;: &quot;12&quot;, &quot;year&quot;: &quot;2014&quot;, &quot;units&quot;: &quot;1582&quot;]}"/>
    <x v="4"/>
    <x v="2"/>
    <x v="5"/>
    <n v="1582"/>
    <n v="6.9999999999999993E-2"/>
    <x v="15"/>
    <n v="180"/>
    <n v="284760"/>
    <n v="264826.8"/>
    <n v="74986.799999999988"/>
    <x v="1"/>
    <x v="2"/>
    <x v="3"/>
  </r>
  <r>
    <s v="ORD-USA-SMB-20141201"/>
    <s v="{&quot;type&quot;: &quot;buyerDetails&quot;, &quot;info&quot;: [&quot;origin&quot;: &quot;United States of America&quot;, &quot;segment&quot;: &quot;Small Business&quot;, &quot;date&quot;: &quot;1&quot;, &quot;month&quot;: &quot;12&quot;, &quot;year&quot;: &quot;2014&quot;, &quot;units&quot;: &quot;1372&quot;]}"/>
    <x v="2"/>
    <x v="1"/>
    <x v="5"/>
    <n v="1372"/>
    <n v="7.0000000000000007E-2"/>
    <x v="15"/>
    <n v="180"/>
    <n v="246960"/>
    <n v="229672.8"/>
    <n v="65032.799999999988"/>
    <x v="1"/>
    <x v="2"/>
    <x v="3"/>
  </r>
  <r>
    <s v="ORD-USA-SMB-20141201"/>
    <s v="{&quot;type&quot;: &quot;buyerDetails&quot;, &quot;info&quot;: [&quot;origin&quot;: &quot;United States of America&quot;, &quot;segment&quot;: &quot;Small Business&quot;, &quot;date&quot;: &quot;1&quot;, &quot;month&quot;: &quot;12&quot;, &quot;year&quot;: &quot;2014&quot;, &quot;units&quot;: &quot;1372&quot;]}"/>
    <x v="2"/>
    <x v="1"/>
    <x v="4"/>
    <n v="1372"/>
    <n v="7.0000000000000007E-2"/>
    <x v="15"/>
    <n v="350"/>
    <n v="480200"/>
    <n v="446585.99999999994"/>
    <n v="172185.99999999994"/>
    <x v="1"/>
    <x v="2"/>
    <x v="3"/>
  </r>
  <r>
    <s v="ORD-GER-MDM-20141201"/>
    <s v="{&quot;type&quot;: &quot;buyerDetails&quot;, &quot;info&quot;: [&quot;origin&quot;: &quot;Germany&quot;, &quot;segment&quot;: &quot;Midmarket&quot;, &quot;date&quot;: &quot;1&quot;, &quot;month&quot;: &quot;12&quot;, &quot;year&quot;: &quot;2014&quot;, &quot;units&quot;: &quot;711&quot;]}"/>
    <x v="3"/>
    <x v="0"/>
    <x v="3"/>
    <n v="711"/>
    <n v="0.08"/>
    <x v="15"/>
    <n v="15"/>
    <n v="10665"/>
    <n v="9811.8000000000011"/>
    <n v="6256.8000000000011"/>
    <x v="1"/>
    <x v="2"/>
    <x v="3"/>
  </r>
  <r>
    <s v="ORD-MXC-GOV-20141201"/>
    <s v="{&quot;type&quot;: &quot;buyerDetails&quot;, &quot;info&quot;: [&quot;origin&quot;: &quot;Mexico&quot;, &quot;segment&quot;: &quot;Government&quot;, &quot;date&quot;: &quot;1&quot;, &quot;month&quot;: &quot;12&quot;, &quot;year&quot;: &quot;2014&quot;, &quot;units&quot;: &quot;1362&quot;]}"/>
    <x v="1"/>
    <x v="2"/>
    <x v="0"/>
    <n v="1362"/>
    <n v="0.08"/>
    <x v="15"/>
    <n v="20"/>
    <n v="27240"/>
    <n v="25060.799999999999"/>
    <n v="11440.8"/>
    <x v="1"/>
    <x v="2"/>
    <x v="3"/>
  </r>
  <r>
    <s v="ORD-MXC-GOV-20141201"/>
    <s v="{&quot;type&quot;: &quot;buyerDetails&quot;, &quot;info&quot;: [&quot;origin&quot;: &quot;Mexico&quot;, &quot;segment&quot;: &quot;Government&quot;, &quot;date&quot;: &quot;1&quot;, &quot;month&quot;: &quot;12&quot;, &quot;year&quot;: &quot;2014&quot;, &quot;units&quot;: &quot;1362&quot;]}"/>
    <x v="1"/>
    <x v="2"/>
    <x v="2"/>
    <n v="1362"/>
    <n v="0.08"/>
    <x v="15"/>
    <n v="20"/>
    <n v="27240"/>
    <n v="25060.799999999999"/>
    <n v="20974.799999999999"/>
    <x v="1"/>
    <x v="2"/>
    <x v="3"/>
  </r>
  <r>
    <s v="ORD-MXC-SMB-20141201"/>
    <s v="{&quot;type&quot;: &quot;buyerDetails&quot;, &quot;info&quot;: [&quot;origin&quot;: &quot;Mexico&quot;, &quot;segment&quot;: &quot;Small Business&quot;, &quot;date&quot;: &quot;1&quot;, &quot;month&quot;: &quot;12&quot;, &quot;year&quot;: &quot;2014&quot;, &quot;units&quot;: &quot;635&quot;]}"/>
    <x v="1"/>
    <x v="1"/>
    <x v="5"/>
    <n v="635"/>
    <n v="0.08"/>
    <x v="15"/>
    <n v="180"/>
    <n v="114300"/>
    <n v="105156"/>
    <n v="28956"/>
    <x v="1"/>
    <x v="2"/>
    <x v="3"/>
  </r>
  <r>
    <s v="ORD-MXC-SMB-20141201"/>
    <s v="{&quot;type&quot;: &quot;buyerDetails&quot;, &quot;info&quot;: [&quot;origin&quot;: &quot;Mexico&quot;, &quot;segment&quot;: &quot;Small Business&quot;, &quot;date&quot;: &quot;1&quot;, &quot;month&quot;: &quot;12&quot;, &quot;year&quot;: &quot;2014&quot;, &quot;units&quot;: &quot;635&quot;]}"/>
    <x v="1"/>
    <x v="1"/>
    <x v="4"/>
    <n v="635"/>
    <n v="0.08"/>
    <x v="15"/>
    <n v="350"/>
    <n v="222250"/>
    <n v="204470"/>
    <n v="77470"/>
    <x v="1"/>
    <x v="2"/>
    <x v="3"/>
  </r>
  <r>
    <s v="ORD-GER-MDM-20141201"/>
    <s v="{&quot;type&quot;: &quot;buyerDetails&quot;, &quot;info&quot;: [&quot;origin&quot;: &quot;Germany&quot;, &quot;segment&quot;: &quot;Midmarket&quot;, &quot;date&quot;: &quot;1&quot;, &quot;month&quot;: &quot;12&quot;, &quot;year&quot;: &quot;2014&quot;, &quot;units&quot;: &quot;711&quot;]}"/>
    <x v="3"/>
    <x v="0"/>
    <x v="4"/>
    <n v="711"/>
    <n v="0.08"/>
    <x v="15"/>
    <n v="350"/>
    <n v="248850"/>
    <n v="228942"/>
    <n v="86742"/>
    <x v="1"/>
    <x v="2"/>
    <x v="3"/>
  </r>
  <r>
    <s v="ORD-USA-ENT-20141201"/>
    <s v="{&quot;type&quot;: &quot;buyerDetails&quot;, &quot;info&quot;: [&quot;origin&quot;: &quot;United States of America&quot;, &quot;segment&quot;: &quot;Enterprise&quot;, &quot;date&quot;: &quot;1&quot;, &quot;month&quot;: &quot;12&quot;, &quot;year&quot;: &quot;2014&quot;, &quot;units&quot;: &quot;2797&quot;]}"/>
    <x v="2"/>
    <x v="3"/>
    <x v="0"/>
    <n v="2797"/>
    <n v="0.09"/>
    <x v="15"/>
    <n v="20"/>
    <n v="55940"/>
    <n v="50905.4"/>
    <n v="22935.4"/>
    <x v="1"/>
    <x v="2"/>
    <x v="3"/>
  </r>
  <r>
    <s v="ORD-USA-ENT-20141201"/>
    <s v="{&quot;type&quot;: &quot;buyerDetails&quot;, &quot;info&quot;: [&quot;origin&quot;: &quot;United States of America&quot;, &quot;segment&quot;: &quot;Enterprise&quot;, &quot;date&quot;: &quot;1&quot;, &quot;month&quot;: &quot;12&quot;, &quot;year&quot;: &quot;2014&quot;, &quot;units&quot;: &quot;2797&quot;]}"/>
    <x v="2"/>
    <x v="3"/>
    <x v="3"/>
    <n v="2797"/>
    <n v="0.09"/>
    <x v="15"/>
    <n v="15"/>
    <n v="41955"/>
    <n v="38179.050000000003"/>
    <n v="24194.050000000003"/>
    <x v="1"/>
    <x v="2"/>
    <x v="3"/>
  </r>
  <r>
    <s v="ORD-MXC-GOV-20141201"/>
    <s v="{&quot;type&quot;: &quot;buyerDetails&quot;, &quot;info&quot;: [&quot;origin&quot;: &quot;Mexico&quot;, &quot;segment&quot;: &quot;Government&quot;, &quot;date&quot;: &quot;1&quot;, &quot;month&quot;: &quot;12&quot;, &quot;year&quot;: &quot;2014&quot;, &quot;units&quot;: &quot;521&quot;]}"/>
    <x v="1"/>
    <x v="2"/>
    <x v="2"/>
    <n v="521"/>
    <n v="9.0000000000000011E-2"/>
    <x v="15"/>
    <n v="20"/>
    <n v="10420"/>
    <n v="9482.2000000000007"/>
    <n v="7919.2000000000007"/>
    <x v="1"/>
    <x v="2"/>
    <x v="3"/>
  </r>
  <r>
    <s v="ORD-MXC-GOV-20141201"/>
    <s v="{&quot;type&quot;: &quot;buyerDetails&quot;, &quot;info&quot;: [&quot;origin&quot;: &quot;Mexico&quot;, &quot;segment&quot;: &quot;Government&quot;, &quot;date&quot;: &quot;1&quot;, &quot;month&quot;: &quot;12&quot;, &quot;year&quot;: &quot;2014&quot;, &quot;units&quot;: &quot;521&quot;]}"/>
    <x v="1"/>
    <x v="2"/>
    <x v="1"/>
    <n v="521"/>
    <n v="9.0000000000000011E-2"/>
    <x v="15"/>
    <n v="300"/>
    <n v="156300"/>
    <n v="142233"/>
    <n v="11983"/>
    <x v="1"/>
    <x v="2"/>
    <x v="3"/>
  </r>
  <r>
    <s v="ORD-FRA-MDM-20141201"/>
    <s v="{&quot;type&quot;: &quot;buyerDetails&quot;, &quot;info&quot;: [&quot;origin&quot;: &quot;France&quot;, &quot;segment&quot;: &quot;Midmarket&quot;, &quot;date&quot;: &quot;1&quot;, &quot;month&quot;: &quot;12&quot;, &quot;year&quot;: &quot;2014&quot;, &quot;units&quot;: &quot;2072&quot;]}"/>
    <x v="0"/>
    <x v="0"/>
    <x v="3"/>
    <n v="2072"/>
    <n v="0.1"/>
    <x v="15"/>
    <n v="15"/>
    <n v="31080"/>
    <n v="27972"/>
    <n v="17612"/>
    <x v="1"/>
    <x v="3"/>
    <x v="3"/>
  </r>
  <r>
    <s v="ORD-FRA-SMB-20141201"/>
    <s v="{&quot;type&quot;: &quot;buyerDetails&quot;, &quot;info&quot;: [&quot;origin&quot;: &quot;France&quot;, &quot;segment&quot;: &quot;Small Business&quot;, &quot;date&quot;: &quot;1&quot;, &quot;month&quot;: &quot;12&quot;, &quot;year&quot;: &quot;2014&quot;, &quot;units&quot;: &quot;853&quot;]}"/>
    <x v="0"/>
    <x v="1"/>
    <x v="5"/>
    <n v="853"/>
    <n v="0.1"/>
    <x v="15"/>
    <n v="180"/>
    <n v="153540"/>
    <n v="138186"/>
    <n v="35826"/>
    <x v="1"/>
    <x v="3"/>
    <x v="3"/>
  </r>
  <r>
    <s v="ORD-FRA-SMB-20141201"/>
    <s v="{&quot;type&quot;: &quot;buyerDetails&quot;, &quot;info&quot;: [&quot;origin&quot;: &quot;France&quot;, &quot;segment&quot;: &quot;Small Business&quot;, &quot;date&quot;: &quot;1&quot;, &quot;month&quot;: &quot;12&quot;, &quot;year&quot;: &quot;2014&quot;, &quot;units&quot;: &quot;853&quot;]}"/>
    <x v="0"/>
    <x v="1"/>
    <x v="4"/>
    <n v="853"/>
    <n v="0.1"/>
    <x v="15"/>
    <n v="350"/>
    <n v="298550"/>
    <n v="268695"/>
    <n v="98095"/>
    <x v="1"/>
    <x v="3"/>
    <x v="3"/>
  </r>
  <r>
    <s v="ORD-FRA-MDM-20141201"/>
    <s v="{&quot;type&quot;: &quot;buyerDetails&quot;, &quot;info&quot;: [&quot;origin&quot;: &quot;France&quot;, &quot;segment&quot;: &quot;Midmarket&quot;, &quot;date&quot;: &quot;1&quot;, &quot;month&quot;: &quot;12&quot;, &quot;year&quot;: &quot;2014&quot;, &quot;units&quot;: &quot;2072&quot;]}"/>
    <x v="0"/>
    <x v="0"/>
    <x v="4"/>
    <n v="2072"/>
    <n v="0.1"/>
    <x v="15"/>
    <n v="350"/>
    <n v="725200"/>
    <n v="652680"/>
    <n v="238280"/>
    <x v="1"/>
    <x v="3"/>
    <x v="3"/>
  </r>
  <r>
    <s v="ORD-MXC-MDM-20141201"/>
    <s v="{&quot;type&quot;: &quot;buyerDetails&quot;, &quot;info&quot;: [&quot;origin&quot;: &quot;Mexico&quot;, &quot;segment&quot;: &quot;Midmarket&quot;, &quot;date&quot;: &quot;1&quot;, &quot;month&quot;: &quot;12&quot;, &quot;year&quot;: &quot;2014&quot;, &quot;units&quot;: &quot;2157&quot;]}"/>
    <x v="1"/>
    <x v="0"/>
    <x v="3"/>
    <n v="2157"/>
    <n v="0.11"/>
    <x v="15"/>
    <n v="15"/>
    <n v="32355"/>
    <n v="28795.95"/>
    <n v="18010.95"/>
    <x v="1"/>
    <x v="3"/>
    <x v="3"/>
  </r>
  <r>
    <s v="ORD-MXC-MDM-20141201"/>
    <s v="{&quot;type&quot;: &quot;buyerDetails&quot;, &quot;info&quot;: [&quot;origin&quot;: &quot;Mexico&quot;, &quot;segment&quot;: &quot;Midmarket&quot;, &quot;date&quot;: &quot;1&quot;, &quot;month&quot;: &quot;12&quot;, &quot;year&quot;: &quot;2014&quot;, &quot;units&quot;: &quot;2157&quot;]}"/>
    <x v="1"/>
    <x v="0"/>
    <x v="4"/>
    <n v="2157"/>
    <n v="0.11"/>
    <x v="15"/>
    <n v="350"/>
    <n v="754950"/>
    <n v="671905.5"/>
    <n v="240505.5"/>
    <x v="1"/>
    <x v="3"/>
    <x v="3"/>
  </r>
  <r>
    <s v="ORD-MXC-GOV-20141201"/>
    <s v="{&quot;type&quot;: &quot;buyerDetails&quot;, &quot;info&quot;: [&quot;origin&quot;: &quot;Mexico&quot;, &quot;segment&quot;: &quot;Government&quot;, &quot;date&quot;: &quot;1&quot;, &quot;month&quot;: &quot;12&quot;, &quot;year&quot;: &quot;2014&quot;, &quot;units&quot;: &quot;1233&quot;]}"/>
    <x v="1"/>
    <x v="2"/>
    <x v="0"/>
    <n v="1233"/>
    <n v="0.12"/>
    <x v="15"/>
    <n v="20"/>
    <n v="24660"/>
    <n v="21700.799999999999"/>
    <n v="9370.7999999999993"/>
    <x v="1"/>
    <x v="3"/>
    <x v="3"/>
  </r>
  <r>
    <s v="ORD-MXC-GOV-20141201"/>
    <s v="{&quot;type&quot;: &quot;buyerDetails&quot;, &quot;info&quot;: [&quot;origin&quot;: &quot;Mexico&quot;, &quot;segment&quot;: &quot;Government&quot;, &quot;date&quot;: &quot;1&quot;, &quot;month&quot;: &quot;12&quot;, &quot;year&quot;: &quot;2014&quot;, &quot;units&quot;: &quot;1233&quot;]}"/>
    <x v="1"/>
    <x v="2"/>
    <x v="1"/>
    <n v="1233"/>
    <n v="0.12"/>
    <x v="15"/>
    <n v="300"/>
    <n v="369900"/>
    <n v="325512"/>
    <n v="17262"/>
    <x v="1"/>
    <x v="3"/>
    <x v="3"/>
  </r>
  <r>
    <s v="ORD-GER-GOV-20141201"/>
    <s v="{&quot;type&quot;: &quot;buyerDetails&quot;, &quot;info&quot;: [&quot;origin&quot;: &quot;Germany&quot;, &quot;segment&quot;: &quot;Government&quot;, &quot;date&quot;: &quot;1&quot;, &quot;month&quot;: &quot;12&quot;, &quot;year&quot;: &quot;2014&quot;, &quot;units&quot;: &quot;1531&quot;]}"/>
    <x v="3"/>
    <x v="2"/>
    <x v="0"/>
    <n v="1531"/>
    <n v="0.12000000000000001"/>
    <x v="15"/>
    <n v="20"/>
    <n v="30620"/>
    <n v="26945.599999999999"/>
    <n v="11635.599999999999"/>
    <x v="1"/>
    <x v="3"/>
    <x v="3"/>
  </r>
  <r>
    <s v="ORD-GER-GOV-20141201"/>
    <s v="{&quot;type&quot;: &quot;buyerDetails&quot;, &quot;info&quot;: [&quot;origin&quot;: &quot;Germany&quot;, &quot;segment&quot;: &quot;Government&quot;, &quot;date&quot;: &quot;1&quot;, &quot;month&quot;: &quot;12&quot;, &quot;year&quot;: &quot;2014&quot;, &quot;units&quot;: &quot;1531&quot;]}"/>
    <x v="3"/>
    <x v="2"/>
    <x v="1"/>
    <n v="1531"/>
    <n v="0.12000000000000001"/>
    <x v="15"/>
    <n v="300"/>
    <n v="459300"/>
    <n v="404184"/>
    <n v="21434"/>
    <x v="1"/>
    <x v="3"/>
    <x v="3"/>
  </r>
  <r>
    <s v="ORD-GER-CPR-20141201"/>
    <s v="{&quot;type&quot;: &quot;buyerDetails&quot;, &quot;info&quot;: [&quot;origin&quot;: &quot;Germany&quot;, &quot;segment&quot;: &quot;Channel Partners&quot;, &quot;date&quot;: &quot;1&quot;, &quot;month&quot;: &quot;12&quot;, &quot;year&quot;: &quot;2014&quot;, &quot;units&quot;: &quot;1013&quot;]}"/>
    <x v="3"/>
    <x v="4"/>
    <x v="0"/>
    <n v="1013"/>
    <n v="0.13"/>
    <x v="15"/>
    <n v="20"/>
    <n v="20260"/>
    <n v="17626.2"/>
    <n v="7496.2000000000007"/>
    <x v="1"/>
    <x v="3"/>
    <x v="3"/>
  </r>
  <r>
    <s v="ORD-GER-CPR-20141201"/>
    <s v="{&quot;type&quot;: &quot;buyerDetails&quot;, &quot;info&quot;: [&quot;origin&quot;: &quot;Germany&quot;, &quot;segment&quot;: &quot;Channel Partners&quot;, &quot;date&quot;: &quot;1&quot;, &quot;month&quot;: &quot;12&quot;, &quot;year&quot;: &quot;2014&quot;, &quot;units&quot;: &quot;1013&quot;]}"/>
    <x v="3"/>
    <x v="4"/>
    <x v="5"/>
    <n v="1013"/>
    <n v="0.13"/>
    <x v="15"/>
    <n v="180"/>
    <n v="182340"/>
    <n v="158635.79999999999"/>
    <n v="37075.799999999988"/>
    <x v="1"/>
    <x v="3"/>
    <x v="3"/>
  </r>
  <r>
    <s v="ORD-GER-GOV-20141201"/>
    <s v="{&quot;type&quot;: &quot;buyerDetails&quot;, &quot;info&quot;: [&quot;origin&quot;: &quot;Germany&quot;, &quot;segment&quot;: &quot;Government&quot;, &quot;date&quot;: &quot;1&quot;, &quot;month&quot;: &quot;12&quot;, &quot;year&quot;: &quot;2014&quot;, &quot;units&quot;: &quot;280&quot;]}"/>
    <x v="3"/>
    <x v="2"/>
    <x v="1"/>
    <n v="280"/>
    <n v="0.13999999999999999"/>
    <x v="15"/>
    <n v="300"/>
    <n v="84000"/>
    <n v="72240"/>
    <n v="2240"/>
    <x v="1"/>
    <x v="3"/>
    <x v="3"/>
  </r>
  <r>
    <s v="ORD-GER-GOV-20141201"/>
    <s v="{&quot;type&quot;: &quot;buyerDetails&quot;, &quot;info&quot;: [&quot;origin&quot;: &quot;Germany&quot;, &quot;segment&quot;: &quot;Government&quot;, &quot;date&quot;: &quot;1&quot;, &quot;month&quot;: &quot;12&quot;, &quot;year&quot;: &quot;2014&quot;, &quot;units&quot;: &quot;280&quot;]}"/>
    <x v="3"/>
    <x v="2"/>
    <x v="2"/>
    <n v="280"/>
    <n v="0.13999999999999999"/>
    <x v="15"/>
    <n v="20"/>
    <n v="5600"/>
    <n v="4816"/>
    <n v="3976"/>
    <x v="1"/>
    <x v="3"/>
    <x v="3"/>
  </r>
  <r>
    <s v="ORD-CND-MDM-20141201"/>
    <s v="{&quot;type&quot;: &quot;buyerDetails&quot;, &quot;info&quot;: [&quot;origin&quot;: &quot;Canada&quot;, &quot;segment&quot;: &quot;Midmarket&quot;, &quot;date&quot;: &quot;1&quot;, &quot;month&quot;: &quot;12&quot;, &quot;year&quot;: &quot;2014&quot;, &quot;units&quot;: &quot;2300&quot;]}"/>
    <x v="4"/>
    <x v="0"/>
    <x v="3"/>
    <n v="2300"/>
    <n v="0.14000000000000001"/>
    <x v="15"/>
    <n v="15"/>
    <n v="34500"/>
    <n v="29670"/>
    <n v="18170"/>
    <x v="1"/>
    <x v="3"/>
    <x v="3"/>
  </r>
  <r>
    <s v="ORD-CND-MDM-20141201"/>
    <s v="{&quot;type&quot;: &quot;buyerDetails&quot;, &quot;info&quot;: [&quot;origin&quot;: &quot;Canada&quot;, &quot;segment&quot;: &quot;Midmarket&quot;, &quot;date&quot;: &quot;1&quot;, &quot;month&quot;: &quot;12&quot;, &quot;year&quot;: &quot;2014&quot;, &quot;units&quot;: &quot;2300&quot;]}"/>
    <x v="4"/>
    <x v="0"/>
    <x v="2"/>
    <n v="2300"/>
    <n v="0.14000000000000001"/>
    <x v="15"/>
    <n v="20"/>
    <n v="46000"/>
    <n v="39560"/>
    <n v="32660"/>
    <x v="1"/>
    <x v="3"/>
    <x v="3"/>
  </r>
  <r>
    <s v="ORD-FRA-GOV-20141201"/>
    <s v="{&quot;type&quot;: &quot;buyerDetails&quot;, &quot;info&quot;: [&quot;origin&quot;: &quot;France&quot;, &quot;segment&quot;: &quot;Government&quot;, &quot;date&quot;: &quot;1&quot;, &quot;month&quot;: &quot;12&quot;, &quot;year&quot;: &quot;2014&quot;, &quot;units&quot;: &quot;293&quot;]}"/>
    <x v="0"/>
    <x v="2"/>
    <x v="1"/>
    <n v="293"/>
    <n v="0.15"/>
    <x v="15"/>
    <n v="300"/>
    <n v="87900"/>
    <n v="74715"/>
    <n v="1465"/>
    <x v="1"/>
    <x v="3"/>
    <x v="3"/>
  </r>
  <r>
    <s v="ORD-FRA-GOV-20141201"/>
    <s v="{&quot;type&quot;: &quot;buyerDetails&quot;, &quot;info&quot;: [&quot;origin&quot;: &quot;France&quot;, &quot;segment&quot;: &quot;Government&quot;, &quot;date&quot;: &quot;1&quot;, &quot;month&quot;: &quot;12&quot;, &quot;year&quot;: &quot;2014&quot;, &quot;units&quot;: &quot;293&quot;]}"/>
    <x v="0"/>
    <x v="2"/>
    <x v="0"/>
    <n v="293"/>
    <n v="0.15"/>
    <x v="15"/>
    <n v="20"/>
    <n v="5860"/>
    <n v="4981"/>
    <n v="2051"/>
    <x v="1"/>
    <x v="3"/>
    <x v="3"/>
  </r>
  <r>
    <s v="ORD-USA-CPR-20141201"/>
    <s v="{&quot;type&quot;: &quot;buyerDetails&quot;, &quot;info&quot;: [&quot;origin&quot;: &quot;United States of America&quot;, &quot;segment&quot;: &quot;Channel Partners&quot;, &quot;date&quot;: &quot;1&quot;, &quot;month&quot;: &quot;12&quot;, &quot;year&quot;: &quot;2014&quot;, &quot;units&quot;: &quot;914&quot;]}"/>
    <x v="2"/>
    <x v="4"/>
    <x v="0"/>
    <n v="914"/>
    <n v="0.15"/>
    <x v="15"/>
    <n v="20"/>
    <n v="18280"/>
    <n v="15538"/>
    <n v="6398"/>
    <x v="1"/>
    <x v="3"/>
    <x v="3"/>
  </r>
  <r>
    <s v="ORD-USA-CPR-20141201"/>
    <s v="{&quot;type&quot;: &quot;buyerDetails&quot;, &quot;info&quot;: [&quot;origin&quot;: &quot;United States of America&quot;, &quot;segment&quot;: &quot;Channel Partners&quot;, &quot;date&quot;: &quot;1&quot;, &quot;month&quot;: &quot;12&quot;, &quot;year&quot;: &quot;2014&quot;, &quot;units&quot;: &quot;914&quot;]}"/>
    <x v="2"/>
    <x v="4"/>
    <x v="5"/>
    <n v="914"/>
    <n v="0.15"/>
    <x v="15"/>
    <n v="180"/>
    <n v="164520"/>
    <n v="139842"/>
    <n v="30162"/>
    <x v="1"/>
    <x v="3"/>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
  <r>
    <x v="0"/>
    <n v="8465149.450000003"/>
    <n v="854023"/>
    <n v="2895322"/>
    <n v="1037476"/>
    <n v="4715804.450000003"/>
    <n v="3678328.450000003"/>
  </r>
  <r>
    <x v="1"/>
    <n v="29381274.57729524"/>
    <n v="3532853"/>
    <n v="9213451"/>
    <n v="3659693"/>
    <n v="16634970.57729524"/>
    <n v="12975277.5772952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2AE71AB-C14F-4509-B63F-BD6764AD2451}" name="Discount Tier"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8">
  <location ref="A10:C14" firstHeaderRow="0" firstDataRow="1" firstDataCol="1"/>
  <pivotFields count="15">
    <pivotField compact="0" outline="0" showAll="0"/>
    <pivotField compact="0" outline="0" showAll="0"/>
    <pivotField compact="0" outline="0" showAll="0">
      <items count="6">
        <item x="4"/>
        <item x="0"/>
        <item x="3"/>
        <item x="1"/>
        <item x="2"/>
        <item t="default"/>
      </items>
    </pivotField>
    <pivotField compact="0" outline="0" showAll="0">
      <items count="6">
        <item x="4"/>
        <item x="3"/>
        <item x="2"/>
        <item x="0"/>
        <item x="1"/>
        <item t="default"/>
      </items>
    </pivotField>
    <pivotField compact="0" outline="0" showAll="0">
      <items count="7">
        <item x="4"/>
        <item x="2"/>
        <item x="3"/>
        <item x="0"/>
        <item x="5"/>
        <item x="1"/>
        <item t="default"/>
      </items>
    </pivotField>
    <pivotField compact="0" numFmtId="165" outline="0" showAll="0"/>
    <pivotField compact="0" numFmtId="166" outline="0" showAll="0"/>
    <pivotField compact="0" numFmtId="14" outline="0" showAll="0"/>
    <pivotField compact="0" outline="0" showAll="0"/>
    <pivotField compact="0" numFmtId="167" outline="0" showAll="0"/>
    <pivotField dataField="1" compact="0" numFmtId="167" outline="0" showAll="0"/>
    <pivotField dataField="1" compact="0" numFmtId="167" outline="0" showAll="0"/>
    <pivotField compact="0" outline="0" showAll="0">
      <items count="3">
        <item x="0"/>
        <item x="1"/>
        <item t="default"/>
      </items>
    </pivotField>
    <pivotField axis="axisRow" compact="0" outline="0" showAll="0">
      <items count="5">
        <item x="0"/>
        <item x="1"/>
        <item x="2"/>
        <item x="3"/>
        <item t="default"/>
      </items>
    </pivotField>
    <pivotField compact="0" outline="0" showAll="0">
      <items count="13">
        <item x="4"/>
        <item x="5"/>
        <item x="6"/>
        <item x="7"/>
        <item x="8"/>
        <item x="9"/>
        <item x="10"/>
        <item x="11"/>
        <item x="0"/>
        <item x="1"/>
        <item x="2"/>
        <item x="3"/>
        <item t="default"/>
      </items>
    </pivotField>
  </pivotFields>
  <rowFields count="1">
    <field x="13"/>
  </rowFields>
  <rowItems count="4">
    <i>
      <x/>
    </i>
    <i>
      <x v="1"/>
    </i>
    <i>
      <x v="2"/>
    </i>
    <i>
      <x v="3"/>
    </i>
  </rowItems>
  <colFields count="1">
    <field x="-2"/>
  </colFields>
  <colItems count="2">
    <i>
      <x/>
    </i>
    <i i="1">
      <x v="1"/>
    </i>
  </colItems>
  <dataFields count="2">
    <dataField name="Revenue" fld="10" baseField="0" baseItem="0" numFmtId="167"/>
    <dataField name="Gross Profit" fld="11" baseField="0" baseItem="0" numFmtId="167"/>
  </dataFields>
  <chartFormats count="2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5" format="6"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1"/>
          </reference>
        </references>
      </pivotArea>
    </chartFormat>
    <chartFormat chart="6" format="8" series="1">
      <pivotArea type="data" outline="0" fieldPosition="0">
        <references count="1">
          <reference field="4294967294" count="1" selected="0">
            <x v="0"/>
          </reference>
        </references>
      </pivotArea>
    </chartFormat>
    <chartFormat chart="6" format="9" series="1">
      <pivotArea type="data" outline="0" fieldPosition="0">
        <references count="1">
          <reference field="4294967294" count="1" selected="0">
            <x v="1"/>
          </reference>
        </references>
      </pivotArea>
    </chartFormat>
    <chartFormat chart="7" format="8" series="1">
      <pivotArea type="data" outline="0" fieldPosition="0">
        <references count="1">
          <reference field="4294967294" count="1" selected="0">
            <x v="0"/>
          </reference>
        </references>
      </pivotArea>
    </chartFormat>
    <chartFormat chart="7" format="9" series="1">
      <pivotArea type="data" outline="0" fieldPosition="0">
        <references count="1">
          <reference field="4294967294" count="1" selected="0">
            <x v="1"/>
          </reference>
        </references>
      </pivotArea>
    </chartFormat>
    <chartFormat chart="11" format="12" series="1">
      <pivotArea type="data" outline="0" fieldPosition="0">
        <references count="1">
          <reference field="4294967294" count="1" selected="0">
            <x v="0"/>
          </reference>
        </references>
      </pivotArea>
    </chartFormat>
    <chartFormat chart="11" format="13" series="1">
      <pivotArea type="data" outline="0" fieldPosition="0">
        <references count="1">
          <reference field="4294967294" count="1" selected="0">
            <x v="1"/>
          </reference>
        </references>
      </pivotArea>
    </chartFormat>
    <chartFormat chart="14" format="16" series="1">
      <pivotArea type="data" outline="0" fieldPosition="0">
        <references count="1">
          <reference field="4294967294" count="1" selected="0">
            <x v="0"/>
          </reference>
        </references>
      </pivotArea>
    </chartFormat>
    <chartFormat chart="14" format="17" series="1">
      <pivotArea type="data" outline="0" fieldPosition="0">
        <references count="1">
          <reference field="4294967294" count="1" selected="0">
            <x v="1"/>
          </reference>
        </references>
      </pivotArea>
    </chartFormat>
    <chartFormat chart="15" format="18" series="1">
      <pivotArea type="data" outline="0" fieldPosition="0">
        <references count="1">
          <reference field="4294967294" count="1" selected="0">
            <x v="0"/>
          </reference>
        </references>
      </pivotArea>
    </chartFormat>
    <chartFormat chart="15" format="19" series="1">
      <pivotArea type="data" outline="0" fieldPosition="0">
        <references count="1">
          <reference field="4294967294" count="1" selected="0">
            <x v="1"/>
          </reference>
        </references>
      </pivotArea>
    </chartFormat>
    <chartFormat chart="16" format="20" series="1">
      <pivotArea type="data" outline="0" fieldPosition="0">
        <references count="1">
          <reference field="4294967294" count="1" selected="0">
            <x v="0"/>
          </reference>
        </references>
      </pivotArea>
    </chartFormat>
    <chartFormat chart="16" format="21" series="1">
      <pivotArea type="data" outline="0" fieldPosition="0">
        <references count="1">
          <reference field="4294967294" count="1" selected="0">
            <x v="1"/>
          </reference>
        </references>
      </pivotArea>
    </chartFormat>
    <chartFormat chart="17" format="20" series="1">
      <pivotArea type="data" outline="0" fieldPosition="0">
        <references count="1">
          <reference field="4294967294" count="1" selected="0">
            <x v="0"/>
          </reference>
        </references>
      </pivotArea>
    </chartFormat>
    <chartFormat chart="17" format="2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37A14C3-C1A2-4F47-916A-6ED588517998}" name="Product Mix by Segment" cacheId="0" applyNumberFormats="0" applyBorderFormats="0" applyFontFormats="0" applyPatternFormats="0" applyAlignmentFormats="0" applyWidthHeightFormats="1" dataCaption="Values" updatedVersion="8" minRefreshableVersion="3" rowGrandTotals="0" colGrandTotals="0" itemPrintTitles="1" createdVersion="8" indent="0" compact="0" compactData="0" multipleFieldFilters="0" chartFormat="13">
  <location ref="V11:AA18" firstHeaderRow="1" firstDataRow="2" firstDataCol="1"/>
  <pivotFields count="15">
    <pivotField compact="0" outline="0" showAll="0"/>
    <pivotField compact="0" outline="0" showAll="0"/>
    <pivotField compact="0" outline="0" showAll="0">
      <items count="6">
        <item x="4"/>
        <item x="0"/>
        <item x="3"/>
        <item x="1"/>
        <item x="2"/>
        <item t="default"/>
      </items>
    </pivotField>
    <pivotField axis="axisCol" compact="0" outline="0" showAll="0">
      <items count="6">
        <item x="4"/>
        <item x="3"/>
        <item x="2"/>
        <item x="0"/>
        <item x="1"/>
        <item t="default"/>
      </items>
    </pivotField>
    <pivotField axis="axisRow" compact="0" outline="0" showAll="0" sortType="ascending">
      <items count="7">
        <item x="4"/>
        <item x="2"/>
        <item x="3"/>
        <item x="0"/>
        <item x="5"/>
        <item x="1"/>
        <item t="default"/>
      </items>
      <autoSortScope>
        <pivotArea dataOnly="0" outline="0" fieldPosition="0">
          <references count="1">
            <reference field="4294967294" count="1" selected="0">
              <x v="0"/>
            </reference>
          </references>
        </pivotArea>
      </autoSortScope>
    </pivotField>
    <pivotField compact="0" numFmtId="165" outline="0" showAll="0"/>
    <pivotField compact="0" numFmtId="166" outline="0" showAll="0"/>
    <pivotField compact="0" numFmtId="14" outline="0" showAll="0"/>
    <pivotField compact="0" outline="0" showAll="0"/>
    <pivotField compact="0" numFmtId="167" outline="0" showAll="0"/>
    <pivotField dataField="1" compact="0" numFmtId="167" outline="0" showAll="0"/>
    <pivotField compact="0" numFmtId="167" outline="0" showAll="0"/>
    <pivotField compact="0" outline="0" showAll="0">
      <items count="3">
        <item x="0"/>
        <item x="1"/>
        <item t="default"/>
      </items>
    </pivotField>
    <pivotField compact="0" outline="0" showAll="0"/>
    <pivotField compact="0" outline="0" showAll="0">
      <items count="13">
        <item x="4"/>
        <item x="5"/>
        <item x="6"/>
        <item x="7"/>
        <item x="8"/>
        <item x="9"/>
        <item x="10"/>
        <item x="11"/>
        <item x="0"/>
        <item x="1"/>
        <item x="2"/>
        <item x="3"/>
        <item t="default"/>
      </items>
    </pivotField>
  </pivotFields>
  <rowFields count="1">
    <field x="4"/>
  </rowFields>
  <rowItems count="6">
    <i>
      <x v="2"/>
    </i>
    <i>
      <x v="1"/>
    </i>
    <i>
      <x v="3"/>
    </i>
    <i>
      <x v="4"/>
    </i>
    <i>
      <x v="5"/>
    </i>
    <i>
      <x/>
    </i>
  </rowItems>
  <colFields count="1">
    <field x="3"/>
  </colFields>
  <colItems count="5">
    <i>
      <x/>
    </i>
    <i>
      <x v="1"/>
    </i>
    <i>
      <x v="2"/>
    </i>
    <i>
      <x v="3"/>
    </i>
    <i>
      <x v="4"/>
    </i>
  </colItems>
  <dataFields count="1">
    <dataField name="Sum of Revenue" fld="10" baseField="0" baseItem="0" numFmtId="167"/>
  </dataFields>
  <formats count="1">
    <format dxfId="5">
      <pivotArea field="3" grandCol="1" outline="0" axis="axisCol" fieldPosition="0">
        <references count="1">
          <reference field="4294967294" count="1" selected="0">
            <x v="0"/>
          </reference>
        </references>
      </pivotArea>
    </format>
  </formats>
  <chartFormats count="9">
    <chartFormat chart="0" format="2" series="1">
      <pivotArea type="data" outline="0" fieldPosition="0">
        <references count="1">
          <reference field="4294967294" count="1" selected="0">
            <x v="0"/>
          </reference>
        </references>
      </pivotArea>
    </chartFormat>
    <chartFormat chart="0" format="4" series="1">
      <pivotArea type="data" outline="0" fieldPosition="0">
        <references count="2">
          <reference field="4294967294" count="1" selected="0">
            <x v="0"/>
          </reference>
          <reference field="3" count="1" selected="0">
            <x v="2"/>
          </reference>
        </references>
      </pivotArea>
    </chartFormat>
    <chartFormat chart="0" format="5" series="1">
      <pivotArea type="data" outline="0" fieldPosition="0">
        <references count="2">
          <reference field="4294967294" count="1" selected="0">
            <x v="0"/>
          </reference>
          <reference field="3" count="1" selected="0">
            <x v="3"/>
          </reference>
        </references>
      </pivotArea>
    </chartFormat>
    <chartFormat chart="0" format="6" series="1">
      <pivotArea type="data" outline="0" fieldPosition="0">
        <references count="2">
          <reference field="4294967294" count="1" selected="0">
            <x v="0"/>
          </reference>
          <reference field="3" count="1" selected="0">
            <x v="4"/>
          </reference>
        </references>
      </pivotArea>
    </chartFormat>
    <chartFormat chart="1" format="0" series="1">
      <pivotArea type="data" outline="0" fieldPosition="0">
        <references count="2">
          <reference field="4294967294" count="1" selected="0">
            <x v="0"/>
          </reference>
          <reference field="3" count="1" selected="0">
            <x v="0"/>
          </reference>
        </references>
      </pivotArea>
    </chartFormat>
    <chartFormat chart="1" format="1" series="1">
      <pivotArea type="data" outline="0" fieldPosition="0">
        <references count="2">
          <reference field="4294967294" count="1" selected="0">
            <x v="0"/>
          </reference>
          <reference field="3" count="1" selected="0">
            <x v="1"/>
          </reference>
        </references>
      </pivotArea>
    </chartFormat>
    <chartFormat chart="1" format="2" series="1">
      <pivotArea type="data" outline="0" fieldPosition="0">
        <references count="2">
          <reference field="4294967294" count="1" selected="0">
            <x v="0"/>
          </reference>
          <reference field="3" count="1" selected="0">
            <x v="2"/>
          </reference>
        </references>
      </pivotArea>
    </chartFormat>
    <chartFormat chart="1" format="3" series="1">
      <pivotArea type="data" outline="0" fieldPosition="0">
        <references count="2">
          <reference field="4294967294" count="1" selected="0">
            <x v="0"/>
          </reference>
          <reference field="3" count="1" selected="0">
            <x v="3"/>
          </reference>
        </references>
      </pivotArea>
    </chartFormat>
    <chartFormat chart="1" format="4" series="1">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6DBDF7D-7C29-4E8A-A08A-68E602AC2883}" name="Total Price"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V1:X8" firstHeaderRow="1" firstDataRow="2" firstDataCol="1"/>
  <pivotFields count="15">
    <pivotField compact="0" outline="0" showAll="0"/>
    <pivotField compact="0" outline="0" showAll="0"/>
    <pivotField compact="0" outline="0" showAll="0">
      <items count="6">
        <item x="4"/>
        <item x="0"/>
        <item x="3"/>
        <item x="1"/>
        <item x="2"/>
        <item t="default"/>
      </items>
    </pivotField>
    <pivotField compact="0" outline="0" showAll="0">
      <items count="6">
        <item x="4"/>
        <item x="3"/>
        <item x="2"/>
        <item x="0"/>
        <item x="1"/>
        <item t="default"/>
      </items>
    </pivotField>
    <pivotField axis="axisRow" compact="0" outline="0" showAll="0">
      <items count="7">
        <item x="4"/>
        <item x="2"/>
        <item x="3"/>
        <item x="0"/>
        <item x="5"/>
        <item x="1"/>
        <item t="default"/>
      </items>
    </pivotField>
    <pivotField compact="0" numFmtId="165" outline="0" showAll="0"/>
    <pivotField compact="0" numFmtId="166" outline="0" showAll="0"/>
    <pivotField compact="0" numFmtId="14" outline="0" showAll="0"/>
    <pivotField compact="0" outline="0" showAll="0"/>
    <pivotField dataField="1" compact="0" numFmtId="167" outline="0" showAll="0"/>
    <pivotField compact="0" numFmtId="167" outline="0" showAll="0"/>
    <pivotField compact="0" numFmtId="167" outline="0" showAll="0"/>
    <pivotField axis="axisCol" compact="0" outline="0" showAll="0">
      <items count="3">
        <item x="0"/>
        <item x="1"/>
        <item t="default"/>
      </items>
    </pivotField>
    <pivotField compact="0" outline="0" showAll="0"/>
    <pivotField compact="0" outline="0" showAll="0">
      <items count="13">
        <item x="4"/>
        <item x="5"/>
        <item x="6"/>
        <item x="7"/>
        <item x="8"/>
        <item x="9"/>
        <item x="10"/>
        <item x="11"/>
        <item x="0"/>
        <item x="1"/>
        <item x="2"/>
        <item x="3"/>
        <item t="default"/>
      </items>
    </pivotField>
  </pivotFields>
  <rowFields count="1">
    <field x="4"/>
  </rowFields>
  <rowItems count="6">
    <i>
      <x/>
    </i>
    <i>
      <x v="1"/>
    </i>
    <i>
      <x v="2"/>
    </i>
    <i>
      <x v="3"/>
    </i>
    <i>
      <x v="4"/>
    </i>
    <i>
      <x v="5"/>
    </i>
  </rowItems>
  <colFields count="1">
    <field x="12"/>
  </colFields>
  <colItems count="2">
    <i>
      <x/>
    </i>
    <i>
      <x v="1"/>
    </i>
  </colItems>
  <dataFields count="1">
    <dataField name="Sum of Total Price" fld="9" baseField="0" baseItem="0" numFmtId="167"/>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EBF1FE6-1051-4577-8C15-06E152C02D11}" name="Top Segment"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7">
  <location ref="E1:G6" firstHeaderRow="0" firstDataRow="1" firstDataCol="1"/>
  <pivotFields count="15">
    <pivotField compact="0" outline="0" showAll="0"/>
    <pivotField compact="0" outline="0" showAll="0"/>
    <pivotField compact="0" outline="0" showAll="0">
      <items count="6">
        <item x="4"/>
        <item x="0"/>
        <item x="3"/>
        <item x="1"/>
        <item x="2"/>
        <item t="default"/>
      </items>
    </pivotField>
    <pivotField axis="axisRow" compact="0" outline="0" showAll="0">
      <items count="6">
        <item x="4"/>
        <item x="3"/>
        <item x="2"/>
        <item x="0"/>
        <item x="1"/>
        <item t="default"/>
      </items>
    </pivotField>
    <pivotField compact="0" outline="0" showAll="0">
      <items count="7">
        <item x="4"/>
        <item x="2"/>
        <item x="3"/>
        <item x="0"/>
        <item x="5"/>
        <item x="1"/>
        <item t="default"/>
      </items>
    </pivotField>
    <pivotField compact="0" numFmtId="165" outline="0" showAll="0"/>
    <pivotField compact="0" numFmtId="166" outline="0" showAll="0"/>
    <pivotField compact="0" numFmtId="14" outline="0" showAll="0"/>
    <pivotField compact="0" outline="0" showAll="0"/>
    <pivotField compact="0" numFmtId="167" outline="0" showAll="0"/>
    <pivotField dataField="1" compact="0" numFmtId="167" outline="0" showAll="0"/>
    <pivotField dataField="1" compact="0" numFmtId="167" outline="0" showAll="0"/>
    <pivotField compact="0" outline="0" showAll="0">
      <items count="3">
        <item x="0"/>
        <item x="1"/>
        <item t="default"/>
      </items>
    </pivotField>
    <pivotField compact="0" outline="0" showAll="0"/>
    <pivotField compact="0" outline="0" showAll="0">
      <items count="13">
        <item x="4"/>
        <item x="5"/>
        <item x="6"/>
        <item x="7"/>
        <item x="8"/>
        <item x="9"/>
        <item x="10"/>
        <item x="11"/>
        <item x="0"/>
        <item x="1"/>
        <item x="2"/>
        <item x="3"/>
        <item t="default"/>
      </items>
    </pivotField>
  </pivotFields>
  <rowFields count="1">
    <field x="3"/>
  </rowFields>
  <rowItems count="5">
    <i>
      <x/>
    </i>
    <i>
      <x v="1"/>
    </i>
    <i>
      <x v="2"/>
    </i>
    <i>
      <x v="3"/>
    </i>
    <i>
      <x v="4"/>
    </i>
  </rowItems>
  <colFields count="1">
    <field x="-2"/>
  </colFields>
  <colItems count="2">
    <i>
      <x/>
    </i>
    <i i="1">
      <x v="1"/>
    </i>
  </colItems>
  <dataFields count="2">
    <dataField name="Sum of Revenue" fld="10" baseField="0" baseItem="0" numFmtId="167"/>
    <dataField name="Sum of Gross Profit" fld="11" baseField="0" baseItem="0" numFmtId="167"/>
  </dataField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3" count="1" selected="0">
            <x v="0"/>
          </reference>
        </references>
      </pivotArea>
    </chartFormat>
    <chartFormat chart="0" format="3">
      <pivotArea type="data" outline="0" fieldPosition="0">
        <references count="2">
          <reference field="4294967294" count="1" selected="0">
            <x v="0"/>
          </reference>
          <reference field="3" count="1" selected="0">
            <x v="1"/>
          </reference>
        </references>
      </pivotArea>
    </chartFormat>
    <chartFormat chart="0" format="4">
      <pivotArea type="data" outline="0" fieldPosition="0">
        <references count="2">
          <reference field="4294967294" count="1" selected="0">
            <x v="0"/>
          </reference>
          <reference field="3" count="1" selected="0">
            <x v="2"/>
          </reference>
        </references>
      </pivotArea>
    </chartFormat>
    <chartFormat chart="0" format="5">
      <pivotArea type="data" outline="0" fieldPosition="0">
        <references count="2">
          <reference field="4294967294" count="1" selected="0">
            <x v="0"/>
          </reference>
          <reference field="3" count="1" selected="0">
            <x v="3"/>
          </reference>
        </references>
      </pivotArea>
    </chartFormat>
    <chartFormat chart="0" format="6">
      <pivotArea type="data" outline="0" fieldPosition="0">
        <references count="2">
          <reference field="4294967294" count="1" selected="0">
            <x v="0"/>
          </reference>
          <reference field="3" count="1" selected="0">
            <x v="4"/>
          </reference>
        </references>
      </pivotArea>
    </chartFormat>
    <chartFormat chart="0" format="7">
      <pivotArea type="data" outline="0" fieldPosition="0">
        <references count="2">
          <reference field="4294967294" count="1" selected="0">
            <x v="1"/>
          </reference>
          <reference field="3" count="1" selected="0">
            <x v="0"/>
          </reference>
        </references>
      </pivotArea>
    </chartFormat>
    <chartFormat chart="0" format="8">
      <pivotArea type="data" outline="0" fieldPosition="0">
        <references count="2">
          <reference field="4294967294" count="1" selected="0">
            <x v="1"/>
          </reference>
          <reference field="3" count="1" selected="0">
            <x v="1"/>
          </reference>
        </references>
      </pivotArea>
    </chartFormat>
    <chartFormat chart="0" format="9">
      <pivotArea type="data" outline="0" fieldPosition="0">
        <references count="2">
          <reference field="4294967294" count="1" selected="0">
            <x v="1"/>
          </reference>
          <reference field="3" count="1" selected="0">
            <x v="2"/>
          </reference>
        </references>
      </pivotArea>
    </chartFormat>
    <chartFormat chart="0" format="10">
      <pivotArea type="data" outline="0" fieldPosition="0">
        <references count="2">
          <reference field="4294967294" count="1" selected="0">
            <x v="1"/>
          </reference>
          <reference field="3" count="1" selected="0">
            <x v="3"/>
          </reference>
        </references>
      </pivotArea>
    </chartFormat>
    <chartFormat chart="0" format="11">
      <pivotArea type="data" outline="0" fieldPosition="0">
        <references count="2">
          <reference field="4294967294" count="1" selected="0">
            <x v="1"/>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E6F6679-4DD1-4813-B1EE-80A1D9D4F75E}" name="PivotTable2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K1:AM8" firstHeaderRow="1" firstDataRow="2" firstDataCol="1"/>
  <pivotFields count="15">
    <pivotField compact="0" outline="0" showAll="0"/>
    <pivotField compact="0" outline="0" showAll="0"/>
    <pivotField compact="0" outline="0" showAll="0"/>
    <pivotField compact="0" outline="0" showAll="0">
      <items count="6">
        <item x="4"/>
        <item x="3"/>
        <item x="2"/>
        <item x="0"/>
        <item x="1"/>
        <item t="default"/>
      </items>
    </pivotField>
    <pivotField axis="axisRow" compact="0" outline="0" showAll="0">
      <items count="7">
        <item x="4"/>
        <item x="2"/>
        <item x="3"/>
        <item x="0"/>
        <item x="5"/>
        <item x="1"/>
        <item t="default"/>
      </items>
    </pivotField>
    <pivotField compact="0" numFmtId="165" outline="0" showAll="0"/>
    <pivotField compact="0" numFmtId="166" outline="0" showAll="0"/>
    <pivotField compact="0" numFmtId="14" outline="0" showAll="0"/>
    <pivotField compact="0" outline="0" showAll="0"/>
    <pivotField compact="0" numFmtId="167" outline="0" showAll="0"/>
    <pivotField compact="0" numFmtId="167" outline="0" showAll="0"/>
    <pivotField dataField="1" compact="0" numFmtId="167" outline="0" showAll="0"/>
    <pivotField axis="axisCol" compact="0" outline="0" showAll="0">
      <items count="3">
        <item x="0"/>
        <item x="1"/>
        <item t="default"/>
      </items>
    </pivotField>
    <pivotField compact="0" outline="0" showAll="0"/>
    <pivotField compact="0" outline="0" showAll="0"/>
  </pivotFields>
  <rowFields count="1">
    <field x="4"/>
  </rowFields>
  <rowItems count="6">
    <i>
      <x/>
    </i>
    <i>
      <x v="1"/>
    </i>
    <i>
      <x v="2"/>
    </i>
    <i>
      <x v="3"/>
    </i>
    <i>
      <x v="4"/>
    </i>
    <i>
      <x v="5"/>
    </i>
  </rowItems>
  <colFields count="1">
    <field x="12"/>
  </colFields>
  <colItems count="2">
    <i>
      <x/>
    </i>
    <i>
      <x v="1"/>
    </i>
  </colItems>
  <dataFields count="1">
    <dataField name="Sum of Gross Profit" fld="11" baseField="0" baseItem="0" numFmtId="167"/>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13DBCE4-A1D7-41C8-B282-DF75C63A9654}" name="PivotTable10"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K14:AL16" firstHeaderRow="1" firstDataRow="1" firstDataCol="1"/>
  <pivotFields count="7">
    <pivotField axis="axisRow" compact="0" outline="0" showAll="0">
      <items count="3">
        <item x="0"/>
        <item x="1"/>
        <item t="default"/>
      </items>
    </pivotField>
    <pivotField compact="0" numFmtId="167" outline="0" showAll="0"/>
    <pivotField compact="0" numFmtId="164" outline="0" showAll="0"/>
    <pivotField compact="0" numFmtId="164" outline="0" showAll="0"/>
    <pivotField compact="0" numFmtId="164" outline="0" showAll="0"/>
    <pivotField dataField="1" compact="0" numFmtId="167" outline="0" showAll="0"/>
    <pivotField compact="0" numFmtId="167" outline="0" showAll="0"/>
  </pivotFields>
  <rowFields count="1">
    <field x="0"/>
  </rowFields>
  <rowItems count="2">
    <i>
      <x/>
    </i>
    <i>
      <x v="1"/>
    </i>
  </rowItems>
  <colItems count="1">
    <i/>
  </colItems>
  <dataFields count="1">
    <dataField name="Sum of Operating Profit" fld="5" baseField="0" baseItem="0" numFmtId="167"/>
  </dataFields>
  <chartFormats count="3">
    <chartFormat chart="0" format="9" series="1">
      <pivotArea type="data" outline="0" fieldPosition="0">
        <references count="1">
          <reference field="4294967294" count="1" selected="0">
            <x v="0"/>
          </reference>
        </references>
      </pivotArea>
    </chartFormat>
    <chartFormat chart="0" format="10">
      <pivotArea type="data" outline="0" fieldPosition="0">
        <references count="2">
          <reference field="4294967294" count="1" selected="0">
            <x v="0"/>
          </reference>
          <reference field="0" count="1" selected="0">
            <x v="0"/>
          </reference>
        </references>
      </pivotArea>
    </chartFormat>
    <chartFormat chart="0" format="1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55C74D8-FD4A-43B0-8CC7-517C0DE5A60F}" name="PivotTable12"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N14:AO16" firstHeaderRow="1" firstDataRow="1" firstDataCol="1"/>
  <pivotFields count="7">
    <pivotField axis="axisRow" compact="0" outline="0" showAll="0">
      <items count="3">
        <item x="0"/>
        <item x="1"/>
        <item t="default"/>
      </items>
    </pivotField>
    <pivotField compact="0" numFmtId="167" outline="0" showAll="0"/>
    <pivotField compact="0" numFmtId="164" outline="0" showAll="0"/>
    <pivotField compact="0" numFmtId="164" outline="0" showAll="0"/>
    <pivotField compact="0" numFmtId="164" outline="0" showAll="0"/>
    <pivotField compact="0" numFmtId="167" outline="0" showAll="0"/>
    <pivotField dataField="1" compact="0" numFmtId="167" outline="0" showAll="0"/>
  </pivotFields>
  <rowFields count="1">
    <field x="0"/>
  </rowFields>
  <rowItems count="2">
    <i>
      <x/>
    </i>
    <i>
      <x v="1"/>
    </i>
  </rowItems>
  <colItems count="1">
    <i/>
  </colItems>
  <dataFields count="1">
    <dataField name="Sum of Net Profit" fld="6" baseField="0" baseItem="0" numFmtId="167"/>
  </dataFields>
  <chartFormats count="3">
    <chartFormat chart="0" format="5" series="1">
      <pivotArea type="data" outline="0" fieldPosition="0">
        <references count="1">
          <reference field="4294967294" count="1" selected="0">
            <x v="0"/>
          </reference>
        </references>
      </pivotArea>
    </chartFormat>
    <chartFormat chart="0" format="6">
      <pivotArea type="data" outline="0" fieldPosition="0">
        <references count="2">
          <reference field="4294967294" count="1" selected="0">
            <x v="0"/>
          </reference>
          <reference field="0" count="1" selected="0">
            <x v="0"/>
          </reference>
        </references>
      </pivotArea>
    </chartFormat>
    <chartFormat chart="0" format="7">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37602E2-601A-4D1A-AF1E-9E2F39819126}" name="KPI" cacheId="0" applyNumberFormats="0" applyBorderFormats="0" applyFontFormats="0" applyPatternFormats="0" applyAlignmentFormats="0" applyWidthHeightFormats="1" dataCaption="Values" updatedVersion="8" minRefreshableVersion="3" colGrandTotals="0" itemPrintTitles="1" createdVersion="8" indent="0" compact="0" compactData="0" multipleFieldFilters="0">
  <location ref="Q1:T4" firstHeaderRow="0" firstDataRow="1" firstDataCol="1"/>
  <pivotFields count="15">
    <pivotField dataField="1" compact="0" outline="0" showAll="0"/>
    <pivotField compact="0" outline="0" showAll="0"/>
    <pivotField compact="0" outline="0" showAll="0">
      <items count="6">
        <item x="4"/>
        <item x="0"/>
        <item x="3"/>
        <item x="1"/>
        <item x="2"/>
        <item t="default"/>
      </items>
    </pivotField>
    <pivotField compact="0" outline="0" showAll="0">
      <items count="6">
        <item x="4"/>
        <item x="3"/>
        <item x="2"/>
        <item x="0"/>
        <item x="1"/>
        <item t="default"/>
      </items>
    </pivotField>
    <pivotField compact="0" outline="0" showAll="0">
      <items count="7">
        <item x="4"/>
        <item x="2"/>
        <item x="3"/>
        <item x="0"/>
        <item x="5"/>
        <item x="1"/>
        <item t="default"/>
      </items>
    </pivotField>
    <pivotField compact="0" numFmtId="165" outline="0" showAll="0"/>
    <pivotField compact="0" numFmtId="166" outline="0" showAll="0"/>
    <pivotField compact="0" numFmtId="14" outline="0" showAll="0"/>
    <pivotField compact="0" outline="0" showAll="0"/>
    <pivotField compact="0" numFmtId="167" outline="0" showAll="0"/>
    <pivotField dataField="1" compact="0" numFmtId="167" outline="0" showAll="0"/>
    <pivotField dataField="1" compact="0" numFmtId="167" outline="0" showAll="0"/>
    <pivotField axis="axisRow" compact="0" outline="0" showAll="0">
      <items count="3">
        <item x="0"/>
        <item x="1"/>
        <item t="default"/>
      </items>
    </pivotField>
    <pivotField compact="0" outline="0" showAll="0"/>
    <pivotField compact="0" outline="0" showAll="0">
      <items count="13">
        <item x="4"/>
        <item x="5"/>
        <item x="6"/>
        <item x="7"/>
        <item x="8"/>
        <item x="9"/>
        <item x="10"/>
        <item x="11"/>
        <item x="0"/>
        <item x="1"/>
        <item x="2"/>
        <item x="3"/>
        <item t="default"/>
      </items>
    </pivotField>
  </pivotFields>
  <rowFields count="1">
    <field x="12"/>
  </rowFields>
  <rowItems count="3">
    <i>
      <x/>
    </i>
    <i>
      <x v="1"/>
    </i>
    <i t="grand">
      <x/>
    </i>
  </rowItems>
  <colFields count="1">
    <field x="-2"/>
  </colFields>
  <colItems count="3">
    <i>
      <x/>
    </i>
    <i i="1">
      <x v="1"/>
    </i>
    <i i="2">
      <x v="2"/>
    </i>
  </colItems>
  <dataFields count="3">
    <dataField name="Sum of Revenue" fld="10" baseField="0" baseItem="0" numFmtId="168"/>
    <dataField name="Sum of Gross Profit" fld="11" baseField="0" baseItem="0" numFmtId="167"/>
    <dataField name="Count of Order ID" fld="0" subtotal="count" baseField="0" baseItem="0"/>
  </dataFields>
  <formats count="1">
    <format dxfId="6">
      <pivotArea outline="0"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CD83594-B9C0-4301-A8C5-060DC884CCCC}" name="Monthly Profit Trend"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9">
  <location ref="M1:O17" firstHeaderRow="0" firstDataRow="1" firstDataCol="1"/>
  <pivotFields count="15">
    <pivotField compact="0" outline="0" showAll="0"/>
    <pivotField compact="0" outline="0" showAll="0"/>
    <pivotField compact="0" outline="0" showAll="0">
      <items count="6">
        <item x="4"/>
        <item x="0"/>
        <item x="3"/>
        <item x="1"/>
        <item x="2"/>
        <item t="default"/>
      </items>
    </pivotField>
    <pivotField compact="0" outline="0" showAll="0">
      <items count="6">
        <item x="4"/>
        <item x="3"/>
        <item x="2"/>
        <item x="0"/>
        <item x="1"/>
        <item t="default"/>
      </items>
    </pivotField>
    <pivotField compact="0" outline="0" showAll="0">
      <items count="7">
        <item x="4"/>
        <item x="2"/>
        <item x="3"/>
        <item x="0"/>
        <item x="5"/>
        <item x="1"/>
        <item t="default"/>
      </items>
    </pivotField>
    <pivotField compact="0" numFmtId="165" outline="0" showAll="0"/>
    <pivotField compact="0" numFmtId="166" outline="0" showAll="0"/>
    <pivotField axis="axisRow" compact="0" numFmtId="172" outline="0" subtotalTop="0" showAll="0">
      <items count="17">
        <item x="0"/>
        <item x="1"/>
        <item x="2"/>
        <item x="3"/>
        <item x="4"/>
        <item x="5"/>
        <item x="6"/>
        <item x="7"/>
        <item x="8"/>
        <item x="9"/>
        <item x="10"/>
        <item x="11"/>
        <item x="12"/>
        <item x="13"/>
        <item x="14"/>
        <item x="15"/>
        <item t="default"/>
      </items>
    </pivotField>
    <pivotField compact="0" outline="0" showAll="0"/>
    <pivotField compact="0" numFmtId="167" outline="0" showAll="0"/>
    <pivotField dataField="1" compact="0" numFmtId="167" outline="0" showAll="0"/>
    <pivotField dataField="1" compact="0" numFmtId="167" outline="0" showAll="0"/>
    <pivotField compact="0" outline="0" showAll="0">
      <items count="3">
        <item x="0"/>
        <item x="1"/>
        <item t="default"/>
      </items>
    </pivotField>
    <pivotField compact="0" outline="0" showAll="0"/>
    <pivotField compact="0" outline="0" showAll="0"/>
  </pivotFields>
  <rowFields count="1">
    <field x="7"/>
  </rowFields>
  <rowItems count="16">
    <i>
      <x/>
    </i>
    <i>
      <x v="1"/>
    </i>
    <i>
      <x v="2"/>
    </i>
    <i>
      <x v="3"/>
    </i>
    <i>
      <x v="4"/>
    </i>
    <i>
      <x v="5"/>
    </i>
    <i>
      <x v="6"/>
    </i>
    <i>
      <x v="7"/>
    </i>
    <i>
      <x v="8"/>
    </i>
    <i>
      <x v="9"/>
    </i>
    <i>
      <x v="10"/>
    </i>
    <i>
      <x v="11"/>
    </i>
    <i>
      <x v="12"/>
    </i>
    <i>
      <x v="13"/>
    </i>
    <i>
      <x v="14"/>
    </i>
    <i>
      <x v="15"/>
    </i>
  </rowItems>
  <colFields count="1">
    <field x="-2"/>
  </colFields>
  <colItems count="2">
    <i>
      <x/>
    </i>
    <i i="1">
      <x v="1"/>
    </i>
  </colItems>
  <dataFields count="2">
    <dataField name="Revenue" fld="10" baseField="0" baseItem="0" numFmtId="167"/>
    <dataField name="Gross Profit" fld="11" baseField="0" baseItem="0" numFmtId="167"/>
  </dataFields>
  <formats count="3">
    <format dxfId="9">
      <pivotArea field="7" type="button" dataOnly="0" labelOnly="1" outline="0" axis="axisRow" fieldPosition="0"/>
    </format>
    <format dxfId="8">
      <pivotArea dataOnly="0" labelOnly="1" outline="0" fieldPosition="0">
        <references count="1">
          <reference field="7" count="0"/>
        </references>
      </pivotArea>
    </format>
    <format dxfId="7">
      <pivotArea dataOnly="0" labelOnly="1" grandRow="1" outline="0" fieldPosition="0"/>
    </format>
  </formats>
  <chartFormats count="24">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0"/>
          </reference>
        </references>
      </pivotArea>
    </chartFormat>
    <chartFormat chart="4" format="9" series="1">
      <pivotArea type="data" outline="0" fieldPosition="0">
        <references count="1">
          <reference field="4294967294" count="1" selected="0">
            <x v="1"/>
          </reference>
        </references>
      </pivotArea>
    </chartFormat>
    <chartFormat chart="6" format="10" series="1">
      <pivotArea type="data" outline="0" fieldPosition="0">
        <references count="1">
          <reference field="4294967294" count="1" selected="0">
            <x v="0"/>
          </reference>
        </references>
      </pivotArea>
    </chartFormat>
    <chartFormat chart="6" format="11" series="1">
      <pivotArea type="data" outline="0" fieldPosition="0">
        <references count="1">
          <reference field="4294967294" count="1" selected="0">
            <x v="1"/>
          </reference>
        </references>
      </pivotArea>
    </chartFormat>
    <chartFormat chart="7" format="12" series="1">
      <pivotArea type="data" outline="0" fieldPosition="0">
        <references count="1">
          <reference field="4294967294" count="1" selected="0">
            <x v="0"/>
          </reference>
        </references>
      </pivotArea>
    </chartFormat>
    <chartFormat chart="7" format="13" series="1">
      <pivotArea type="data" outline="0" fieldPosition="0">
        <references count="1">
          <reference field="4294967294" count="1" selected="0">
            <x v="1"/>
          </reference>
        </references>
      </pivotArea>
    </chartFormat>
    <chartFormat chart="8" format="12" series="1">
      <pivotArea type="data" outline="0" fieldPosition="0">
        <references count="1">
          <reference field="4294967294" count="1" selected="0">
            <x v="0"/>
          </reference>
        </references>
      </pivotArea>
    </chartFormat>
    <chartFormat chart="8" format="13" series="1">
      <pivotArea type="data" outline="0" fieldPosition="0">
        <references count="1">
          <reference field="4294967294" count="1" selected="0">
            <x v="1"/>
          </reference>
        </references>
      </pivotArea>
    </chartFormat>
    <chartFormat chart="12" format="16" series="1">
      <pivotArea type="data" outline="0" fieldPosition="0">
        <references count="1">
          <reference field="4294967294" count="1" selected="0">
            <x v="0"/>
          </reference>
        </references>
      </pivotArea>
    </chartFormat>
    <chartFormat chart="12" format="17" series="1">
      <pivotArea type="data" outline="0" fieldPosition="0">
        <references count="1">
          <reference field="4294967294" count="1" selected="0">
            <x v="1"/>
          </reference>
        </references>
      </pivotArea>
    </chartFormat>
    <chartFormat chart="15" format="20" series="1">
      <pivotArea type="data" outline="0" fieldPosition="0">
        <references count="1">
          <reference field="4294967294" count="1" selected="0">
            <x v="0"/>
          </reference>
        </references>
      </pivotArea>
    </chartFormat>
    <chartFormat chart="15" format="21" series="1">
      <pivotArea type="data" outline="0" fieldPosition="0">
        <references count="1">
          <reference field="4294967294" count="1" selected="0">
            <x v="1"/>
          </reference>
        </references>
      </pivotArea>
    </chartFormat>
    <chartFormat chart="16" format="22" series="1">
      <pivotArea type="data" outline="0" fieldPosition="0">
        <references count="1">
          <reference field="4294967294" count="1" selected="0">
            <x v="0"/>
          </reference>
        </references>
      </pivotArea>
    </chartFormat>
    <chartFormat chart="16" format="23" series="1">
      <pivotArea type="data" outline="0" fieldPosition="0">
        <references count="1">
          <reference field="4294967294" count="1" selected="0">
            <x v="1"/>
          </reference>
        </references>
      </pivotArea>
    </chartFormat>
    <chartFormat chart="17" format="24" series="1">
      <pivotArea type="data" outline="0" fieldPosition="0">
        <references count="1">
          <reference field="4294967294" count="1" selected="0">
            <x v="0"/>
          </reference>
        </references>
      </pivotArea>
    </chartFormat>
    <chartFormat chart="17" format="25" series="1">
      <pivotArea type="data" outline="0" fieldPosition="0">
        <references count="1">
          <reference field="4294967294" count="1" selected="0">
            <x v="1"/>
          </reference>
        </references>
      </pivotArea>
    </chartFormat>
    <chartFormat chart="18" format="24" series="1">
      <pivotArea type="data" outline="0" fieldPosition="0">
        <references count="1">
          <reference field="4294967294" count="1" selected="0">
            <x v="0"/>
          </reference>
        </references>
      </pivotArea>
    </chartFormat>
    <chartFormat chart="18" format="2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4E49C50-9CBD-45D2-AC65-20FA0FC36F38}" name="Revenue by Country" cacheId="0" dataPosition="0" applyNumberFormats="0" applyBorderFormats="0" applyFontFormats="0" applyPatternFormats="0" applyAlignmentFormats="0" applyWidthHeightFormats="1" dataCaption="Values" updatedVersion="8" minRefreshableVersion="5" rowGrandTotals="0" colGrandTotals="0" itemPrintTitles="1" createdVersion="8" indent="0" compact="0" compactData="0" multipleFieldFilters="0" chartFormat="30">
  <location ref="A1:C6" firstHeaderRow="0" firstDataRow="1" firstDataCol="1"/>
  <pivotFields count="15">
    <pivotField compact="0" outline="0" showAll="0"/>
    <pivotField compact="0" outline="0" showAll="0"/>
    <pivotField axis="axisRow" compact="0" outline="0" showAll="0">
      <items count="6">
        <item x="4"/>
        <item x="0"/>
        <item x="3"/>
        <item x="1"/>
        <item x="2"/>
        <item t="default"/>
      </items>
    </pivotField>
    <pivotField compact="0" outline="0" showAll="0">
      <items count="6">
        <item x="4"/>
        <item x="3"/>
        <item x="2"/>
        <item x="0"/>
        <item x="1"/>
        <item t="default"/>
      </items>
    </pivotField>
    <pivotField compact="0" outline="0" showAll="0">
      <items count="7">
        <item x="4"/>
        <item x="2"/>
        <item x="3"/>
        <item x="0"/>
        <item x="5"/>
        <item x="1"/>
        <item t="default"/>
      </items>
    </pivotField>
    <pivotField compact="0" numFmtId="165" outline="0" showAll="0"/>
    <pivotField compact="0" numFmtId="166" outline="0" showAll="0"/>
    <pivotField compact="0" numFmtId="14" outline="0" showAll="0"/>
    <pivotField compact="0" outline="0" showAll="0"/>
    <pivotField compact="0" numFmtId="167" outline="0" showAll="0"/>
    <pivotField dataField="1" compact="0" numFmtId="167" outline="0" showAll="0"/>
    <pivotField dataField="1" compact="0" numFmtId="167" outline="0" showAll="0"/>
    <pivotField compact="0" outline="0" showAll="0">
      <items count="3">
        <item x="0"/>
        <item x="1"/>
        <item t="default"/>
      </items>
    </pivotField>
    <pivotField compact="0" outline="0" showAll="0"/>
    <pivotField compact="0" outline="0" showAll="0">
      <items count="13">
        <item x="4"/>
        <item x="5"/>
        <item x="6"/>
        <item x="7"/>
        <item x="8"/>
        <item x="9"/>
        <item x="10"/>
        <item x="11"/>
        <item x="0"/>
        <item x="1"/>
        <item x="2"/>
        <item x="3"/>
        <item t="default"/>
      </items>
    </pivotField>
  </pivotFields>
  <rowFields count="1">
    <field x="2"/>
  </rowFields>
  <rowItems count="5">
    <i>
      <x/>
    </i>
    <i>
      <x v="1"/>
    </i>
    <i>
      <x v="2"/>
    </i>
    <i>
      <x v="3"/>
    </i>
    <i>
      <x v="4"/>
    </i>
  </rowItems>
  <colFields count="1">
    <field x="-2"/>
  </colFields>
  <colItems count="2">
    <i>
      <x/>
    </i>
    <i i="1">
      <x v="1"/>
    </i>
  </colItems>
  <dataFields count="2">
    <dataField name="Revenue" fld="10" baseField="0" baseItem="0" numFmtId="167"/>
    <dataField name="Gross Profit" fld="11" baseField="0" baseItem="0" numFmtId="167"/>
  </dataFields>
  <chartFormats count="22">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 chart="7" format="6" series="1">
      <pivotArea type="data" outline="0" fieldPosition="0">
        <references count="2">
          <reference field="4294967294" count="1" selected="0">
            <x v="0"/>
          </reference>
          <reference field="2" count="1" selected="0">
            <x v="2"/>
          </reference>
        </references>
      </pivotArea>
    </chartFormat>
    <chartFormat chart="7" format="7" series="1">
      <pivotArea type="data" outline="0" fieldPosition="0">
        <references count="2">
          <reference field="4294967294" count="1" selected="0">
            <x v="0"/>
          </reference>
          <reference field="2" count="1" selected="0">
            <x v="3"/>
          </reference>
        </references>
      </pivotArea>
    </chartFormat>
    <chartFormat chart="7" format="8" series="1">
      <pivotArea type="data" outline="0" fieldPosition="0">
        <references count="2">
          <reference field="4294967294" count="1" selected="0">
            <x v="0"/>
          </reference>
          <reference field="2" count="1" selected="0">
            <x v="4"/>
          </reference>
        </references>
      </pivotArea>
    </chartFormat>
    <chartFormat chart="7" format="9">
      <pivotArea type="data" outline="0" fieldPosition="0">
        <references count="2">
          <reference field="4294967294" count="1" selected="0">
            <x v="1"/>
          </reference>
          <reference field="2" count="1" selected="0">
            <x v="4"/>
          </reference>
        </references>
      </pivotArea>
    </chartFormat>
    <chartFormat chart="17" format="10" series="1">
      <pivotArea type="data" outline="0" fieldPosition="0">
        <references count="1">
          <reference field="4294967294" count="1" selected="0">
            <x v="0"/>
          </reference>
        </references>
      </pivotArea>
    </chartFormat>
    <chartFormat chart="17" format="11" series="1">
      <pivotArea type="data" outline="0" fieldPosition="0">
        <references count="1">
          <reference field="4294967294" count="1" selected="0">
            <x v="1"/>
          </reference>
        </references>
      </pivotArea>
    </chartFormat>
    <chartFormat chart="18" format="12" series="1">
      <pivotArea type="data" outline="0" fieldPosition="0">
        <references count="1">
          <reference field="4294967294" count="1" selected="0">
            <x v="0"/>
          </reference>
        </references>
      </pivotArea>
    </chartFormat>
    <chartFormat chart="18" format="13" series="1">
      <pivotArea type="data" outline="0" fieldPosition="0">
        <references count="1">
          <reference field="4294967294" count="1" selected="0">
            <x v="1"/>
          </reference>
        </references>
      </pivotArea>
    </chartFormat>
    <chartFormat chart="19" format="12" series="1">
      <pivotArea type="data" outline="0" fieldPosition="0">
        <references count="1">
          <reference field="4294967294" count="1" selected="0">
            <x v="0"/>
          </reference>
        </references>
      </pivotArea>
    </chartFormat>
    <chartFormat chart="19" format="13" series="1">
      <pivotArea type="data" outline="0" fieldPosition="0">
        <references count="1">
          <reference field="4294967294" count="1" selected="0">
            <x v="1"/>
          </reference>
        </references>
      </pivotArea>
    </chartFormat>
    <chartFormat chart="23" format="16" series="1">
      <pivotArea type="data" outline="0" fieldPosition="0">
        <references count="1">
          <reference field="4294967294" count="1" selected="0">
            <x v="0"/>
          </reference>
        </references>
      </pivotArea>
    </chartFormat>
    <chartFormat chart="23" format="17" series="1">
      <pivotArea type="data" outline="0" fieldPosition="0">
        <references count="1">
          <reference field="4294967294" count="1" selected="0">
            <x v="1"/>
          </reference>
        </references>
      </pivotArea>
    </chartFormat>
    <chartFormat chart="26" format="20" series="1">
      <pivotArea type="data" outline="0" fieldPosition="0">
        <references count="1">
          <reference field="4294967294" count="1" selected="0">
            <x v="0"/>
          </reference>
        </references>
      </pivotArea>
    </chartFormat>
    <chartFormat chart="26" format="21" series="1">
      <pivotArea type="data" outline="0" fieldPosition="0">
        <references count="1">
          <reference field="4294967294" count="1" selected="0">
            <x v="1"/>
          </reference>
        </references>
      </pivotArea>
    </chartFormat>
    <chartFormat chart="27" format="22" series="1">
      <pivotArea type="data" outline="0" fieldPosition="0">
        <references count="1">
          <reference field="4294967294" count="1" selected="0">
            <x v="0"/>
          </reference>
        </references>
      </pivotArea>
    </chartFormat>
    <chartFormat chart="27" format="23" series="1">
      <pivotArea type="data" outline="0" fieldPosition="0">
        <references count="1">
          <reference field="4294967294" count="1" selected="0">
            <x v="1"/>
          </reference>
        </references>
      </pivotArea>
    </chartFormat>
    <chartFormat chart="28" format="24" series="1">
      <pivotArea type="data" outline="0" fieldPosition="0">
        <references count="1">
          <reference field="4294967294" count="1" selected="0">
            <x v="0"/>
          </reference>
        </references>
      </pivotArea>
    </chartFormat>
    <chartFormat chart="28" format="25" series="1">
      <pivotArea type="data" outline="0" fieldPosition="0">
        <references count="1">
          <reference field="4294967294" count="1" selected="0">
            <x v="1"/>
          </reference>
        </references>
      </pivotArea>
    </chartFormat>
    <chartFormat chart="29" format="24" series="1">
      <pivotArea type="data" outline="0" fieldPosition="0">
        <references count="1">
          <reference field="4294967294" count="1" selected="0">
            <x v="0"/>
          </reference>
        </references>
      </pivotArea>
    </chartFormat>
    <chartFormat chart="29" format="2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7" type="dateBetween" evalOrder="-1" id="54" name="Order date">
      <autoFilter ref="A1">
        <filterColumn colId="0">
          <customFilters and="1">
            <customFilter operator="greaterThanOrEqual" val="41944"/>
            <customFilter operator="lessThanOrEqual" val="41973"/>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1365547-AE11-4C02-B7DD-136731302CD2}" name="Revenue Growth per Product"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7">
  <location ref="AA1:AC8" firstHeaderRow="1" firstDataRow="2" firstDataCol="1"/>
  <pivotFields count="15">
    <pivotField compact="0" outline="0" showAll="0"/>
    <pivotField compact="0" outline="0" showAll="0"/>
    <pivotField compact="0" outline="0" showAll="0">
      <items count="6">
        <item x="4"/>
        <item x="0"/>
        <item x="3"/>
        <item x="1"/>
        <item x="2"/>
        <item t="default"/>
      </items>
    </pivotField>
    <pivotField compact="0" outline="0" showAll="0"/>
    <pivotField axis="axisRow" compact="0" outline="0" showAll="0">
      <items count="7">
        <item x="4"/>
        <item x="2"/>
        <item x="3"/>
        <item x="0"/>
        <item x="5"/>
        <item x="1"/>
        <item t="default"/>
      </items>
    </pivotField>
    <pivotField compact="0" numFmtId="165" outline="0" showAll="0"/>
    <pivotField compact="0" numFmtId="166" outline="0" showAll="0"/>
    <pivotField compact="0" numFmtId="14" outline="0" showAll="0"/>
    <pivotField compact="0" outline="0" showAll="0"/>
    <pivotField compact="0" numFmtId="167" outline="0" showAll="0"/>
    <pivotField dataField="1" compact="0" numFmtId="167" outline="0" showAll="0"/>
    <pivotField compact="0" numFmtId="167" outline="0" showAll="0"/>
    <pivotField axis="axisCol" compact="0" outline="0" showAll="0">
      <items count="3">
        <item x="0"/>
        <item x="1"/>
        <item t="default"/>
      </items>
    </pivotField>
    <pivotField compact="0" outline="0" showAll="0"/>
    <pivotField compact="0" outline="0" showAll="0">
      <items count="13">
        <item x="4"/>
        <item x="5"/>
        <item x="6"/>
        <item x="7"/>
        <item x="8"/>
        <item x="9"/>
        <item x="10"/>
        <item x="11"/>
        <item x="0"/>
        <item x="1"/>
        <item x="2"/>
        <item x="3"/>
        <item t="default"/>
      </items>
    </pivotField>
  </pivotFields>
  <rowFields count="1">
    <field x="4"/>
  </rowFields>
  <rowItems count="6">
    <i>
      <x/>
    </i>
    <i>
      <x v="1"/>
    </i>
    <i>
      <x v="2"/>
    </i>
    <i>
      <x v="3"/>
    </i>
    <i>
      <x v="4"/>
    </i>
    <i>
      <x v="5"/>
    </i>
  </rowItems>
  <colFields count="1">
    <field x="12"/>
  </colFields>
  <colItems count="2">
    <i>
      <x/>
    </i>
    <i>
      <x v="1"/>
    </i>
  </colItems>
  <dataFields count="1">
    <dataField name="Sum of Revenue" fld="10" baseField="0" baseItem="0" numFmtId="167"/>
  </dataFields>
  <chartFormats count="2">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4C616BF-8E31-4B61-AC69-796EDBAE3761}" name="per Product"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5">
  <location ref="I1:K7" firstHeaderRow="0" firstDataRow="1" firstDataCol="1"/>
  <pivotFields count="15">
    <pivotField compact="0" outline="0" showAll="0"/>
    <pivotField compact="0" outline="0" showAll="0"/>
    <pivotField compact="0" outline="0" showAll="0">
      <items count="6">
        <item x="4"/>
        <item x="0"/>
        <item x="3"/>
        <item x="1"/>
        <item x="2"/>
        <item t="default"/>
      </items>
    </pivotField>
    <pivotField compact="0" outline="0" showAll="0">
      <items count="6">
        <item x="4"/>
        <item x="3"/>
        <item x="2"/>
        <item x="0"/>
        <item x="1"/>
        <item t="default"/>
      </items>
    </pivotField>
    <pivotField axis="axisRow" compact="0" outline="0" showAll="0">
      <items count="7">
        <item x="4"/>
        <item x="2"/>
        <item x="3"/>
        <item x="0"/>
        <item x="5"/>
        <item x="1"/>
        <item t="default"/>
      </items>
    </pivotField>
    <pivotField compact="0" numFmtId="165" outline="0" showAll="0"/>
    <pivotField compact="0" numFmtId="166" outline="0" showAll="0"/>
    <pivotField compact="0" numFmtId="14" outline="0" showAll="0"/>
    <pivotField compact="0" outline="0" showAll="0"/>
    <pivotField compact="0" numFmtId="167" outline="0" showAll="0"/>
    <pivotField dataField="1" compact="0" numFmtId="167" outline="0" showAll="0"/>
    <pivotField dataField="1" compact="0" numFmtId="167" outline="0" showAll="0"/>
    <pivotField compact="0" outline="0" showAll="0">
      <items count="3">
        <item x="0"/>
        <item x="1"/>
        <item t="default"/>
      </items>
    </pivotField>
    <pivotField compact="0" outline="0" showAll="0"/>
    <pivotField compact="0" outline="0" showAll="0">
      <items count="13">
        <item x="4"/>
        <item x="5"/>
        <item x="6"/>
        <item x="7"/>
        <item x="8"/>
        <item x="9"/>
        <item x="10"/>
        <item x="11"/>
        <item x="0"/>
        <item x="1"/>
        <item x="2"/>
        <item x="3"/>
        <item t="default"/>
      </items>
    </pivotField>
  </pivotFields>
  <rowFields count="1">
    <field x="4"/>
  </rowFields>
  <rowItems count="6">
    <i>
      <x/>
    </i>
    <i>
      <x v="1"/>
    </i>
    <i>
      <x v="2"/>
    </i>
    <i>
      <x v="3"/>
    </i>
    <i>
      <x v="4"/>
    </i>
    <i>
      <x v="5"/>
    </i>
  </rowItems>
  <colFields count="1">
    <field x="-2"/>
  </colFields>
  <colItems count="2">
    <i>
      <x/>
    </i>
    <i i="1">
      <x v="1"/>
    </i>
  </colItems>
  <dataFields count="2">
    <dataField name="Revenue" fld="10" baseField="0" baseItem="0" numFmtId="167"/>
    <dataField name="Gross Profit" fld="11" baseField="0" baseItem="0" numFmtId="167"/>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Year" xr10:uid="{C239846D-514F-48E6-8292-98DEEBF31D41}" sourceName="Order Year">
  <pivotTables>
    <pivotTable tabId="6" name="Revenue by Country"/>
    <pivotTable tabId="6" name="Total Price"/>
    <pivotTable tabId="6" name="Revenue Growth per Product"/>
    <pivotTable tabId="6" name="Top Segment"/>
    <pivotTable tabId="6" name="PivotTable20"/>
    <pivotTable tabId="6" name="per Product"/>
    <pivotTable tabId="6" name="Monthly Profit Trend"/>
    <pivotTable tabId="6" name="KPI"/>
    <pivotTable tabId="6" name="Product Mix by Segment"/>
    <pivotTable tabId="6" name="Discount Tier"/>
  </pivotTables>
  <data>
    <tabular pivotCacheId="189699232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yer_segment" xr10:uid="{5712DCCA-5003-4045-A5B5-060FF0160B43}" sourceName="Buyer segment">
  <pivotTables>
    <pivotTable tabId="6" name="per Product"/>
    <pivotTable tabId="6" name="Revenue by Country"/>
    <pivotTable tabId="6" name="Total Price"/>
    <pivotTable tabId="6" name="PivotTable20"/>
    <pivotTable tabId="6" name="Monthly Profit Trend"/>
    <pivotTable tabId="6" name="KPI"/>
    <pivotTable tabId="6" name="Discount Tier"/>
  </pivotTables>
  <data>
    <tabular pivotCacheId="1896992325">
      <items count="5">
        <i x="4" s="1"/>
        <i x="3" s="1"/>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_origin" xr10:uid="{282A8AC8-E655-4766-91E0-40A170BD54B4}" sourceName="Country origin">
  <pivotTables>
    <pivotTable tabId="6" name="Discount Tier"/>
    <pivotTable tabId="6" name="KPI"/>
    <pivotTable tabId="6" name="Monthly Profit Trend"/>
    <pivotTable tabId="6" name="per Product"/>
    <pivotTable tabId="6" name="Top Segment"/>
    <pivotTable tabId="6" name="Product Mix by Segment"/>
    <pivotTable tabId="6" name="Revenue Growth per Product"/>
    <pivotTable tabId="6" name="Total Price"/>
  </pivotTables>
  <data>
    <tabular pivotCacheId="1896992325">
      <items count="5">
        <i x="4" s="1"/>
        <i x="0" s="1"/>
        <i x="3"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Year" xr10:uid="{C484DF6C-520D-44EA-975B-8BC1326D80D3}" cache="Slicer_Order_Year" caption="Order Year" columnCount="2" style="SlicerStyleOther1 2" rowHeight="228600"/>
  <slicer name="Buyer segment" xr10:uid="{0B82B8DA-CDDD-4665-B13C-A1E4D7D257E9}" cache="Slicer_Buyer_segment" caption="Buyer segment" columnCount="2" style="SlicerStyleOther1 2" rowHeight="228600"/>
  <slicer name="Country origin" xr10:uid="{70DEB0A3-5F1C-4059-A3A8-63CBD63E8621}" cache="Slicer_Country_origin" caption="Country origin" columnCount="2" style="SlicerStyleOther1 2" rowHeight="22542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8A4BF40-A0A3-4459-B56A-DBBB8F469A76}" name="Table1" displayName="Table1" ref="A1:O701" totalsRowShown="0" headerRowDxfId="25">
  <autoFilter ref="A1:O701" xr:uid="{A70EC1F2-07DF-3C4C-862C-795A0574D2C6}"/>
  <sortState xmlns:xlrd2="http://schemas.microsoft.com/office/spreadsheetml/2017/richdata2" ref="A2:L701">
    <sortCondition ref="H1:H701"/>
  </sortState>
  <tableColumns count="15">
    <tableColumn id="1" xr3:uid="{431E3C1E-8017-4E34-AB94-E90F676D3E00}" name="Order ID" dataDxfId="24">
      <calculatedColumnFormula>"ORD"&amp;"-"&amp;_xlfn.XLOOKUP(C2,Guide!$B$22:$B$26,Guide!$C$22:$C$26)&amp;"-"&amp;_xlfn.XLOOKUP(D2,Guide!$B$29:$B$33,Guide!$C$29:$C$33)&amp;"-"&amp;TEXT(H2,"yyyymmdd")</calculatedColumnFormula>
    </tableColumn>
    <tableColumn id="2" xr3:uid="{8F2BF329-3AE3-4F3A-9573-6698B2F0D59D}" name="Order details" dataDxfId="23"/>
    <tableColumn id="3" xr3:uid="{8088E4F3-F4C8-4551-95AA-5C0367B3F1CD}" name="Country origin" dataDxfId="22"/>
    <tableColumn id="4" xr3:uid="{ED776BDB-7877-45F8-88DB-6B5DAE56A0BC}" name="Buyer segment" dataDxfId="21"/>
    <tableColumn id="5" xr3:uid="{AEC7A48D-1C58-4D87-9E46-24678D198539}" name="Product name" dataDxfId="20"/>
    <tableColumn id="6" xr3:uid="{786DFD1D-F3C6-496B-8613-BFF62CC91364}" name="Qty sold" dataDxfId="19"/>
    <tableColumn id="7" xr3:uid="{10E02B52-02F0-4D7A-9C0B-F8A4C66C70A6}" name="Discount %" dataDxfId="18"/>
    <tableColumn id="8" xr3:uid="{3BF4063A-EBB4-4635-B87B-7C480393201A}" name="Order date" dataDxfId="17">
      <calculatedColumnFormula>DATE(VALUE(_xlfn.TEXTBEFORE(_xlfn.TEXTAFTER(B2,"""year"": """),"""")),VALUE(_xlfn.TEXTBEFORE(_xlfn.TEXTAFTER(B2,"""month"": """),"""")),VALUE(_xlfn.TEXTBEFORE(_xlfn.TEXTAFTER(B2,"""date"": """),""""))
)</calculatedColumnFormula>
    </tableColumn>
    <tableColumn id="9" xr3:uid="{13C35A00-5308-4C25-8E0D-C336B6872C2B}" name="Selling Price" dataDxfId="16">
      <calculatedColumnFormula>_xlfn.XLOOKUP(E2,Product!$A$2:$A$7,Product!$C$2:$C$7)</calculatedColumnFormula>
    </tableColumn>
    <tableColumn id="10" xr3:uid="{78677A5B-F0D8-4E4B-A1B2-9E0F747A6172}" name="Total Price" dataDxfId="15">
      <calculatedColumnFormula>I2*F2</calculatedColumnFormula>
    </tableColumn>
    <tableColumn id="11" xr3:uid="{9D1F83F5-16A0-4B50-B490-E1A646DE570F}" name="Revenue" dataDxfId="14">
      <calculatedColumnFormula>J2*(1-IF(G2="-",0,G2))</calculatedColumnFormula>
    </tableColumn>
    <tableColumn id="12" xr3:uid="{909C0B1B-D512-488E-8BC0-69376B26A462}" name="Gross Profit" dataDxfId="13">
      <calculatedColumnFormula>K2-(_xlfn.XLOOKUP(E2,Product!$A$2:$A$7,Product!$B$2:$B$7)*F2)</calculatedColumnFormula>
    </tableColumn>
    <tableColumn id="13" xr3:uid="{5E81D689-D3CF-4EED-A8DF-E12AA63B87EC}" name="Order Year" dataDxfId="12">
      <calculatedColumnFormula>YEAR(Table1[[#This Row],[Order date]])</calculatedColumnFormula>
    </tableColumn>
    <tableColumn id="14" xr3:uid="{5D9C209D-80D4-49A1-B62D-4B844608E25D}" name="Discount Tier" dataDxfId="11">
      <calculatedColumnFormula array="1">_xlfn.IFS(G2=0,"No Discount", ROUND(G2*100,0)&lt;=4,"Low", ROUND(G2*100,0)&lt;=9,"Medium", ROUND(G2*100,0)&lt;=15,"High")</calculatedColumnFormula>
    </tableColumn>
    <tableColumn id="15" xr3:uid="{819A93F8-A874-48C2-9DDF-4D81B73711D4}" name="Column1" dataDxfId="10">
      <calculatedColumnFormula>TEXT(Table1[[#This Row],[Order date]],"mmmm")</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A201B200-F1B9-47A7-A19E-F06A3B799E4B}">
  <we:reference id="wa200005502" version="1.0.0.13" store="en-US" storeType="OMEX"/>
  <we:alternateReferences>
    <we:reference id="wa200005502" version="1.0.0.13" store="wa200005502"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3.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018A09-188D-C244-B650-C5535FFC6F75}">
  <sheetPr codeName="Sheet1"/>
  <dimension ref="A1:C45"/>
  <sheetViews>
    <sheetView topLeftCell="B1" zoomScale="125" workbookViewId="0">
      <selection activeCell="B8" sqref="B8"/>
    </sheetView>
  </sheetViews>
  <sheetFormatPr defaultColWidth="11.42578125" defaultRowHeight="13.5" x14ac:dyDescent="0.25"/>
  <cols>
    <col min="1" max="1" width="3.140625" style="7" customWidth="1"/>
    <col min="2" max="2" width="22.42578125" customWidth="1"/>
    <col min="3" max="3" width="34.140625" bestFit="1" customWidth="1"/>
  </cols>
  <sheetData>
    <row r="1" spans="1:3" x14ac:dyDescent="0.25">
      <c r="A1" s="16" t="s">
        <v>0</v>
      </c>
      <c r="B1" s="17"/>
    </row>
    <row r="2" spans="1:3" x14ac:dyDescent="0.25">
      <c r="A2" s="7">
        <v>1</v>
      </c>
      <c r="B2" t="s">
        <v>1</v>
      </c>
    </row>
    <row r="3" spans="1:3" x14ac:dyDescent="0.25">
      <c r="A3" s="7" t="s">
        <v>2</v>
      </c>
      <c r="B3" t="s">
        <v>3</v>
      </c>
    </row>
    <row r="4" spans="1:3" x14ac:dyDescent="0.25">
      <c r="A4" s="7" t="s">
        <v>2</v>
      </c>
      <c r="B4" t="s">
        <v>4</v>
      </c>
    </row>
    <row r="5" spans="1:3" x14ac:dyDescent="0.25">
      <c r="A5" s="7" t="s">
        <v>2</v>
      </c>
      <c r="B5" t="s">
        <v>5</v>
      </c>
      <c r="C5" t="s">
        <v>6</v>
      </c>
    </row>
    <row r="6" spans="1:3" x14ac:dyDescent="0.25">
      <c r="A6" s="7">
        <v>2</v>
      </c>
      <c r="B6" t="s">
        <v>7</v>
      </c>
    </row>
    <row r="7" spans="1:3" x14ac:dyDescent="0.25">
      <c r="A7" s="7">
        <v>3</v>
      </c>
      <c r="B7" t="s">
        <v>8</v>
      </c>
    </row>
    <row r="8" spans="1:3" x14ac:dyDescent="0.25">
      <c r="A8" s="7" t="s">
        <v>2</v>
      </c>
      <c r="B8" s="6" t="s">
        <v>9</v>
      </c>
      <c r="C8" t="s">
        <v>10</v>
      </c>
    </row>
    <row r="9" spans="1:3" x14ac:dyDescent="0.25">
      <c r="A9" s="7" t="s">
        <v>2</v>
      </c>
      <c r="B9" s="6" t="s">
        <v>11</v>
      </c>
      <c r="C9" t="s">
        <v>12</v>
      </c>
    </row>
    <row r="10" spans="1:3" x14ac:dyDescent="0.25">
      <c r="A10" s="7" t="s">
        <v>2</v>
      </c>
      <c r="B10" s="6" t="s">
        <v>13</v>
      </c>
      <c r="C10" t="s">
        <v>14</v>
      </c>
    </row>
    <row r="11" spans="1:3" x14ac:dyDescent="0.25">
      <c r="A11" s="7">
        <v>4</v>
      </c>
      <c r="B11" t="s">
        <v>15</v>
      </c>
    </row>
    <row r="12" spans="1:3" x14ac:dyDescent="0.25">
      <c r="A12" s="7">
        <v>5</v>
      </c>
      <c r="B12" t="s">
        <v>16</v>
      </c>
    </row>
    <row r="13" spans="1:3" x14ac:dyDescent="0.25">
      <c r="A13" s="7" t="s">
        <v>2</v>
      </c>
      <c r="B13" s="6" t="s">
        <v>17</v>
      </c>
      <c r="C13" t="s">
        <v>18</v>
      </c>
    </row>
    <row r="14" spans="1:3" x14ac:dyDescent="0.25">
      <c r="A14" s="7" t="s">
        <v>2</v>
      </c>
      <c r="B14" s="6" t="s">
        <v>19</v>
      </c>
      <c r="C14" t="s">
        <v>20</v>
      </c>
    </row>
    <row r="15" spans="1:3" x14ac:dyDescent="0.25">
      <c r="A15" s="7">
        <v>6</v>
      </c>
      <c r="B15" t="s">
        <v>21</v>
      </c>
    </row>
    <row r="16" spans="1:3" x14ac:dyDescent="0.25">
      <c r="A16" s="7">
        <v>7</v>
      </c>
      <c r="B16" t="s">
        <v>22</v>
      </c>
    </row>
    <row r="17" spans="1:3" x14ac:dyDescent="0.25">
      <c r="A17" s="7">
        <v>8</v>
      </c>
      <c r="B17" t="s">
        <v>23</v>
      </c>
    </row>
    <row r="19" spans="1:3" x14ac:dyDescent="0.25">
      <c r="A19" s="16" t="s">
        <v>24</v>
      </c>
      <c r="B19" s="17"/>
      <c r="C19" s="17"/>
    </row>
    <row r="21" spans="1:3" x14ac:dyDescent="0.25">
      <c r="B21" s="18" t="s">
        <v>25</v>
      </c>
      <c r="C21" s="18" t="s">
        <v>26</v>
      </c>
    </row>
    <row r="22" spans="1:3" x14ac:dyDescent="0.25">
      <c r="B22" s="11" t="s">
        <v>27</v>
      </c>
      <c r="C22" s="8" t="s">
        <v>28</v>
      </c>
    </row>
    <row r="23" spans="1:3" x14ac:dyDescent="0.25">
      <c r="B23" s="11" t="s">
        <v>29</v>
      </c>
      <c r="C23" s="8" t="s">
        <v>30</v>
      </c>
    </row>
    <row r="24" spans="1:3" x14ac:dyDescent="0.25">
      <c r="B24" s="11" t="s">
        <v>31</v>
      </c>
      <c r="C24" s="8" t="s">
        <v>32</v>
      </c>
    </row>
    <row r="25" spans="1:3" x14ac:dyDescent="0.25">
      <c r="B25" s="11" t="s">
        <v>33</v>
      </c>
      <c r="C25" s="8" t="s">
        <v>34</v>
      </c>
    </row>
    <row r="26" spans="1:3" x14ac:dyDescent="0.25">
      <c r="B26" s="11" t="s">
        <v>35</v>
      </c>
      <c r="C26" s="8" t="s">
        <v>36</v>
      </c>
    </row>
    <row r="28" spans="1:3" x14ac:dyDescent="0.25">
      <c r="B28" s="18" t="s">
        <v>37</v>
      </c>
      <c r="C28" s="18" t="s">
        <v>38</v>
      </c>
    </row>
    <row r="29" spans="1:3" x14ac:dyDescent="0.25">
      <c r="B29" s="11" t="s">
        <v>39</v>
      </c>
      <c r="C29" s="8" t="s">
        <v>40</v>
      </c>
    </row>
    <row r="30" spans="1:3" x14ac:dyDescent="0.25">
      <c r="B30" s="11" t="s">
        <v>41</v>
      </c>
      <c r="C30" s="8" t="s">
        <v>42</v>
      </c>
    </row>
    <row r="31" spans="1:3" x14ac:dyDescent="0.25">
      <c r="B31" s="11" t="s">
        <v>43</v>
      </c>
      <c r="C31" s="8" t="s">
        <v>44</v>
      </c>
    </row>
    <row r="32" spans="1:3" x14ac:dyDescent="0.25">
      <c r="B32" s="11" t="s">
        <v>45</v>
      </c>
      <c r="C32" s="8" t="s">
        <v>46</v>
      </c>
    </row>
    <row r="33" spans="1:3" x14ac:dyDescent="0.25">
      <c r="B33" s="11" t="s">
        <v>47</v>
      </c>
      <c r="C33" s="8" t="s">
        <v>48</v>
      </c>
    </row>
    <row r="35" spans="1:3" x14ac:dyDescent="0.25">
      <c r="A35" s="16" t="s">
        <v>49</v>
      </c>
      <c r="B35" s="17"/>
      <c r="C35" s="17"/>
    </row>
    <row r="37" spans="1:3" x14ac:dyDescent="0.25">
      <c r="B37" s="18" t="s">
        <v>50</v>
      </c>
      <c r="C37" s="18" t="s">
        <v>51</v>
      </c>
    </row>
    <row r="38" spans="1:3" x14ac:dyDescent="0.25">
      <c r="B38" s="11" t="s">
        <v>52</v>
      </c>
      <c r="C38" s="11" t="s">
        <v>53</v>
      </c>
    </row>
    <row r="39" spans="1:3" x14ac:dyDescent="0.25">
      <c r="B39" s="11" t="s">
        <v>54</v>
      </c>
      <c r="C39" s="11" t="s">
        <v>55</v>
      </c>
    </row>
    <row r="40" spans="1:3" x14ac:dyDescent="0.25">
      <c r="B40" s="11" t="s">
        <v>56</v>
      </c>
      <c r="C40" s="11" t="s">
        <v>57</v>
      </c>
    </row>
    <row r="41" spans="1:3" x14ac:dyDescent="0.25">
      <c r="B41" s="11" t="s">
        <v>58</v>
      </c>
      <c r="C41" s="11" t="s">
        <v>59</v>
      </c>
    </row>
    <row r="42" spans="1:3" x14ac:dyDescent="0.25">
      <c r="B42" s="11" t="s">
        <v>60</v>
      </c>
      <c r="C42" s="11" t="s">
        <v>61</v>
      </c>
    </row>
    <row r="43" spans="1:3" x14ac:dyDescent="0.25">
      <c r="B43" s="11" t="s">
        <v>62</v>
      </c>
      <c r="C43" s="11" t="s">
        <v>63</v>
      </c>
    </row>
    <row r="44" spans="1:3" x14ac:dyDescent="0.25">
      <c r="B44" s="11" t="s">
        <v>64</v>
      </c>
      <c r="C44" s="11" t="s">
        <v>65</v>
      </c>
    </row>
    <row r="45" spans="1:3" x14ac:dyDescent="0.25">
      <c r="B45" s="11" t="s">
        <v>66</v>
      </c>
      <c r="C45" s="11" t="s">
        <v>67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0EC1F2-07DF-3C4C-862C-795A0574D2C6}">
  <sheetPr codeName="Sheet2">
    <outlinePr summaryBelow="0" summaryRight="0"/>
  </sheetPr>
  <dimension ref="A1:O701"/>
  <sheetViews>
    <sheetView topLeftCell="B1" zoomScaleNormal="100" workbookViewId="0">
      <selection activeCell="O3" sqref="O3"/>
    </sheetView>
  </sheetViews>
  <sheetFormatPr defaultColWidth="15.140625" defaultRowHeight="15.75" customHeight="1" x14ac:dyDescent="0.25"/>
  <cols>
    <col min="1" max="1" width="21.7109375" bestFit="1" customWidth="1"/>
    <col min="2" max="2" width="117.42578125" bestFit="1" customWidth="1"/>
    <col min="3" max="3" width="19.42578125" customWidth="1"/>
    <col min="4" max="4" width="14.7109375" bestFit="1" customWidth="1"/>
    <col min="5" max="5" width="13.85546875" bestFit="1" customWidth="1"/>
    <col min="6" max="6" width="9.7109375" bestFit="1" customWidth="1"/>
    <col min="7" max="7" width="13" bestFit="1" customWidth="1"/>
    <col min="8" max="8" width="11.42578125" style="5" bestFit="1" customWidth="1"/>
    <col min="9" max="9" width="12.85546875" bestFit="1" customWidth="1"/>
    <col min="10" max="10" width="11.28515625" style="22" bestFit="1" customWidth="1"/>
    <col min="11" max="11" width="10.140625" style="22" bestFit="1" customWidth="1"/>
    <col min="12" max="12" width="12.140625" style="22" bestFit="1" customWidth="1"/>
  </cols>
  <sheetData>
    <row r="1" spans="1:15" s="6" customFormat="1" ht="13.5" x14ac:dyDescent="0.25">
      <c r="A1" s="13" t="s">
        <v>52</v>
      </c>
      <c r="B1" s="13" t="s">
        <v>54</v>
      </c>
      <c r="C1" s="13" t="s">
        <v>56</v>
      </c>
      <c r="D1" s="13" t="s">
        <v>58</v>
      </c>
      <c r="E1" s="13" t="s">
        <v>60</v>
      </c>
      <c r="F1" s="13" t="s">
        <v>62</v>
      </c>
      <c r="G1" s="14" t="s">
        <v>64</v>
      </c>
      <c r="H1" s="15" t="s">
        <v>66</v>
      </c>
      <c r="I1" s="13" t="s">
        <v>68</v>
      </c>
      <c r="J1" s="21" t="s">
        <v>69</v>
      </c>
      <c r="K1" s="21" t="s">
        <v>70</v>
      </c>
      <c r="L1" s="21" t="s">
        <v>71</v>
      </c>
      <c r="M1" s="6" t="s">
        <v>72</v>
      </c>
      <c r="N1" s="21" t="s">
        <v>73</v>
      </c>
      <c r="O1" s="34" t="s">
        <v>677</v>
      </c>
    </row>
    <row r="2" spans="1:15" ht="13.5" x14ac:dyDescent="0.25">
      <c r="A2" s="1" t="str">
        <f>"ORD"&amp;"-"&amp;_xlfn.XLOOKUP(C2,Guide!$B$22:$B$26,Guide!$C$22:$C$26)&amp;"-"&amp;_xlfn.XLOOKUP(D2,Guide!$B$29:$B$33,Guide!$C$29:$C$33)&amp;"-"&amp;TEXT(H2,"yyyymmdd")</f>
        <v>ORD-FRA-MDM-20130901</v>
      </c>
      <c r="B2" s="1" t="s">
        <v>74</v>
      </c>
      <c r="C2" s="1" t="s">
        <v>31</v>
      </c>
      <c r="D2" s="1" t="s">
        <v>41</v>
      </c>
      <c r="E2" s="1" t="s">
        <v>75</v>
      </c>
      <c r="F2" s="2">
        <v>549</v>
      </c>
      <c r="G2" s="4">
        <v>0</v>
      </c>
      <c r="H2" s="3">
        <f t="shared" ref="H2:H65" si="0">DATE(VALUE(_xlfn.TEXTBEFORE(_xlfn.TEXTAFTER(B2,"""year"": """),"""")),VALUE(_xlfn.TEXTBEFORE(_xlfn.TEXTAFTER(B2,"""month"": """),"""")),VALUE(_xlfn.TEXTBEFORE(_xlfn.TEXTAFTER(B2,"""date"": """),""""))
)</f>
        <v>41518</v>
      </c>
      <c r="I2" s="1">
        <f>_xlfn.XLOOKUP(E2,Product!$A$2:$A$7,Product!$C$2:$C$7)</f>
        <v>20</v>
      </c>
      <c r="J2" s="22">
        <f t="shared" ref="J2:J65" si="1">I2*F2</f>
        <v>10980</v>
      </c>
      <c r="K2" s="22">
        <f t="shared" ref="K2:K65" si="2">J2*(1-IF(G2="-",0,G2))</f>
        <v>10980</v>
      </c>
      <c r="L2" s="22">
        <f>K2-(_xlfn.XLOOKUP(E2,Product!$A$2:$A$7,Product!$B$2:$B$7)*F2)</f>
        <v>5490</v>
      </c>
      <c r="M2">
        <f>YEAR(Table1[[#This Row],[Order date]])</f>
        <v>2013</v>
      </c>
      <c r="N2" s="22" t="str" cm="1">
        <f t="array" ref="N2">_xlfn.IFS(G2=0,"No Discount", ROUND(G2*100,0)&lt;=4,"Low", ROUND(G2*100,0)&lt;=9,"Medium", ROUND(G2*100,0)&lt;=15,"High")</f>
        <v>No Discount</v>
      </c>
      <c r="O2" s="22" t="str">
        <f>TEXT(Table1[[#This Row],[Order date]],"mmmm")</f>
        <v>September</v>
      </c>
    </row>
    <row r="3" spans="1:15" ht="13.5" x14ac:dyDescent="0.25">
      <c r="A3" s="1" t="str">
        <f>"ORD"&amp;"-"&amp;_xlfn.XLOOKUP(C3,Guide!$B$22:$B$26,Guide!$C$22:$C$26)&amp;"-"&amp;_xlfn.XLOOKUP(D3,Guide!$B$29:$B$33,Guide!$C$29:$C$33)&amp;"-"&amp;TEXT(H3,"yyyymmdd")</f>
        <v>ORD-MXC-SMB-20130901</v>
      </c>
      <c r="B3" s="1" t="s">
        <v>76</v>
      </c>
      <c r="C3" s="1" t="s">
        <v>33</v>
      </c>
      <c r="D3" s="1" t="s">
        <v>47</v>
      </c>
      <c r="E3" s="1" t="s">
        <v>75</v>
      </c>
      <c r="F3" s="2">
        <v>788</v>
      </c>
      <c r="G3" s="4">
        <v>0</v>
      </c>
      <c r="H3" s="3">
        <f t="shared" si="0"/>
        <v>41518</v>
      </c>
      <c r="I3" s="1">
        <f>_xlfn.XLOOKUP(E3,Product!$A$2:$A$7,Product!$C$2:$C$7)</f>
        <v>20</v>
      </c>
      <c r="J3" s="22">
        <f t="shared" si="1"/>
        <v>15760</v>
      </c>
      <c r="K3" s="22">
        <f t="shared" si="2"/>
        <v>15760</v>
      </c>
      <c r="L3" s="22">
        <f>K3-(_xlfn.XLOOKUP(E3,Product!$A$2:$A$7,Product!$B$2:$B$7)*F3)</f>
        <v>7880</v>
      </c>
      <c r="M3">
        <f>YEAR(Table1[[#This Row],[Order date]])</f>
        <v>2013</v>
      </c>
      <c r="N3" s="22" t="str" cm="1">
        <f t="array" ref="N3">_xlfn.IFS(G3=0,"No Discount", ROUND(G3*100,0)&lt;=4,"Low", ROUND(G3*100,0)&lt;=9,"Medium", ROUND(G3*100,0)&lt;=15,"High")</f>
        <v>No Discount</v>
      </c>
      <c r="O3" s="22" t="str">
        <f>TEXT(Table1[[#This Row],[Order date]],"mmmm")</f>
        <v>September</v>
      </c>
    </row>
    <row r="4" spans="1:15" ht="13.5" x14ac:dyDescent="0.25">
      <c r="A4" s="1" t="str">
        <f>"ORD"&amp;"-"&amp;_xlfn.XLOOKUP(C4,Guide!$B$22:$B$26,Guide!$C$22:$C$26)&amp;"-"&amp;_xlfn.XLOOKUP(D4,Guide!$B$29:$B$33,Guide!$C$29:$C$33)&amp;"-"&amp;TEXT(H4,"yyyymmdd")</f>
        <v>ORD-FRA-GOV-20130901</v>
      </c>
      <c r="B4" s="1" t="s">
        <v>77</v>
      </c>
      <c r="C4" s="1" t="s">
        <v>31</v>
      </c>
      <c r="D4" s="1" t="s">
        <v>39</v>
      </c>
      <c r="E4" s="1" t="s">
        <v>78</v>
      </c>
      <c r="F4" s="2">
        <v>1527</v>
      </c>
      <c r="G4" s="4">
        <v>0</v>
      </c>
      <c r="H4" s="3">
        <f t="shared" si="0"/>
        <v>41518</v>
      </c>
      <c r="I4" s="1">
        <f>_xlfn.XLOOKUP(E4,Product!$A$2:$A$7,Product!$C$2:$C$7)</f>
        <v>300</v>
      </c>
      <c r="J4" s="22">
        <f t="shared" si="1"/>
        <v>458100</v>
      </c>
      <c r="K4" s="22">
        <f t="shared" si="2"/>
        <v>458100</v>
      </c>
      <c r="L4" s="22">
        <f>K4-(_xlfn.XLOOKUP(E4,Product!$A$2:$A$7,Product!$B$2:$B$7)*F4)</f>
        <v>76350</v>
      </c>
      <c r="M4">
        <f>YEAR(Table1[[#This Row],[Order date]])</f>
        <v>2013</v>
      </c>
      <c r="N4" s="22" t="str" cm="1">
        <f t="array" ref="N4">_xlfn.IFS(G4=0,"No Discount", ROUND(G4*100,0)&lt;=4,"Low", ROUND(G4*100,0)&lt;=9,"Medium", ROUND(G4*100,0)&lt;=15,"High")</f>
        <v>No Discount</v>
      </c>
      <c r="O4" s="22" t="str">
        <f>TEXT(Table1[[#This Row],[Order date]],"mmmm")</f>
        <v>September</v>
      </c>
    </row>
    <row r="5" spans="1:15" ht="13.5" x14ac:dyDescent="0.25">
      <c r="A5" s="1" t="str">
        <f>"ORD"&amp;"-"&amp;_xlfn.XLOOKUP(C5,Guide!$B$22:$B$26,Guide!$C$22:$C$26)&amp;"-"&amp;_xlfn.XLOOKUP(D5,Guide!$B$29:$B$33,Guide!$C$29:$C$33)&amp;"-"&amp;TEXT(H5,"yyyymmdd")</f>
        <v>ORD-USA-ENT-20130901</v>
      </c>
      <c r="B5" s="1" t="s">
        <v>79</v>
      </c>
      <c r="C5" s="1" t="s">
        <v>35</v>
      </c>
      <c r="D5" s="1" t="s">
        <v>45</v>
      </c>
      <c r="E5" s="1" t="s">
        <v>80</v>
      </c>
      <c r="F5" s="2">
        <v>330</v>
      </c>
      <c r="G5" s="4">
        <v>0.01</v>
      </c>
      <c r="H5" s="3">
        <f t="shared" si="0"/>
        <v>41518</v>
      </c>
      <c r="I5" s="1">
        <f>_xlfn.XLOOKUP(E5,Product!$A$2:$A$7,Product!$C$2:$C$7)</f>
        <v>20</v>
      </c>
      <c r="J5" s="22">
        <f t="shared" si="1"/>
        <v>6600</v>
      </c>
      <c r="K5" s="22">
        <f t="shared" si="2"/>
        <v>6534</v>
      </c>
      <c r="L5" s="22">
        <f>K5-(_xlfn.XLOOKUP(E5,Product!$A$2:$A$7,Product!$B$2:$B$7)*F5)</f>
        <v>5544</v>
      </c>
      <c r="M5">
        <f>YEAR(Table1[[#This Row],[Order date]])</f>
        <v>2013</v>
      </c>
      <c r="N5" s="22" t="str" cm="1">
        <f t="array" ref="N5">_xlfn.IFS(G5=0,"No Discount", ROUND(G5*100,0)&lt;=4,"Low", ROUND(G5*100,0)&lt;=9,"Medium", ROUND(G5*100,0)&lt;=15,"High")</f>
        <v>Low</v>
      </c>
      <c r="O5" s="22" t="str">
        <f>TEXT(Table1[[#This Row],[Order date]],"mmmm")</f>
        <v>September</v>
      </c>
    </row>
    <row r="6" spans="1:15" ht="13.5" x14ac:dyDescent="0.25">
      <c r="A6" s="1" t="str">
        <f>"ORD"&amp;"-"&amp;_xlfn.XLOOKUP(C6,Guide!$B$22:$B$26,Guide!$C$22:$C$26)&amp;"-"&amp;_xlfn.XLOOKUP(D6,Guide!$B$29:$B$33,Guide!$C$29:$C$33)&amp;"-"&amp;TEXT(H6,"yyyymmdd")</f>
        <v>ORD-USA-SMB-20130901</v>
      </c>
      <c r="B6" s="1" t="s">
        <v>81</v>
      </c>
      <c r="C6" s="1" t="s">
        <v>35</v>
      </c>
      <c r="D6" s="1" t="s">
        <v>47</v>
      </c>
      <c r="E6" s="1" t="s">
        <v>82</v>
      </c>
      <c r="F6" s="2">
        <v>2498</v>
      </c>
      <c r="G6" s="4">
        <v>0.01</v>
      </c>
      <c r="H6" s="3">
        <f t="shared" si="0"/>
        <v>41518</v>
      </c>
      <c r="I6" s="1">
        <f>_xlfn.XLOOKUP(E6,Product!$A$2:$A$7,Product!$C$2:$C$7)</f>
        <v>15</v>
      </c>
      <c r="J6" s="22">
        <f t="shared" si="1"/>
        <v>37470</v>
      </c>
      <c r="K6" s="22">
        <f t="shared" si="2"/>
        <v>37095.300000000003</v>
      </c>
      <c r="L6" s="22">
        <f>K6-(_xlfn.XLOOKUP(E6,Product!$A$2:$A$7,Product!$B$2:$B$7)*F6)</f>
        <v>24605.300000000003</v>
      </c>
      <c r="M6">
        <f>YEAR(Table1[[#This Row],[Order date]])</f>
        <v>2013</v>
      </c>
      <c r="N6" s="22" t="str" cm="1">
        <f t="array" ref="N6">_xlfn.IFS(G6=0,"No Discount", ROUND(G6*100,0)&lt;=4,"Low", ROUND(G6*100,0)&lt;=9,"Medium", ROUND(G6*100,0)&lt;=15,"High")</f>
        <v>Low</v>
      </c>
      <c r="O6" s="22" t="str">
        <f>TEXT(Table1[[#This Row],[Order date]],"mmmm")</f>
        <v>September</v>
      </c>
    </row>
    <row r="7" spans="1:15" ht="13.5" x14ac:dyDescent="0.25">
      <c r="A7" s="1" t="str">
        <f>"ORD"&amp;"-"&amp;_xlfn.XLOOKUP(C7,Guide!$B$22:$B$26,Guide!$C$22:$C$26)&amp;"-"&amp;_xlfn.XLOOKUP(D7,Guide!$B$29:$B$33,Guide!$C$29:$C$33)&amp;"-"&amp;TEXT(H7,"yyyymmdd")</f>
        <v>ORD-USA-CPR-20130901</v>
      </c>
      <c r="B7" s="1" t="s">
        <v>83</v>
      </c>
      <c r="C7" s="1" t="s">
        <v>35</v>
      </c>
      <c r="D7" s="1" t="s">
        <v>43</v>
      </c>
      <c r="E7" s="1" t="s">
        <v>84</v>
      </c>
      <c r="F7" s="2">
        <v>1989</v>
      </c>
      <c r="G7" s="4">
        <v>0.01</v>
      </c>
      <c r="H7" s="3">
        <f t="shared" si="0"/>
        <v>41518</v>
      </c>
      <c r="I7" s="1">
        <f>_xlfn.XLOOKUP(E7,Product!$A$2:$A$7,Product!$C$2:$C$7)</f>
        <v>350</v>
      </c>
      <c r="J7" s="22">
        <f t="shared" si="1"/>
        <v>696150</v>
      </c>
      <c r="K7" s="22">
        <f t="shared" si="2"/>
        <v>689188.5</v>
      </c>
      <c r="L7" s="22">
        <f>K7-(_xlfn.XLOOKUP(E7,Product!$A$2:$A$7,Product!$B$2:$B$7)*F7)</f>
        <v>291388.5</v>
      </c>
      <c r="M7">
        <f>YEAR(Table1[[#This Row],[Order date]])</f>
        <v>2013</v>
      </c>
      <c r="N7" s="22" t="str" cm="1">
        <f t="array" ref="N7">_xlfn.IFS(G7=0,"No Discount", ROUND(G7*100,0)&lt;=4,"Low", ROUND(G7*100,0)&lt;=9,"Medium", ROUND(G7*100,0)&lt;=15,"High")</f>
        <v>Low</v>
      </c>
      <c r="O7" s="22" t="str">
        <f>TEXT(Table1[[#This Row],[Order date]],"mmmm")</f>
        <v>September</v>
      </c>
    </row>
    <row r="8" spans="1:15" ht="13.5" x14ac:dyDescent="0.25">
      <c r="A8" s="1" t="str">
        <f>"ORD"&amp;"-"&amp;_xlfn.XLOOKUP(C8,Guide!$B$22:$B$26,Guide!$C$22:$C$26)&amp;"-"&amp;_xlfn.XLOOKUP(D8,Guide!$B$29:$B$33,Guide!$C$29:$C$33)&amp;"-"&amp;TEXT(H8,"yyyymmdd")</f>
        <v>ORD-GER-GOV-20130901</v>
      </c>
      <c r="B8" s="1" t="s">
        <v>85</v>
      </c>
      <c r="C8" s="1" t="s">
        <v>29</v>
      </c>
      <c r="D8" s="1" t="s">
        <v>39</v>
      </c>
      <c r="E8" s="1" t="s">
        <v>82</v>
      </c>
      <c r="F8" s="2">
        <v>1797</v>
      </c>
      <c r="G8" s="4">
        <v>0.03</v>
      </c>
      <c r="H8" s="3">
        <f t="shared" si="0"/>
        <v>41518</v>
      </c>
      <c r="I8" s="1">
        <f>_xlfn.XLOOKUP(E8,Product!$A$2:$A$7,Product!$C$2:$C$7)</f>
        <v>15</v>
      </c>
      <c r="J8" s="22">
        <f t="shared" si="1"/>
        <v>26955</v>
      </c>
      <c r="K8" s="22">
        <f t="shared" si="2"/>
        <v>26146.35</v>
      </c>
      <c r="L8" s="22">
        <f>K8-(_xlfn.XLOOKUP(E8,Product!$A$2:$A$7,Product!$B$2:$B$7)*F8)</f>
        <v>17161.349999999999</v>
      </c>
      <c r="M8">
        <f>YEAR(Table1[[#This Row],[Order date]])</f>
        <v>2013</v>
      </c>
      <c r="N8" s="22" t="str" cm="1">
        <f t="array" ref="N8">_xlfn.IFS(G8=0,"No Discount", ROUND(G8*100,0)&lt;=4,"Low", ROUND(G8*100,0)&lt;=9,"Medium", ROUND(G8*100,0)&lt;=15,"High")</f>
        <v>Low</v>
      </c>
      <c r="O8" s="22" t="str">
        <f>TEXT(Table1[[#This Row],[Order date]],"mmmm")</f>
        <v>September</v>
      </c>
    </row>
    <row r="9" spans="1:15" ht="13.5" x14ac:dyDescent="0.25">
      <c r="A9" s="1" t="str">
        <f>"ORD"&amp;"-"&amp;_xlfn.XLOOKUP(C9,Guide!$B$22:$B$26,Guide!$C$22:$C$26)&amp;"-"&amp;_xlfn.XLOOKUP(D9,Guide!$B$29:$B$33,Guide!$C$29:$C$33)&amp;"-"&amp;TEXT(H9,"yyyymmdd")</f>
        <v>ORD-MXC-GOV-20130901</v>
      </c>
      <c r="B9" s="1" t="s">
        <v>86</v>
      </c>
      <c r="C9" s="1" t="s">
        <v>33</v>
      </c>
      <c r="D9" s="1" t="s">
        <v>39</v>
      </c>
      <c r="E9" s="1" t="s">
        <v>75</v>
      </c>
      <c r="F9" s="2">
        <v>1760</v>
      </c>
      <c r="G9" s="4">
        <v>3.0000000000000002E-2</v>
      </c>
      <c r="H9" s="3">
        <f t="shared" si="0"/>
        <v>41518</v>
      </c>
      <c r="I9" s="1">
        <f>_xlfn.XLOOKUP(E9,Product!$A$2:$A$7,Product!$C$2:$C$7)</f>
        <v>20</v>
      </c>
      <c r="J9" s="22">
        <f t="shared" si="1"/>
        <v>35200</v>
      </c>
      <c r="K9" s="22">
        <f t="shared" si="2"/>
        <v>34144</v>
      </c>
      <c r="L9" s="22">
        <f>K9-(_xlfn.XLOOKUP(E9,Product!$A$2:$A$7,Product!$B$2:$B$7)*F9)</f>
        <v>16544</v>
      </c>
      <c r="M9">
        <f>YEAR(Table1[[#This Row],[Order date]])</f>
        <v>2013</v>
      </c>
      <c r="N9" s="22" t="str" cm="1">
        <f t="array" ref="N9">_xlfn.IFS(G9=0,"No Discount", ROUND(G9*100,0)&lt;=4,"Low", ROUND(G9*100,0)&lt;=9,"Medium", ROUND(G9*100,0)&lt;=15,"High")</f>
        <v>Low</v>
      </c>
      <c r="O9" s="22" t="str">
        <f>TEXT(Table1[[#This Row],[Order date]],"mmmm")</f>
        <v>September</v>
      </c>
    </row>
    <row r="10" spans="1:15" ht="13.5" x14ac:dyDescent="0.25">
      <c r="A10" s="1" t="str">
        <f>"ORD"&amp;"-"&amp;_xlfn.XLOOKUP(C10,Guide!$B$22:$B$26,Guide!$C$22:$C$26)&amp;"-"&amp;_xlfn.XLOOKUP(D10,Guide!$B$29:$B$33,Guide!$C$29:$C$33)&amp;"-"&amp;TEXT(H10,"yyyymmdd")</f>
        <v>ORD-USA-GOV-20130901</v>
      </c>
      <c r="B10" s="1" t="s">
        <v>87</v>
      </c>
      <c r="C10" s="1" t="s">
        <v>35</v>
      </c>
      <c r="D10" s="1" t="s">
        <v>39</v>
      </c>
      <c r="E10" s="1" t="s">
        <v>88</v>
      </c>
      <c r="F10" s="2">
        <v>736</v>
      </c>
      <c r="G10" s="4">
        <v>3.9999999999999994E-2</v>
      </c>
      <c r="H10" s="3">
        <f t="shared" si="0"/>
        <v>41518</v>
      </c>
      <c r="I10" s="1">
        <f>_xlfn.XLOOKUP(E10,Product!$A$2:$A$7,Product!$C$2:$C$7)</f>
        <v>180</v>
      </c>
      <c r="J10" s="22">
        <f t="shared" si="1"/>
        <v>132480</v>
      </c>
      <c r="K10" s="22">
        <f t="shared" si="2"/>
        <v>127180.79999999999</v>
      </c>
      <c r="L10" s="22">
        <f>K10-(_xlfn.XLOOKUP(E10,Product!$A$2:$A$7,Product!$B$2:$B$7)*F10)</f>
        <v>38860.799999999988</v>
      </c>
      <c r="M10">
        <f>YEAR(Table1[[#This Row],[Order date]])</f>
        <v>2013</v>
      </c>
      <c r="N10" s="22" t="str" cm="1">
        <f t="array" ref="N10">_xlfn.IFS(G10=0,"No Discount", ROUND(G10*100,0)&lt;=4,"Low", ROUND(G10*100,0)&lt;=9,"Medium", ROUND(G10*100,0)&lt;=15,"High")</f>
        <v>Low</v>
      </c>
      <c r="O10" s="22" t="str">
        <f>TEXT(Table1[[#This Row],[Order date]],"mmmm")</f>
        <v>September</v>
      </c>
    </row>
    <row r="11" spans="1:15" ht="13.5" x14ac:dyDescent="0.25">
      <c r="A11" s="1" t="str">
        <f>"ORD"&amp;"-"&amp;_xlfn.XLOOKUP(C11,Guide!$B$22:$B$26,Guide!$C$22:$C$26)&amp;"-"&amp;_xlfn.XLOOKUP(D11,Guide!$B$29:$B$33,Guide!$C$29:$C$33)&amp;"-"&amp;TEXT(H11,"yyyymmdd")</f>
        <v>ORD-USA-GOV-20130901</v>
      </c>
      <c r="B11" s="1" t="s">
        <v>89</v>
      </c>
      <c r="C11" s="1" t="s">
        <v>35</v>
      </c>
      <c r="D11" s="1" t="s">
        <v>39</v>
      </c>
      <c r="E11" s="1" t="s">
        <v>78</v>
      </c>
      <c r="F11" s="2">
        <v>349</v>
      </c>
      <c r="G11" s="4">
        <v>0.04</v>
      </c>
      <c r="H11" s="3">
        <f t="shared" si="0"/>
        <v>41518</v>
      </c>
      <c r="I11" s="1">
        <f>_xlfn.XLOOKUP(E11,Product!$A$2:$A$7,Product!$C$2:$C$7)</f>
        <v>300</v>
      </c>
      <c r="J11" s="22">
        <f t="shared" si="1"/>
        <v>104700</v>
      </c>
      <c r="K11" s="22">
        <f t="shared" si="2"/>
        <v>100512</v>
      </c>
      <c r="L11" s="22">
        <f>K11-(_xlfn.XLOOKUP(E11,Product!$A$2:$A$7,Product!$B$2:$B$7)*F11)</f>
        <v>13262</v>
      </c>
      <c r="M11">
        <f>YEAR(Table1[[#This Row],[Order date]])</f>
        <v>2013</v>
      </c>
      <c r="N11" s="22" t="str" cm="1">
        <f t="array" ref="N11">_xlfn.IFS(G11=0,"No Discount", ROUND(G11*100,0)&lt;=4,"Low", ROUND(G11*100,0)&lt;=9,"Medium", ROUND(G11*100,0)&lt;=15,"High")</f>
        <v>Low</v>
      </c>
      <c r="O11" s="22" t="str">
        <f>TEXT(Table1[[#This Row],[Order date]],"mmmm")</f>
        <v>September</v>
      </c>
    </row>
    <row r="12" spans="1:15" ht="13.5" x14ac:dyDescent="0.25">
      <c r="A12" s="1" t="str">
        <f>"ORD"&amp;"-"&amp;_xlfn.XLOOKUP(C12,Guide!$B$22:$B$26,Guide!$C$22:$C$26)&amp;"-"&amp;_xlfn.XLOOKUP(D12,Guide!$B$29:$B$33,Guide!$C$29:$C$33)&amp;"-"&amp;TEXT(H12,"yyyymmdd")</f>
        <v>ORD-CND-GOV-20130901</v>
      </c>
      <c r="B12" s="1" t="s">
        <v>90</v>
      </c>
      <c r="C12" s="1" t="s">
        <v>27</v>
      </c>
      <c r="D12" s="1" t="s">
        <v>39</v>
      </c>
      <c r="E12" s="1" t="s">
        <v>88</v>
      </c>
      <c r="F12" s="2">
        <v>2646</v>
      </c>
      <c r="G12" s="4">
        <v>0.04</v>
      </c>
      <c r="H12" s="3">
        <f t="shared" si="0"/>
        <v>41518</v>
      </c>
      <c r="I12" s="1">
        <f>_xlfn.XLOOKUP(E12,Product!$A$2:$A$7,Product!$C$2:$C$7)</f>
        <v>180</v>
      </c>
      <c r="J12" s="22">
        <f t="shared" si="1"/>
        <v>476280</v>
      </c>
      <c r="K12" s="22">
        <f t="shared" si="2"/>
        <v>457228.79999999999</v>
      </c>
      <c r="L12" s="22">
        <f>K12-(_xlfn.XLOOKUP(E12,Product!$A$2:$A$7,Product!$B$2:$B$7)*F12)</f>
        <v>139708.79999999999</v>
      </c>
      <c r="M12">
        <f>YEAR(Table1[[#This Row],[Order date]])</f>
        <v>2013</v>
      </c>
      <c r="N12" s="22" t="str" cm="1">
        <f t="array" ref="N12">_xlfn.IFS(G12=0,"No Discount", ROUND(G12*100,0)&lt;=4,"Low", ROUND(G12*100,0)&lt;=9,"Medium", ROUND(G12*100,0)&lt;=15,"High")</f>
        <v>Low</v>
      </c>
      <c r="O12" s="22" t="str">
        <f>TEXT(Table1[[#This Row],[Order date]],"mmmm")</f>
        <v>September</v>
      </c>
    </row>
    <row r="13" spans="1:15" ht="13.5" x14ac:dyDescent="0.25">
      <c r="A13" s="1" t="str">
        <f>"ORD"&amp;"-"&amp;_xlfn.XLOOKUP(C13,Guide!$B$22:$B$26,Guide!$C$22:$C$26)&amp;"-"&amp;_xlfn.XLOOKUP(D13,Guide!$B$29:$B$33,Guide!$C$29:$C$33)&amp;"-"&amp;TEXT(H13,"yyyymmdd")</f>
        <v>ORD-CND-GOV-20130901</v>
      </c>
      <c r="B13" s="1" t="s">
        <v>91</v>
      </c>
      <c r="C13" s="1" t="s">
        <v>27</v>
      </c>
      <c r="D13" s="1" t="s">
        <v>39</v>
      </c>
      <c r="E13" s="1" t="s">
        <v>75</v>
      </c>
      <c r="F13" s="2">
        <v>2349</v>
      </c>
      <c r="G13" s="4">
        <v>4.9999999999999996E-2</v>
      </c>
      <c r="H13" s="3">
        <f t="shared" si="0"/>
        <v>41518</v>
      </c>
      <c r="I13" s="1">
        <f>_xlfn.XLOOKUP(E13,Product!$A$2:$A$7,Product!$C$2:$C$7)</f>
        <v>20</v>
      </c>
      <c r="J13" s="22">
        <f t="shared" si="1"/>
        <v>46980</v>
      </c>
      <c r="K13" s="22">
        <f t="shared" si="2"/>
        <v>44631</v>
      </c>
      <c r="L13" s="22">
        <f>K13-(_xlfn.XLOOKUP(E13,Product!$A$2:$A$7,Product!$B$2:$B$7)*F13)</f>
        <v>21141</v>
      </c>
      <c r="M13">
        <f>YEAR(Table1[[#This Row],[Order date]])</f>
        <v>2013</v>
      </c>
      <c r="N13" s="22" t="str" cm="1">
        <f t="array" ref="N13">_xlfn.IFS(G13=0,"No Discount", ROUND(G13*100,0)&lt;=4,"Low", ROUND(G13*100,0)&lt;=9,"Medium", ROUND(G13*100,0)&lt;=15,"High")</f>
        <v>Medium</v>
      </c>
      <c r="O13" s="22" t="str">
        <f>TEXT(Table1[[#This Row],[Order date]],"mmmm")</f>
        <v>September</v>
      </c>
    </row>
    <row r="14" spans="1:15" ht="13.5" x14ac:dyDescent="0.25">
      <c r="A14" s="1" t="str">
        <f>"ORD"&amp;"-"&amp;_xlfn.XLOOKUP(C14,Guide!$B$22:$B$26,Guide!$C$22:$C$26)&amp;"-"&amp;_xlfn.XLOOKUP(D14,Guide!$B$29:$B$33,Guide!$C$29:$C$33)&amp;"-"&amp;TEXT(H14,"yyyymmdd")</f>
        <v>ORD-MXC-GOV-20130901</v>
      </c>
      <c r="B14" s="1" t="s">
        <v>92</v>
      </c>
      <c r="C14" s="1" t="s">
        <v>33</v>
      </c>
      <c r="D14" s="1" t="s">
        <v>39</v>
      </c>
      <c r="E14" s="1" t="s">
        <v>82</v>
      </c>
      <c r="F14" s="2">
        <v>720</v>
      </c>
      <c r="G14" s="4">
        <v>0.05</v>
      </c>
      <c r="H14" s="3">
        <f t="shared" si="0"/>
        <v>41518</v>
      </c>
      <c r="I14" s="1">
        <f>_xlfn.XLOOKUP(E14,Product!$A$2:$A$7,Product!$C$2:$C$7)</f>
        <v>15</v>
      </c>
      <c r="J14" s="22">
        <f t="shared" si="1"/>
        <v>10800</v>
      </c>
      <c r="K14" s="22">
        <f t="shared" si="2"/>
        <v>10260</v>
      </c>
      <c r="L14" s="22">
        <f>K14-(_xlfn.XLOOKUP(E14,Product!$A$2:$A$7,Product!$B$2:$B$7)*F14)</f>
        <v>6660</v>
      </c>
      <c r="M14">
        <f>YEAR(Table1[[#This Row],[Order date]])</f>
        <v>2013</v>
      </c>
      <c r="N14" s="22" t="str" cm="1">
        <f t="array" ref="N14">_xlfn.IFS(G14=0,"No Discount", ROUND(G14*100,0)&lt;=4,"Low", ROUND(G14*100,0)&lt;=9,"Medium", ROUND(G14*100,0)&lt;=15,"High")</f>
        <v>Medium</v>
      </c>
      <c r="O14" s="22" t="str">
        <f>TEXT(Table1[[#This Row],[Order date]],"mmmm")</f>
        <v>September</v>
      </c>
    </row>
    <row r="15" spans="1:15" ht="13.5" x14ac:dyDescent="0.25">
      <c r="A15" s="1" t="str">
        <f>"ORD"&amp;"-"&amp;_xlfn.XLOOKUP(C15,Guide!$B$22:$B$26,Guide!$C$22:$C$26)&amp;"-"&amp;_xlfn.XLOOKUP(D15,Guide!$B$29:$B$33,Guide!$C$29:$C$33)&amp;"-"&amp;TEXT(H15,"yyyymmdd")</f>
        <v>ORD-FRA-GOV-20130901</v>
      </c>
      <c r="B15" s="1" t="s">
        <v>93</v>
      </c>
      <c r="C15" s="1" t="s">
        <v>31</v>
      </c>
      <c r="D15" s="1" t="s">
        <v>39</v>
      </c>
      <c r="E15" s="1" t="s">
        <v>75</v>
      </c>
      <c r="F15" s="2">
        <v>1031</v>
      </c>
      <c r="G15" s="4">
        <v>6.9999999999999993E-2</v>
      </c>
      <c r="H15" s="3">
        <f t="shared" si="0"/>
        <v>41518</v>
      </c>
      <c r="I15" s="1">
        <f>_xlfn.XLOOKUP(E15,Product!$A$2:$A$7,Product!$C$2:$C$7)</f>
        <v>20</v>
      </c>
      <c r="J15" s="22">
        <f t="shared" si="1"/>
        <v>20620</v>
      </c>
      <c r="K15" s="22">
        <f t="shared" si="2"/>
        <v>19176.600000000002</v>
      </c>
      <c r="L15" s="22">
        <f>K15-(_xlfn.XLOOKUP(E15,Product!$A$2:$A$7,Product!$B$2:$B$7)*F15)</f>
        <v>8866.6000000000022</v>
      </c>
      <c r="M15">
        <f>YEAR(Table1[[#This Row],[Order date]])</f>
        <v>2013</v>
      </c>
      <c r="N15" s="22" t="str" cm="1">
        <f t="array" ref="N15">_xlfn.IFS(G15=0,"No Discount", ROUND(G15*100,0)&lt;=4,"Low", ROUND(G15*100,0)&lt;=9,"Medium", ROUND(G15*100,0)&lt;=15,"High")</f>
        <v>Medium</v>
      </c>
      <c r="O15" s="22" t="str">
        <f>TEXT(Table1[[#This Row],[Order date]],"mmmm")</f>
        <v>September</v>
      </c>
    </row>
    <row r="16" spans="1:15" ht="13.5" x14ac:dyDescent="0.25">
      <c r="A16" s="1" t="str">
        <f>"ORD"&amp;"-"&amp;_xlfn.XLOOKUP(C16,Guide!$B$22:$B$26,Guide!$C$22:$C$26)&amp;"-"&amp;_xlfn.XLOOKUP(D16,Guide!$B$29:$B$33,Guide!$C$29:$C$33)&amp;"-"&amp;TEXT(H16,"yyyymmdd")</f>
        <v>ORD-MXC-GOV-20130901</v>
      </c>
      <c r="B16" s="1" t="s">
        <v>94</v>
      </c>
      <c r="C16" s="1" t="s">
        <v>33</v>
      </c>
      <c r="D16" s="1" t="s">
        <v>39</v>
      </c>
      <c r="E16" s="1" t="s">
        <v>80</v>
      </c>
      <c r="F16" s="2">
        <v>1834</v>
      </c>
      <c r="G16" s="4">
        <v>6.9999999999999993E-2</v>
      </c>
      <c r="H16" s="3">
        <f t="shared" si="0"/>
        <v>41518</v>
      </c>
      <c r="I16" s="1">
        <f>_xlfn.XLOOKUP(E16,Product!$A$2:$A$7,Product!$C$2:$C$7)</f>
        <v>20</v>
      </c>
      <c r="J16" s="22">
        <f t="shared" si="1"/>
        <v>36680</v>
      </c>
      <c r="K16" s="22">
        <f t="shared" si="2"/>
        <v>34112.400000000001</v>
      </c>
      <c r="L16" s="22">
        <f>K16-(_xlfn.XLOOKUP(E16,Product!$A$2:$A$7,Product!$B$2:$B$7)*F16)</f>
        <v>28610.400000000001</v>
      </c>
      <c r="M16">
        <f>YEAR(Table1[[#This Row],[Order date]])</f>
        <v>2013</v>
      </c>
      <c r="N16" s="22" t="str" cm="1">
        <f t="array" ref="N16">_xlfn.IFS(G16=0,"No Discount", ROUND(G16*100,0)&lt;=4,"Low", ROUND(G16*100,0)&lt;=9,"Medium", ROUND(G16*100,0)&lt;=15,"High")</f>
        <v>Medium</v>
      </c>
      <c r="O16" s="22" t="str">
        <f>TEXT(Table1[[#This Row],[Order date]],"mmmm")</f>
        <v>September</v>
      </c>
    </row>
    <row r="17" spans="1:15" ht="13.5" x14ac:dyDescent="0.25">
      <c r="A17" s="1" t="str">
        <f>"ORD"&amp;"-"&amp;_xlfn.XLOOKUP(C17,Guide!$B$22:$B$26,Guide!$C$22:$C$26)&amp;"-"&amp;_xlfn.XLOOKUP(D17,Guide!$B$29:$B$33,Guide!$C$29:$C$33)&amp;"-"&amp;TEXT(H17,"yyyymmdd")</f>
        <v>ORD-GER-CPR-20130901</v>
      </c>
      <c r="B17" s="1" t="s">
        <v>95</v>
      </c>
      <c r="C17" s="1" t="s">
        <v>29</v>
      </c>
      <c r="D17" s="1" t="s">
        <v>43</v>
      </c>
      <c r="E17" s="1" t="s">
        <v>78</v>
      </c>
      <c r="F17" s="2">
        <v>2215</v>
      </c>
      <c r="G17" s="4">
        <v>6.9999999999999993E-2</v>
      </c>
      <c r="H17" s="3">
        <f t="shared" si="0"/>
        <v>41518</v>
      </c>
      <c r="I17" s="1">
        <f>_xlfn.XLOOKUP(E17,Product!$A$2:$A$7,Product!$C$2:$C$7)</f>
        <v>300</v>
      </c>
      <c r="J17" s="22">
        <f t="shared" si="1"/>
        <v>664500</v>
      </c>
      <c r="K17" s="22">
        <f t="shared" si="2"/>
        <v>617985</v>
      </c>
      <c r="L17" s="22">
        <f>K17-(_xlfn.XLOOKUP(E17,Product!$A$2:$A$7,Product!$B$2:$B$7)*F17)</f>
        <v>64235</v>
      </c>
      <c r="M17">
        <f>YEAR(Table1[[#This Row],[Order date]])</f>
        <v>2013</v>
      </c>
      <c r="N17" s="22" t="str" cm="1">
        <f t="array" ref="N17">_xlfn.IFS(G17=0,"No Discount", ROUND(G17*100,0)&lt;=4,"Low", ROUND(G17*100,0)&lt;=9,"Medium", ROUND(G17*100,0)&lt;=15,"High")</f>
        <v>Medium</v>
      </c>
      <c r="O17" s="22" t="str">
        <f>TEXT(Table1[[#This Row],[Order date]],"mmmm")</f>
        <v>September</v>
      </c>
    </row>
    <row r="18" spans="1:15" ht="13.5" x14ac:dyDescent="0.25">
      <c r="A18" s="1" t="str">
        <f>"ORD"&amp;"-"&amp;_xlfn.XLOOKUP(C18,Guide!$B$22:$B$26,Guide!$C$22:$C$26)&amp;"-"&amp;_xlfn.XLOOKUP(D18,Guide!$B$29:$B$33,Guide!$C$29:$C$33)&amp;"-"&amp;TEXT(H18,"yyyymmdd")</f>
        <v>ORD-GER-SMB-20130901</v>
      </c>
      <c r="B18" s="1" t="s">
        <v>96</v>
      </c>
      <c r="C18" s="1" t="s">
        <v>29</v>
      </c>
      <c r="D18" s="1" t="s">
        <v>47</v>
      </c>
      <c r="E18" s="1" t="s">
        <v>75</v>
      </c>
      <c r="F18" s="2">
        <v>1123</v>
      </c>
      <c r="G18" s="4">
        <v>7.0000000000000007E-2</v>
      </c>
      <c r="H18" s="3">
        <f t="shared" si="0"/>
        <v>41518</v>
      </c>
      <c r="I18" s="1">
        <f>_xlfn.XLOOKUP(E18,Product!$A$2:$A$7,Product!$C$2:$C$7)</f>
        <v>20</v>
      </c>
      <c r="J18" s="22">
        <f t="shared" si="1"/>
        <v>22460</v>
      </c>
      <c r="K18" s="22">
        <f t="shared" si="2"/>
        <v>20887.8</v>
      </c>
      <c r="L18" s="22">
        <f>K18-(_xlfn.XLOOKUP(E18,Product!$A$2:$A$7,Product!$B$2:$B$7)*F18)</f>
        <v>9657.7999999999993</v>
      </c>
      <c r="M18">
        <f>YEAR(Table1[[#This Row],[Order date]])</f>
        <v>2013</v>
      </c>
      <c r="N18" s="22" t="str" cm="1">
        <f t="array" ref="N18">_xlfn.IFS(G18=0,"No Discount", ROUND(G18*100,0)&lt;=4,"Low", ROUND(G18*100,0)&lt;=9,"Medium", ROUND(G18*100,0)&lt;=15,"High")</f>
        <v>Medium</v>
      </c>
      <c r="O18" s="22" t="str">
        <f>TEXT(Table1[[#This Row],[Order date]],"mmmm")</f>
        <v>September</v>
      </c>
    </row>
    <row r="19" spans="1:15" ht="13.5" x14ac:dyDescent="0.25">
      <c r="A19" s="1" t="str">
        <f>"ORD"&amp;"-"&amp;_xlfn.XLOOKUP(C19,Guide!$B$22:$B$26,Guide!$C$22:$C$26)&amp;"-"&amp;_xlfn.XLOOKUP(D19,Guide!$B$29:$B$33,Guide!$C$29:$C$33)&amp;"-"&amp;TEXT(H19,"yyyymmdd")</f>
        <v>ORD-USA-MDM-20130901</v>
      </c>
      <c r="B19" s="1" t="s">
        <v>97</v>
      </c>
      <c r="C19" s="1" t="s">
        <v>35</v>
      </c>
      <c r="D19" s="1" t="s">
        <v>41</v>
      </c>
      <c r="E19" s="1" t="s">
        <v>75</v>
      </c>
      <c r="F19" s="2">
        <v>2931</v>
      </c>
      <c r="G19" s="4">
        <v>7.0000000000000007E-2</v>
      </c>
      <c r="H19" s="3">
        <f t="shared" si="0"/>
        <v>41518</v>
      </c>
      <c r="I19" s="1">
        <f>_xlfn.XLOOKUP(E19,Product!$A$2:$A$7,Product!$C$2:$C$7)</f>
        <v>20</v>
      </c>
      <c r="J19" s="22">
        <f t="shared" si="1"/>
        <v>58620</v>
      </c>
      <c r="K19" s="22">
        <f t="shared" si="2"/>
        <v>54516.6</v>
      </c>
      <c r="L19" s="22">
        <f>K19-(_xlfn.XLOOKUP(E19,Product!$A$2:$A$7,Product!$B$2:$B$7)*F19)</f>
        <v>25206.6</v>
      </c>
      <c r="M19">
        <f>YEAR(Table1[[#This Row],[Order date]])</f>
        <v>2013</v>
      </c>
      <c r="N19" s="22" t="str" cm="1">
        <f t="array" ref="N19">_xlfn.IFS(G19=0,"No Discount", ROUND(G19*100,0)&lt;=4,"Low", ROUND(G19*100,0)&lt;=9,"Medium", ROUND(G19*100,0)&lt;=15,"High")</f>
        <v>Medium</v>
      </c>
      <c r="O19" s="22" t="str">
        <f>TEXT(Table1[[#This Row],[Order date]],"mmmm")</f>
        <v>September</v>
      </c>
    </row>
    <row r="20" spans="1:15" ht="13.5" x14ac:dyDescent="0.25">
      <c r="A20" s="1" t="str">
        <f>"ORD"&amp;"-"&amp;_xlfn.XLOOKUP(C20,Guide!$B$22:$B$26,Guide!$C$22:$C$26)&amp;"-"&amp;_xlfn.XLOOKUP(D20,Guide!$B$29:$B$33,Guide!$C$29:$C$33)&amp;"-"&amp;TEXT(H20,"yyyymmdd")</f>
        <v>ORD-GER-ENT-20130901</v>
      </c>
      <c r="B20" s="1" t="s">
        <v>98</v>
      </c>
      <c r="C20" s="1" t="s">
        <v>29</v>
      </c>
      <c r="D20" s="1" t="s">
        <v>45</v>
      </c>
      <c r="E20" s="1" t="s">
        <v>84</v>
      </c>
      <c r="F20" s="2">
        <v>994</v>
      </c>
      <c r="G20" s="4">
        <v>7.0000000000000007E-2</v>
      </c>
      <c r="H20" s="3">
        <f t="shared" si="0"/>
        <v>41518</v>
      </c>
      <c r="I20" s="1">
        <f>_xlfn.XLOOKUP(E20,Product!$A$2:$A$7,Product!$C$2:$C$7)</f>
        <v>350</v>
      </c>
      <c r="J20" s="22">
        <f t="shared" si="1"/>
        <v>347900</v>
      </c>
      <c r="K20" s="22">
        <f t="shared" si="2"/>
        <v>323547</v>
      </c>
      <c r="L20" s="22">
        <f>K20-(_xlfn.XLOOKUP(E20,Product!$A$2:$A$7,Product!$B$2:$B$7)*F20)</f>
        <v>124747</v>
      </c>
      <c r="M20">
        <f>YEAR(Table1[[#This Row],[Order date]])</f>
        <v>2013</v>
      </c>
      <c r="N20" s="22" t="str" cm="1">
        <f t="array" ref="N20">_xlfn.IFS(G20=0,"No Discount", ROUND(G20*100,0)&lt;=4,"Low", ROUND(G20*100,0)&lt;=9,"Medium", ROUND(G20*100,0)&lt;=15,"High")</f>
        <v>Medium</v>
      </c>
      <c r="O20" s="22" t="str">
        <f>TEXT(Table1[[#This Row],[Order date]],"mmmm")</f>
        <v>September</v>
      </c>
    </row>
    <row r="21" spans="1:15" ht="13.5" x14ac:dyDescent="0.25">
      <c r="A21" s="1" t="str">
        <f>"ORD"&amp;"-"&amp;_xlfn.XLOOKUP(C21,Guide!$B$22:$B$26,Guide!$C$22:$C$26)&amp;"-"&amp;_xlfn.XLOOKUP(D21,Guide!$B$29:$B$33,Guide!$C$29:$C$33)&amp;"-"&amp;TEXT(H21,"yyyymmdd")</f>
        <v>ORD-CND-SMB-20130901</v>
      </c>
      <c r="B21" s="1" t="s">
        <v>99</v>
      </c>
      <c r="C21" s="1" t="s">
        <v>27</v>
      </c>
      <c r="D21" s="1" t="s">
        <v>47</v>
      </c>
      <c r="E21" s="1" t="s">
        <v>82</v>
      </c>
      <c r="F21" s="2">
        <v>1283</v>
      </c>
      <c r="G21" s="4">
        <v>0.08</v>
      </c>
      <c r="H21" s="3">
        <f t="shared" si="0"/>
        <v>41518</v>
      </c>
      <c r="I21" s="1">
        <f>_xlfn.XLOOKUP(E21,Product!$A$2:$A$7,Product!$C$2:$C$7)</f>
        <v>15</v>
      </c>
      <c r="J21" s="22">
        <f t="shared" si="1"/>
        <v>19245</v>
      </c>
      <c r="K21" s="22">
        <f t="shared" si="2"/>
        <v>17705.400000000001</v>
      </c>
      <c r="L21" s="22">
        <f>K21-(_xlfn.XLOOKUP(E21,Product!$A$2:$A$7,Product!$B$2:$B$7)*F21)</f>
        <v>11290.400000000001</v>
      </c>
      <c r="M21">
        <f>YEAR(Table1[[#This Row],[Order date]])</f>
        <v>2013</v>
      </c>
      <c r="N21" s="22" t="str" cm="1">
        <f t="array" ref="N21">_xlfn.IFS(G21=0,"No Discount", ROUND(G21*100,0)&lt;=4,"Low", ROUND(G21*100,0)&lt;=9,"Medium", ROUND(G21*100,0)&lt;=15,"High")</f>
        <v>Medium</v>
      </c>
      <c r="O21" s="22" t="str">
        <f>TEXT(Table1[[#This Row],[Order date]],"mmmm")</f>
        <v>September</v>
      </c>
    </row>
    <row r="22" spans="1:15" ht="13.5" x14ac:dyDescent="0.25">
      <c r="A22" s="1" t="str">
        <f>"ORD"&amp;"-"&amp;_xlfn.XLOOKUP(C22,Guide!$B$22:$B$26,Guide!$C$22:$C$26)&amp;"-"&amp;_xlfn.XLOOKUP(D22,Guide!$B$29:$B$33,Guide!$C$29:$C$33)&amp;"-"&amp;TEXT(H22,"yyyymmdd")</f>
        <v>ORD-GER-GOV-20130901</v>
      </c>
      <c r="B22" s="1" t="s">
        <v>100</v>
      </c>
      <c r="C22" s="1" t="s">
        <v>29</v>
      </c>
      <c r="D22" s="1" t="s">
        <v>39</v>
      </c>
      <c r="E22" s="1" t="s">
        <v>75</v>
      </c>
      <c r="F22" s="2">
        <v>2409</v>
      </c>
      <c r="G22" s="4">
        <v>0.08</v>
      </c>
      <c r="H22" s="3">
        <f t="shared" si="0"/>
        <v>41518</v>
      </c>
      <c r="I22" s="1">
        <f>_xlfn.XLOOKUP(E22,Product!$A$2:$A$7,Product!$C$2:$C$7)</f>
        <v>20</v>
      </c>
      <c r="J22" s="22">
        <f t="shared" si="1"/>
        <v>48180</v>
      </c>
      <c r="K22" s="22">
        <f t="shared" si="2"/>
        <v>44325.599999999999</v>
      </c>
      <c r="L22" s="22">
        <f>K22-(_xlfn.XLOOKUP(E22,Product!$A$2:$A$7,Product!$B$2:$B$7)*F22)</f>
        <v>20235.599999999999</v>
      </c>
      <c r="M22">
        <f>YEAR(Table1[[#This Row],[Order date]])</f>
        <v>2013</v>
      </c>
      <c r="N22" s="22" t="str" cm="1">
        <f t="array" ref="N22">_xlfn.IFS(G22=0,"No Discount", ROUND(G22*100,0)&lt;=4,"Low", ROUND(G22*100,0)&lt;=9,"Medium", ROUND(G22*100,0)&lt;=15,"High")</f>
        <v>Medium</v>
      </c>
      <c r="O22" s="22" t="str">
        <f>TEXT(Table1[[#This Row],[Order date]],"mmmm")</f>
        <v>September</v>
      </c>
    </row>
    <row r="23" spans="1:15" ht="13.5" x14ac:dyDescent="0.25">
      <c r="A23" s="1" t="str">
        <f>"ORD"&amp;"-"&amp;_xlfn.XLOOKUP(C23,Guide!$B$22:$B$26,Guide!$C$22:$C$26)&amp;"-"&amp;_xlfn.XLOOKUP(D23,Guide!$B$29:$B$33,Guide!$C$29:$C$33)&amp;"-"&amp;TEXT(H23,"yyyymmdd")</f>
        <v>ORD-FRA-SMB-20130901</v>
      </c>
      <c r="B23" s="1" t="s">
        <v>101</v>
      </c>
      <c r="C23" s="1" t="s">
        <v>31</v>
      </c>
      <c r="D23" s="1" t="s">
        <v>47</v>
      </c>
      <c r="E23" s="1" t="s">
        <v>82</v>
      </c>
      <c r="F23" s="2">
        <v>322</v>
      </c>
      <c r="G23" s="4">
        <v>0.09</v>
      </c>
      <c r="H23" s="3">
        <f t="shared" si="0"/>
        <v>41518</v>
      </c>
      <c r="I23" s="1">
        <f>_xlfn.XLOOKUP(E23,Product!$A$2:$A$7,Product!$C$2:$C$7)</f>
        <v>15</v>
      </c>
      <c r="J23" s="22">
        <f t="shared" si="1"/>
        <v>4830</v>
      </c>
      <c r="K23" s="22">
        <f t="shared" si="2"/>
        <v>4395.3</v>
      </c>
      <c r="L23" s="22">
        <f>K23-(_xlfn.XLOOKUP(E23,Product!$A$2:$A$7,Product!$B$2:$B$7)*F23)</f>
        <v>2785.3</v>
      </c>
      <c r="M23">
        <f>YEAR(Table1[[#This Row],[Order date]])</f>
        <v>2013</v>
      </c>
      <c r="N23" s="22" t="str" cm="1">
        <f t="array" ref="N23">_xlfn.IFS(G23=0,"No Discount", ROUND(G23*100,0)&lt;=4,"Low", ROUND(G23*100,0)&lt;=9,"Medium", ROUND(G23*100,0)&lt;=15,"High")</f>
        <v>Medium</v>
      </c>
      <c r="O23" s="22" t="str">
        <f>TEXT(Table1[[#This Row],[Order date]],"mmmm")</f>
        <v>September</v>
      </c>
    </row>
    <row r="24" spans="1:15" ht="13.5" x14ac:dyDescent="0.25">
      <c r="A24" s="1" t="str">
        <f>"ORD"&amp;"-"&amp;_xlfn.XLOOKUP(C24,Guide!$B$22:$B$26,Guide!$C$22:$C$26)&amp;"-"&amp;_xlfn.XLOOKUP(D24,Guide!$B$29:$B$33,Guide!$C$29:$C$33)&amp;"-"&amp;TEXT(H24,"yyyymmdd")</f>
        <v>ORD-FRA-CPR-20130901</v>
      </c>
      <c r="B24" s="1" t="s">
        <v>102</v>
      </c>
      <c r="C24" s="1" t="s">
        <v>31</v>
      </c>
      <c r="D24" s="1" t="s">
        <v>43</v>
      </c>
      <c r="E24" s="1" t="s">
        <v>78</v>
      </c>
      <c r="F24" s="2">
        <v>2234</v>
      </c>
      <c r="G24" s="4">
        <v>0.09</v>
      </c>
      <c r="H24" s="3">
        <f t="shared" si="0"/>
        <v>41518</v>
      </c>
      <c r="I24" s="1">
        <f>_xlfn.XLOOKUP(E24,Product!$A$2:$A$7,Product!$C$2:$C$7)</f>
        <v>300</v>
      </c>
      <c r="J24" s="22">
        <f t="shared" si="1"/>
        <v>670200</v>
      </c>
      <c r="K24" s="22">
        <f t="shared" si="2"/>
        <v>609882</v>
      </c>
      <c r="L24" s="22">
        <f>K24-(_xlfn.XLOOKUP(E24,Product!$A$2:$A$7,Product!$B$2:$B$7)*F24)</f>
        <v>51382</v>
      </c>
      <c r="M24">
        <f>YEAR(Table1[[#This Row],[Order date]])</f>
        <v>2013</v>
      </c>
      <c r="N24" s="22" t="str" cm="1">
        <f t="array" ref="N24">_xlfn.IFS(G24=0,"No Discount", ROUND(G24*100,0)&lt;=4,"Low", ROUND(G24*100,0)&lt;=9,"Medium", ROUND(G24*100,0)&lt;=15,"High")</f>
        <v>Medium</v>
      </c>
      <c r="O24" s="22" t="str">
        <f>TEXT(Table1[[#This Row],[Order date]],"mmmm")</f>
        <v>September</v>
      </c>
    </row>
    <row r="25" spans="1:15" ht="13.5" x14ac:dyDescent="0.25">
      <c r="A25" s="1" t="str">
        <f>"ORD"&amp;"-"&amp;_xlfn.XLOOKUP(C25,Guide!$B$22:$B$26,Guide!$C$22:$C$26)&amp;"-"&amp;_xlfn.XLOOKUP(D25,Guide!$B$29:$B$33,Guide!$C$29:$C$33)&amp;"-"&amp;TEXT(H25,"yyyymmdd")</f>
        <v>ORD-MXC-CPR-20130901</v>
      </c>
      <c r="B25" s="1" t="s">
        <v>103</v>
      </c>
      <c r="C25" s="1" t="s">
        <v>33</v>
      </c>
      <c r="D25" s="1" t="s">
        <v>43</v>
      </c>
      <c r="E25" s="1" t="s">
        <v>78</v>
      </c>
      <c r="F25" s="2">
        <v>1005</v>
      </c>
      <c r="G25" s="4">
        <v>0.10999999999999999</v>
      </c>
      <c r="H25" s="3">
        <f t="shared" si="0"/>
        <v>41518</v>
      </c>
      <c r="I25" s="1">
        <f>_xlfn.XLOOKUP(E25,Product!$A$2:$A$7,Product!$C$2:$C$7)</f>
        <v>300</v>
      </c>
      <c r="J25" s="22">
        <f t="shared" si="1"/>
        <v>301500</v>
      </c>
      <c r="K25" s="22">
        <f t="shared" si="2"/>
        <v>268335</v>
      </c>
      <c r="L25" s="22">
        <f>K25-(_xlfn.XLOOKUP(E25,Product!$A$2:$A$7,Product!$B$2:$B$7)*F25)</f>
        <v>17085</v>
      </c>
      <c r="M25">
        <f>YEAR(Table1[[#This Row],[Order date]])</f>
        <v>2013</v>
      </c>
      <c r="N25" s="22" t="str" cm="1">
        <f t="array" ref="N25">_xlfn.IFS(G25=0,"No Discount", ROUND(G25*100,0)&lt;=4,"Low", ROUND(G25*100,0)&lt;=9,"Medium", ROUND(G25*100,0)&lt;=15,"High")</f>
        <v>High</v>
      </c>
      <c r="O25" s="22" t="str">
        <f>TEXT(Table1[[#This Row],[Order date]],"mmmm")</f>
        <v>September</v>
      </c>
    </row>
    <row r="26" spans="1:15" ht="13.5" x14ac:dyDescent="0.25">
      <c r="A26" s="1" t="str">
        <f>"ORD"&amp;"-"&amp;_xlfn.XLOOKUP(C26,Guide!$B$22:$B$26,Guide!$C$22:$C$26)&amp;"-"&amp;_xlfn.XLOOKUP(D26,Guide!$B$29:$B$33,Guide!$C$29:$C$33)&amp;"-"&amp;TEXT(H26,"yyyymmdd")</f>
        <v>ORD-MXC-MDM-20130901</v>
      </c>
      <c r="B26" s="1" t="s">
        <v>104</v>
      </c>
      <c r="C26" s="1" t="s">
        <v>33</v>
      </c>
      <c r="D26" s="1" t="s">
        <v>41</v>
      </c>
      <c r="E26" s="1" t="s">
        <v>88</v>
      </c>
      <c r="F26" s="2">
        <v>655</v>
      </c>
      <c r="G26" s="4">
        <v>0.11</v>
      </c>
      <c r="H26" s="3">
        <f t="shared" si="0"/>
        <v>41518</v>
      </c>
      <c r="I26" s="1">
        <f>_xlfn.XLOOKUP(E26,Product!$A$2:$A$7,Product!$C$2:$C$7)</f>
        <v>180</v>
      </c>
      <c r="J26" s="22">
        <f t="shared" si="1"/>
        <v>117900</v>
      </c>
      <c r="K26" s="22">
        <f t="shared" si="2"/>
        <v>104931</v>
      </c>
      <c r="L26" s="22">
        <f>K26-(_xlfn.XLOOKUP(E26,Product!$A$2:$A$7,Product!$B$2:$B$7)*F26)</f>
        <v>26331</v>
      </c>
      <c r="M26">
        <f>YEAR(Table1[[#This Row],[Order date]])</f>
        <v>2013</v>
      </c>
      <c r="N26" s="22" t="str" cm="1">
        <f t="array" ref="N26">_xlfn.IFS(G26=0,"No Discount", ROUND(G26*100,0)&lt;=4,"Low", ROUND(G26*100,0)&lt;=9,"Medium", ROUND(G26*100,0)&lt;=15,"High")</f>
        <v>High</v>
      </c>
      <c r="O26" s="22" t="str">
        <f>TEXT(Table1[[#This Row],[Order date]],"mmmm")</f>
        <v>September</v>
      </c>
    </row>
    <row r="27" spans="1:15" ht="13.5" x14ac:dyDescent="0.25">
      <c r="A27" s="1" t="str">
        <f>"ORD"&amp;"-"&amp;_xlfn.XLOOKUP(C27,Guide!$B$22:$B$26,Guide!$C$22:$C$26)&amp;"-"&amp;_xlfn.XLOOKUP(D27,Guide!$B$29:$B$33,Guide!$C$29:$C$33)&amp;"-"&amp;TEXT(H27,"yyyymmdd")</f>
        <v>ORD-MXC-ENT-20130901</v>
      </c>
      <c r="B27" s="1" t="s">
        <v>105</v>
      </c>
      <c r="C27" s="1" t="s">
        <v>33</v>
      </c>
      <c r="D27" s="1" t="s">
        <v>45</v>
      </c>
      <c r="E27" s="1" t="s">
        <v>84</v>
      </c>
      <c r="F27" s="2">
        <v>947</v>
      </c>
      <c r="G27" s="4">
        <v>0.11</v>
      </c>
      <c r="H27" s="3">
        <f t="shared" si="0"/>
        <v>41518</v>
      </c>
      <c r="I27" s="1">
        <f>_xlfn.XLOOKUP(E27,Product!$A$2:$A$7,Product!$C$2:$C$7)</f>
        <v>350</v>
      </c>
      <c r="J27" s="22">
        <f t="shared" si="1"/>
        <v>331450</v>
      </c>
      <c r="K27" s="22">
        <f t="shared" si="2"/>
        <v>294990.5</v>
      </c>
      <c r="L27" s="22">
        <f>K27-(_xlfn.XLOOKUP(E27,Product!$A$2:$A$7,Product!$B$2:$B$7)*F27)</f>
        <v>105590.5</v>
      </c>
      <c r="M27">
        <f>YEAR(Table1[[#This Row],[Order date]])</f>
        <v>2013</v>
      </c>
      <c r="N27" s="22" t="str" cm="1">
        <f t="array" ref="N27">_xlfn.IFS(G27=0,"No Discount", ROUND(G27*100,0)&lt;=4,"Low", ROUND(G27*100,0)&lt;=9,"Medium", ROUND(G27*100,0)&lt;=15,"High")</f>
        <v>High</v>
      </c>
      <c r="O27" s="22" t="str">
        <f>TEXT(Table1[[#This Row],[Order date]],"mmmm")</f>
        <v>September</v>
      </c>
    </row>
    <row r="28" spans="1:15" ht="13.5" x14ac:dyDescent="0.25">
      <c r="A28" s="1" t="str">
        <f>"ORD"&amp;"-"&amp;_xlfn.XLOOKUP(C28,Guide!$B$22:$B$26,Guide!$C$22:$C$26)&amp;"-"&amp;_xlfn.XLOOKUP(D28,Guide!$B$29:$B$33,Guide!$C$29:$C$33)&amp;"-"&amp;TEXT(H28,"yyyymmdd")</f>
        <v>ORD-FRA-GOV-20130901</v>
      </c>
      <c r="B28" s="1" t="s">
        <v>106</v>
      </c>
      <c r="C28" s="1" t="s">
        <v>31</v>
      </c>
      <c r="D28" s="1" t="s">
        <v>39</v>
      </c>
      <c r="E28" s="1" t="s">
        <v>88</v>
      </c>
      <c r="F28" s="2">
        <v>2805</v>
      </c>
      <c r="G28" s="4">
        <v>0.11</v>
      </c>
      <c r="H28" s="3">
        <f t="shared" si="0"/>
        <v>41518</v>
      </c>
      <c r="I28" s="1">
        <f>_xlfn.XLOOKUP(E28,Product!$A$2:$A$7,Product!$C$2:$C$7)</f>
        <v>180</v>
      </c>
      <c r="J28" s="22">
        <f t="shared" si="1"/>
        <v>504900</v>
      </c>
      <c r="K28" s="22">
        <f t="shared" si="2"/>
        <v>449361</v>
      </c>
      <c r="L28" s="22">
        <f>K28-(_xlfn.XLOOKUP(E28,Product!$A$2:$A$7,Product!$B$2:$B$7)*F28)</f>
        <v>112761</v>
      </c>
      <c r="M28">
        <f>YEAR(Table1[[#This Row],[Order date]])</f>
        <v>2013</v>
      </c>
      <c r="N28" s="22" t="str" cm="1">
        <f t="array" ref="N28">_xlfn.IFS(G28=0,"No Discount", ROUND(G28*100,0)&lt;=4,"Low", ROUND(G28*100,0)&lt;=9,"Medium", ROUND(G28*100,0)&lt;=15,"High")</f>
        <v>High</v>
      </c>
      <c r="O28" s="22" t="str">
        <f>TEXT(Table1[[#This Row],[Order date]],"mmmm")</f>
        <v>September</v>
      </c>
    </row>
    <row r="29" spans="1:15" ht="13.5" x14ac:dyDescent="0.25">
      <c r="A29" s="1" t="str">
        <f>"ORD"&amp;"-"&amp;_xlfn.XLOOKUP(C29,Guide!$B$22:$B$26,Guide!$C$22:$C$26)&amp;"-"&amp;_xlfn.XLOOKUP(D29,Guide!$B$29:$B$33,Guide!$C$29:$C$33)&amp;"-"&amp;TEXT(H29,"yyyymmdd")</f>
        <v>ORD-USA-GOV-20130901</v>
      </c>
      <c r="B29" s="1" t="s">
        <v>107</v>
      </c>
      <c r="C29" s="1" t="s">
        <v>35</v>
      </c>
      <c r="D29" s="1" t="s">
        <v>39</v>
      </c>
      <c r="E29" s="1" t="s">
        <v>75</v>
      </c>
      <c r="F29" s="2">
        <v>380</v>
      </c>
      <c r="G29" s="4">
        <v>0.11000000000000001</v>
      </c>
      <c r="H29" s="3">
        <f t="shared" si="0"/>
        <v>41518</v>
      </c>
      <c r="I29" s="1">
        <f>_xlfn.XLOOKUP(E29,Product!$A$2:$A$7,Product!$C$2:$C$7)</f>
        <v>20</v>
      </c>
      <c r="J29" s="22">
        <f t="shared" si="1"/>
        <v>7600</v>
      </c>
      <c r="K29" s="22">
        <f t="shared" si="2"/>
        <v>6764</v>
      </c>
      <c r="L29" s="22">
        <f>K29-(_xlfn.XLOOKUP(E29,Product!$A$2:$A$7,Product!$B$2:$B$7)*F29)</f>
        <v>2964</v>
      </c>
      <c r="M29">
        <f>YEAR(Table1[[#This Row],[Order date]])</f>
        <v>2013</v>
      </c>
      <c r="N29" s="22" t="str" cm="1">
        <f t="array" ref="N29">_xlfn.IFS(G29=0,"No Discount", ROUND(G29*100,0)&lt;=4,"Low", ROUND(G29*100,0)&lt;=9,"Medium", ROUND(G29*100,0)&lt;=15,"High")</f>
        <v>High</v>
      </c>
      <c r="O29" s="22" t="str">
        <f>TEXT(Table1[[#This Row],[Order date]],"mmmm")</f>
        <v>September</v>
      </c>
    </row>
    <row r="30" spans="1:15" ht="13.5" x14ac:dyDescent="0.25">
      <c r="A30" s="1" t="str">
        <f>"ORD"&amp;"-"&amp;_xlfn.XLOOKUP(C30,Guide!$B$22:$B$26,Guide!$C$22:$C$26)&amp;"-"&amp;_xlfn.XLOOKUP(D30,Guide!$B$29:$B$33,Guide!$C$29:$C$33)&amp;"-"&amp;TEXT(H30,"yyyymmdd")</f>
        <v>ORD-CND-GOV-20130901</v>
      </c>
      <c r="B30" s="1" t="s">
        <v>108</v>
      </c>
      <c r="C30" s="1" t="s">
        <v>27</v>
      </c>
      <c r="D30" s="1" t="s">
        <v>39</v>
      </c>
      <c r="E30" s="1" t="s">
        <v>78</v>
      </c>
      <c r="F30" s="2">
        <v>623</v>
      </c>
      <c r="G30" s="4">
        <v>0.12</v>
      </c>
      <c r="H30" s="3">
        <f t="shared" si="0"/>
        <v>41518</v>
      </c>
      <c r="I30" s="1">
        <f>_xlfn.XLOOKUP(E30,Product!$A$2:$A$7,Product!$C$2:$C$7)</f>
        <v>300</v>
      </c>
      <c r="J30" s="22">
        <f t="shared" si="1"/>
        <v>186900</v>
      </c>
      <c r="K30" s="22">
        <f t="shared" si="2"/>
        <v>164472</v>
      </c>
      <c r="L30" s="22">
        <f>K30-(_xlfn.XLOOKUP(E30,Product!$A$2:$A$7,Product!$B$2:$B$7)*F30)</f>
        <v>8722</v>
      </c>
      <c r="M30">
        <f>YEAR(Table1[[#This Row],[Order date]])</f>
        <v>2013</v>
      </c>
      <c r="N30" s="22" t="str" cm="1">
        <f t="array" ref="N30">_xlfn.IFS(G30=0,"No Discount", ROUND(G30*100,0)&lt;=4,"Low", ROUND(G30*100,0)&lt;=9,"Medium", ROUND(G30*100,0)&lt;=15,"High")</f>
        <v>High</v>
      </c>
      <c r="O30" s="22" t="str">
        <f>TEXT(Table1[[#This Row],[Order date]],"mmmm")</f>
        <v>September</v>
      </c>
    </row>
    <row r="31" spans="1:15" ht="13.5" x14ac:dyDescent="0.25">
      <c r="A31" s="1" t="str">
        <f>"ORD"&amp;"-"&amp;_xlfn.XLOOKUP(C31,Guide!$B$22:$B$26,Guide!$C$22:$C$26)&amp;"-"&amp;_xlfn.XLOOKUP(D31,Guide!$B$29:$B$33,Guide!$C$29:$C$33)&amp;"-"&amp;TEXT(H31,"yyyymmdd")</f>
        <v>ORD-CND-ENT-20130901</v>
      </c>
      <c r="B31" s="1" t="s">
        <v>109</v>
      </c>
      <c r="C31" s="1" t="s">
        <v>27</v>
      </c>
      <c r="D31" s="1" t="s">
        <v>45</v>
      </c>
      <c r="E31" s="1" t="s">
        <v>80</v>
      </c>
      <c r="F31" s="2">
        <v>2416</v>
      </c>
      <c r="G31" s="4">
        <v>0.12</v>
      </c>
      <c r="H31" s="3">
        <f t="shared" si="0"/>
        <v>41518</v>
      </c>
      <c r="I31" s="1">
        <f>_xlfn.XLOOKUP(E31,Product!$A$2:$A$7,Product!$C$2:$C$7)</f>
        <v>20</v>
      </c>
      <c r="J31" s="22">
        <f t="shared" si="1"/>
        <v>48320</v>
      </c>
      <c r="K31" s="22">
        <f t="shared" si="2"/>
        <v>42521.599999999999</v>
      </c>
      <c r="L31" s="22">
        <f>K31-(_xlfn.XLOOKUP(E31,Product!$A$2:$A$7,Product!$B$2:$B$7)*F31)</f>
        <v>35273.599999999999</v>
      </c>
      <c r="M31">
        <f>YEAR(Table1[[#This Row],[Order date]])</f>
        <v>2013</v>
      </c>
      <c r="N31" s="22" t="str" cm="1">
        <f t="array" ref="N31">_xlfn.IFS(G31=0,"No Discount", ROUND(G31*100,0)&lt;=4,"Low", ROUND(G31*100,0)&lt;=9,"Medium", ROUND(G31*100,0)&lt;=15,"High")</f>
        <v>High</v>
      </c>
      <c r="O31" s="22" t="str">
        <f>TEXT(Table1[[#This Row],[Order date]],"mmmm")</f>
        <v>September</v>
      </c>
    </row>
    <row r="32" spans="1:15" ht="13.5" x14ac:dyDescent="0.25">
      <c r="A32" s="1" t="str">
        <f>"ORD"&amp;"-"&amp;_xlfn.XLOOKUP(C32,Guide!$B$22:$B$26,Guide!$C$22:$C$26)&amp;"-"&amp;_xlfn.XLOOKUP(D32,Guide!$B$29:$B$33,Guide!$C$29:$C$33)&amp;"-"&amp;TEXT(H32,"yyyymmdd")</f>
        <v>ORD-CND-CPR-20130901</v>
      </c>
      <c r="B32" s="1" t="s">
        <v>110</v>
      </c>
      <c r="C32" s="1" t="s">
        <v>27</v>
      </c>
      <c r="D32" s="1" t="s">
        <v>43</v>
      </c>
      <c r="E32" s="1" t="s">
        <v>84</v>
      </c>
      <c r="F32" s="2">
        <v>2761</v>
      </c>
      <c r="G32" s="4">
        <v>0.12000000000000001</v>
      </c>
      <c r="H32" s="3">
        <f t="shared" si="0"/>
        <v>41518</v>
      </c>
      <c r="I32" s="1">
        <f>_xlfn.XLOOKUP(E32,Product!$A$2:$A$7,Product!$C$2:$C$7)</f>
        <v>350</v>
      </c>
      <c r="J32" s="22">
        <f t="shared" si="1"/>
        <v>966350</v>
      </c>
      <c r="K32" s="22">
        <f t="shared" si="2"/>
        <v>850388</v>
      </c>
      <c r="L32" s="22">
        <f>K32-(_xlfn.XLOOKUP(E32,Product!$A$2:$A$7,Product!$B$2:$B$7)*F32)</f>
        <v>298188</v>
      </c>
      <c r="M32">
        <f>YEAR(Table1[[#This Row],[Order date]])</f>
        <v>2013</v>
      </c>
      <c r="N32" s="22" t="str" cm="1">
        <f t="array" ref="N32">_xlfn.IFS(G32=0,"No Discount", ROUND(G32*100,0)&lt;=4,"Low", ROUND(G32*100,0)&lt;=9,"Medium", ROUND(G32*100,0)&lt;=15,"High")</f>
        <v>High</v>
      </c>
      <c r="O32" s="22" t="str">
        <f>TEXT(Table1[[#This Row],[Order date]],"mmmm")</f>
        <v>September</v>
      </c>
    </row>
    <row r="33" spans="1:15" ht="13.5" x14ac:dyDescent="0.25">
      <c r="A33" s="1" t="str">
        <f>"ORD"&amp;"-"&amp;_xlfn.XLOOKUP(C33,Guide!$B$22:$B$26,Guide!$C$22:$C$26)&amp;"-"&amp;_xlfn.XLOOKUP(D33,Guide!$B$29:$B$33,Guide!$C$29:$C$33)&amp;"-"&amp;TEXT(H33,"yyyymmdd")</f>
        <v>ORD-GER-GOV-20130901</v>
      </c>
      <c r="B33" s="1" t="s">
        <v>111</v>
      </c>
      <c r="C33" s="1" t="s">
        <v>29</v>
      </c>
      <c r="D33" s="1" t="s">
        <v>39</v>
      </c>
      <c r="E33" s="1" t="s">
        <v>80</v>
      </c>
      <c r="F33" s="2">
        <v>442</v>
      </c>
      <c r="G33" s="4">
        <v>0.13</v>
      </c>
      <c r="H33" s="3">
        <f t="shared" si="0"/>
        <v>41518</v>
      </c>
      <c r="I33" s="1">
        <f>_xlfn.XLOOKUP(E33,Product!$A$2:$A$7,Product!$C$2:$C$7)</f>
        <v>20</v>
      </c>
      <c r="J33" s="22">
        <f t="shared" si="1"/>
        <v>8840</v>
      </c>
      <c r="K33" s="22">
        <f t="shared" si="2"/>
        <v>7690.8</v>
      </c>
      <c r="L33" s="22">
        <f>K33-(_xlfn.XLOOKUP(E33,Product!$A$2:$A$7,Product!$B$2:$B$7)*F33)</f>
        <v>6364.8</v>
      </c>
      <c r="M33">
        <f>YEAR(Table1[[#This Row],[Order date]])</f>
        <v>2013</v>
      </c>
      <c r="N33" s="22" t="str" cm="1">
        <f t="array" ref="N33">_xlfn.IFS(G33=0,"No Discount", ROUND(G33*100,0)&lt;=4,"Low", ROUND(G33*100,0)&lt;=9,"Medium", ROUND(G33*100,0)&lt;=15,"High")</f>
        <v>High</v>
      </c>
      <c r="O33" s="22" t="str">
        <f>TEXT(Table1[[#This Row],[Order date]],"mmmm")</f>
        <v>September</v>
      </c>
    </row>
    <row r="34" spans="1:15" ht="13.5" x14ac:dyDescent="0.25">
      <c r="A34" s="1" t="str">
        <f>"ORD"&amp;"-"&amp;_xlfn.XLOOKUP(C34,Guide!$B$22:$B$26,Guide!$C$22:$C$26)&amp;"-"&amp;_xlfn.XLOOKUP(D34,Guide!$B$29:$B$33,Guide!$C$29:$C$33)&amp;"-"&amp;TEXT(H34,"yyyymmdd")</f>
        <v>ORD-GER-MDM-20130901</v>
      </c>
      <c r="B34" s="1" t="s">
        <v>112</v>
      </c>
      <c r="C34" s="1" t="s">
        <v>29</v>
      </c>
      <c r="D34" s="1" t="s">
        <v>41</v>
      </c>
      <c r="E34" s="1" t="s">
        <v>88</v>
      </c>
      <c r="F34" s="2">
        <v>660</v>
      </c>
      <c r="G34" s="4">
        <v>0.13</v>
      </c>
      <c r="H34" s="3">
        <f t="shared" si="0"/>
        <v>41518</v>
      </c>
      <c r="I34" s="1">
        <f>_xlfn.XLOOKUP(E34,Product!$A$2:$A$7,Product!$C$2:$C$7)</f>
        <v>180</v>
      </c>
      <c r="J34" s="22">
        <f t="shared" si="1"/>
        <v>118800</v>
      </c>
      <c r="K34" s="22">
        <f t="shared" si="2"/>
        <v>103356</v>
      </c>
      <c r="L34" s="22">
        <f>K34-(_xlfn.XLOOKUP(E34,Product!$A$2:$A$7,Product!$B$2:$B$7)*F34)</f>
        <v>24156</v>
      </c>
      <c r="M34">
        <f>YEAR(Table1[[#This Row],[Order date]])</f>
        <v>2013</v>
      </c>
      <c r="N34" s="22" t="str" cm="1">
        <f t="array" ref="N34">_xlfn.IFS(G34=0,"No Discount", ROUND(G34*100,0)&lt;=4,"Low", ROUND(G34*100,0)&lt;=9,"Medium", ROUND(G34*100,0)&lt;=15,"High")</f>
        <v>High</v>
      </c>
      <c r="O34" s="22" t="str">
        <f>TEXT(Table1[[#This Row],[Order date]],"mmmm")</f>
        <v>September</v>
      </c>
    </row>
    <row r="35" spans="1:15" ht="13.5" x14ac:dyDescent="0.25">
      <c r="A35" s="1" t="str">
        <f>"ORD"&amp;"-"&amp;_xlfn.XLOOKUP(C35,Guide!$B$22:$B$26,Guide!$C$22:$C$26)&amp;"-"&amp;_xlfn.XLOOKUP(D35,Guide!$B$29:$B$33,Guide!$C$29:$C$33)&amp;"-"&amp;TEXT(H35,"yyyymmdd")</f>
        <v>ORD-FRA-ENT-20130901</v>
      </c>
      <c r="B35" s="1" t="s">
        <v>113</v>
      </c>
      <c r="C35" s="1" t="s">
        <v>31</v>
      </c>
      <c r="D35" s="1" t="s">
        <v>45</v>
      </c>
      <c r="E35" s="1" t="s">
        <v>80</v>
      </c>
      <c r="F35" s="2">
        <v>1023</v>
      </c>
      <c r="G35" s="4">
        <v>0.14000000000000001</v>
      </c>
      <c r="H35" s="3">
        <f t="shared" si="0"/>
        <v>41518</v>
      </c>
      <c r="I35" s="1">
        <f>_xlfn.XLOOKUP(E35,Product!$A$2:$A$7,Product!$C$2:$C$7)</f>
        <v>20</v>
      </c>
      <c r="J35" s="22">
        <f t="shared" si="1"/>
        <v>20460</v>
      </c>
      <c r="K35" s="22">
        <f t="shared" si="2"/>
        <v>17595.599999999999</v>
      </c>
      <c r="L35" s="22">
        <f>K35-(_xlfn.XLOOKUP(E35,Product!$A$2:$A$7,Product!$B$2:$B$7)*F35)</f>
        <v>14526.599999999999</v>
      </c>
      <c r="M35">
        <f>YEAR(Table1[[#This Row],[Order date]])</f>
        <v>2013</v>
      </c>
      <c r="N35" s="22" t="str" cm="1">
        <f t="array" ref="N35">_xlfn.IFS(G35=0,"No Discount", ROUND(G35*100,0)&lt;=4,"Low", ROUND(G35*100,0)&lt;=9,"Medium", ROUND(G35*100,0)&lt;=15,"High")</f>
        <v>High</v>
      </c>
      <c r="O35" s="22" t="str">
        <f>TEXT(Table1[[#This Row],[Order date]],"mmmm")</f>
        <v>September</v>
      </c>
    </row>
    <row r="36" spans="1:15" ht="13.5" x14ac:dyDescent="0.25">
      <c r="A36" s="1" t="str">
        <f>"ORD"&amp;"-"&amp;_xlfn.XLOOKUP(C36,Guide!$B$22:$B$26,Guide!$C$22:$C$26)&amp;"-"&amp;_xlfn.XLOOKUP(D36,Guide!$B$29:$B$33,Guide!$C$29:$C$33)&amp;"-"&amp;TEXT(H36,"yyyymmdd")</f>
        <v>ORD-CND-MDM-20130901</v>
      </c>
      <c r="B36" s="1" t="s">
        <v>114</v>
      </c>
      <c r="C36" s="1" t="s">
        <v>27</v>
      </c>
      <c r="D36" s="1" t="s">
        <v>41</v>
      </c>
      <c r="E36" s="1" t="s">
        <v>75</v>
      </c>
      <c r="F36" s="2">
        <v>2470</v>
      </c>
      <c r="G36" s="4">
        <v>0.14000000000000001</v>
      </c>
      <c r="H36" s="3">
        <f t="shared" si="0"/>
        <v>41518</v>
      </c>
      <c r="I36" s="1">
        <f>_xlfn.XLOOKUP(E36,Product!$A$2:$A$7,Product!$C$2:$C$7)</f>
        <v>20</v>
      </c>
      <c r="J36" s="22">
        <f t="shared" si="1"/>
        <v>49400</v>
      </c>
      <c r="K36" s="22">
        <f t="shared" si="2"/>
        <v>42484</v>
      </c>
      <c r="L36" s="22">
        <f>K36-(_xlfn.XLOOKUP(E36,Product!$A$2:$A$7,Product!$B$2:$B$7)*F36)</f>
        <v>17784</v>
      </c>
      <c r="M36">
        <f>YEAR(Table1[[#This Row],[Order date]])</f>
        <v>2013</v>
      </c>
      <c r="N36" s="22" t="str" cm="1">
        <f t="array" ref="N36">_xlfn.IFS(G36=0,"No Discount", ROUND(G36*100,0)&lt;=4,"Low", ROUND(G36*100,0)&lt;=9,"Medium", ROUND(G36*100,0)&lt;=15,"High")</f>
        <v>High</v>
      </c>
      <c r="O36" s="22" t="str">
        <f>TEXT(Table1[[#This Row],[Order date]],"mmmm")</f>
        <v>September</v>
      </c>
    </row>
    <row r="37" spans="1:15" ht="13.5" x14ac:dyDescent="0.25">
      <c r="A37" s="1" t="str">
        <f>"ORD"&amp;"-"&amp;_xlfn.XLOOKUP(C37,Guide!$B$22:$B$26,Guide!$C$22:$C$26)&amp;"-"&amp;_xlfn.XLOOKUP(D37,Guide!$B$29:$B$33,Guide!$C$29:$C$33)&amp;"-"&amp;TEXT(H37,"yyyymmdd")</f>
        <v>ORD-CND-ENT-20131001</v>
      </c>
      <c r="B37" s="1" t="s">
        <v>115</v>
      </c>
      <c r="C37" s="1" t="s">
        <v>27</v>
      </c>
      <c r="D37" s="1" t="s">
        <v>45</v>
      </c>
      <c r="E37" s="1" t="s">
        <v>82</v>
      </c>
      <c r="F37" s="2">
        <v>345</v>
      </c>
      <c r="G37" s="4">
        <v>0</v>
      </c>
      <c r="H37" s="3">
        <f t="shared" si="0"/>
        <v>41548</v>
      </c>
      <c r="I37" s="1">
        <f>_xlfn.XLOOKUP(E37,Product!$A$2:$A$7,Product!$C$2:$C$7)</f>
        <v>15</v>
      </c>
      <c r="J37" s="22">
        <f t="shared" si="1"/>
        <v>5175</v>
      </c>
      <c r="K37" s="22">
        <f t="shared" si="2"/>
        <v>5175</v>
      </c>
      <c r="L37" s="22">
        <f>K37-(_xlfn.XLOOKUP(E37,Product!$A$2:$A$7,Product!$B$2:$B$7)*F37)</f>
        <v>3450</v>
      </c>
      <c r="M37">
        <f>YEAR(Table1[[#This Row],[Order date]])</f>
        <v>2013</v>
      </c>
      <c r="N37" s="22" t="str" cm="1">
        <f t="array" ref="N37">_xlfn.IFS(G37=0,"No Discount", ROUND(G37*100,0)&lt;=4,"Low", ROUND(G37*100,0)&lt;=9,"Medium", ROUND(G37*100,0)&lt;=15,"High")</f>
        <v>No Discount</v>
      </c>
      <c r="O37" s="22" t="str">
        <f>TEXT(Table1[[#This Row],[Order date]],"mmmm")</f>
        <v>October</v>
      </c>
    </row>
    <row r="38" spans="1:15" ht="13.5" x14ac:dyDescent="0.25">
      <c r="A38" s="1" t="str">
        <f>"ORD"&amp;"-"&amp;_xlfn.XLOOKUP(C38,Guide!$B$22:$B$26,Guide!$C$22:$C$26)&amp;"-"&amp;_xlfn.XLOOKUP(D38,Guide!$B$29:$B$33,Guide!$C$29:$C$33)&amp;"-"&amp;TEXT(H38,"yyyymmdd")</f>
        <v>ORD-CND-ENT-20131001</v>
      </c>
      <c r="B38" s="1" t="s">
        <v>115</v>
      </c>
      <c r="C38" s="1" t="s">
        <v>27</v>
      </c>
      <c r="D38" s="1" t="s">
        <v>45</v>
      </c>
      <c r="E38" s="1" t="s">
        <v>88</v>
      </c>
      <c r="F38" s="2">
        <v>345</v>
      </c>
      <c r="G38" s="4">
        <v>0</v>
      </c>
      <c r="H38" s="3">
        <f t="shared" si="0"/>
        <v>41548</v>
      </c>
      <c r="I38" s="1">
        <f>_xlfn.XLOOKUP(E38,Product!$A$2:$A$7,Product!$C$2:$C$7)</f>
        <v>180</v>
      </c>
      <c r="J38" s="22">
        <f t="shared" si="1"/>
        <v>62100</v>
      </c>
      <c r="K38" s="22">
        <f t="shared" si="2"/>
        <v>62100</v>
      </c>
      <c r="L38" s="22">
        <f>K38-(_xlfn.XLOOKUP(E38,Product!$A$2:$A$7,Product!$B$2:$B$7)*F38)</f>
        <v>20700</v>
      </c>
      <c r="M38">
        <f>YEAR(Table1[[#This Row],[Order date]])</f>
        <v>2013</v>
      </c>
      <c r="N38" s="22" t="str" cm="1">
        <f t="array" ref="N38">_xlfn.IFS(G38=0,"No Discount", ROUND(G38*100,0)&lt;=4,"Low", ROUND(G38*100,0)&lt;=9,"Medium", ROUND(G38*100,0)&lt;=15,"High")</f>
        <v>No Discount</v>
      </c>
      <c r="O38" s="22" t="str">
        <f>TEXT(Table1[[#This Row],[Order date]],"mmmm")</f>
        <v>October</v>
      </c>
    </row>
    <row r="39" spans="1:15" ht="13.5" x14ac:dyDescent="0.25">
      <c r="A39" s="1" t="str">
        <f>"ORD"&amp;"-"&amp;_xlfn.XLOOKUP(C39,Guide!$B$22:$B$26,Guide!$C$22:$C$26)&amp;"-"&amp;_xlfn.XLOOKUP(D39,Guide!$B$29:$B$33,Guide!$C$29:$C$33)&amp;"-"&amp;TEXT(H39,"yyyymmdd")</f>
        <v>ORD-USA-ENT-20131001</v>
      </c>
      <c r="B39" s="1" t="s">
        <v>116</v>
      </c>
      <c r="C39" s="1" t="s">
        <v>35</v>
      </c>
      <c r="D39" s="1" t="s">
        <v>45</v>
      </c>
      <c r="E39" s="1" t="s">
        <v>82</v>
      </c>
      <c r="F39" s="2">
        <v>663</v>
      </c>
      <c r="G39" s="4">
        <v>0.01</v>
      </c>
      <c r="H39" s="3">
        <f t="shared" si="0"/>
        <v>41548</v>
      </c>
      <c r="I39" s="1">
        <f>_xlfn.XLOOKUP(E39,Product!$A$2:$A$7,Product!$C$2:$C$7)</f>
        <v>15</v>
      </c>
      <c r="J39" s="22">
        <f t="shared" si="1"/>
        <v>9945</v>
      </c>
      <c r="K39" s="22">
        <f t="shared" si="2"/>
        <v>9845.5499999999993</v>
      </c>
      <c r="L39" s="22">
        <f>K39-(_xlfn.XLOOKUP(E39,Product!$A$2:$A$7,Product!$B$2:$B$7)*F39)</f>
        <v>6530.5499999999993</v>
      </c>
      <c r="M39">
        <f>YEAR(Table1[[#This Row],[Order date]])</f>
        <v>2013</v>
      </c>
      <c r="N39" s="22" t="str" cm="1">
        <f t="array" ref="N39">_xlfn.IFS(G39=0,"No Discount", ROUND(G39*100,0)&lt;=4,"Low", ROUND(G39*100,0)&lt;=9,"Medium", ROUND(G39*100,0)&lt;=15,"High")</f>
        <v>Low</v>
      </c>
      <c r="O39" s="22" t="str">
        <f>TEXT(Table1[[#This Row],[Order date]],"mmmm")</f>
        <v>October</v>
      </c>
    </row>
    <row r="40" spans="1:15" ht="13.5" x14ac:dyDescent="0.25">
      <c r="A40" s="1" t="str">
        <f>"ORD"&amp;"-"&amp;_xlfn.XLOOKUP(C40,Guide!$B$22:$B$26,Guide!$C$22:$C$26)&amp;"-"&amp;_xlfn.XLOOKUP(D40,Guide!$B$29:$B$33,Guide!$C$29:$C$33)&amp;"-"&amp;TEXT(H40,"yyyymmdd")</f>
        <v>ORD-GER-CPR-20131001</v>
      </c>
      <c r="B40" s="1" t="s">
        <v>117</v>
      </c>
      <c r="C40" s="1" t="s">
        <v>29</v>
      </c>
      <c r="D40" s="1" t="s">
        <v>43</v>
      </c>
      <c r="E40" s="1" t="s">
        <v>75</v>
      </c>
      <c r="F40" s="2">
        <v>766</v>
      </c>
      <c r="G40" s="4">
        <v>0.01</v>
      </c>
      <c r="H40" s="3">
        <f t="shared" si="0"/>
        <v>41548</v>
      </c>
      <c r="I40" s="1">
        <f>_xlfn.XLOOKUP(E40,Product!$A$2:$A$7,Product!$C$2:$C$7)</f>
        <v>20</v>
      </c>
      <c r="J40" s="22">
        <f t="shared" si="1"/>
        <v>15320</v>
      </c>
      <c r="K40" s="22">
        <f t="shared" si="2"/>
        <v>15166.8</v>
      </c>
      <c r="L40" s="22">
        <f>K40-(_xlfn.XLOOKUP(E40,Product!$A$2:$A$7,Product!$B$2:$B$7)*F40)</f>
        <v>7506.7999999999993</v>
      </c>
      <c r="M40">
        <f>YEAR(Table1[[#This Row],[Order date]])</f>
        <v>2013</v>
      </c>
      <c r="N40" s="22" t="str" cm="1">
        <f t="array" ref="N40">_xlfn.IFS(G40=0,"No Discount", ROUND(G40*100,0)&lt;=4,"Low", ROUND(G40*100,0)&lt;=9,"Medium", ROUND(G40*100,0)&lt;=15,"High")</f>
        <v>Low</v>
      </c>
      <c r="O40" s="22" t="str">
        <f>TEXT(Table1[[#This Row],[Order date]],"mmmm")</f>
        <v>October</v>
      </c>
    </row>
    <row r="41" spans="1:15" ht="13.5" x14ac:dyDescent="0.25">
      <c r="A41" s="1" t="str">
        <f>"ORD"&amp;"-"&amp;_xlfn.XLOOKUP(C41,Guide!$B$22:$B$26,Guide!$C$22:$C$26)&amp;"-"&amp;_xlfn.XLOOKUP(D41,Guide!$B$29:$B$33,Guide!$C$29:$C$33)&amp;"-"&amp;TEXT(H41,"yyyymmdd")</f>
        <v>ORD-MXC-SMB-20131001</v>
      </c>
      <c r="B41" s="1" t="s">
        <v>118</v>
      </c>
      <c r="C41" s="1" t="s">
        <v>33</v>
      </c>
      <c r="D41" s="1" t="s">
        <v>47</v>
      </c>
      <c r="E41" s="1" t="s">
        <v>80</v>
      </c>
      <c r="F41" s="2">
        <v>494</v>
      </c>
      <c r="G41" s="4">
        <v>0.01</v>
      </c>
      <c r="H41" s="3">
        <f t="shared" si="0"/>
        <v>41548</v>
      </c>
      <c r="I41" s="1">
        <f>_xlfn.XLOOKUP(E41,Product!$A$2:$A$7,Product!$C$2:$C$7)</f>
        <v>20</v>
      </c>
      <c r="J41" s="22">
        <f t="shared" si="1"/>
        <v>9880</v>
      </c>
      <c r="K41" s="22">
        <f t="shared" si="2"/>
        <v>9781.2000000000007</v>
      </c>
      <c r="L41" s="22">
        <f>K41-(_xlfn.XLOOKUP(E41,Product!$A$2:$A$7,Product!$B$2:$B$7)*F41)</f>
        <v>8299.2000000000007</v>
      </c>
      <c r="M41">
        <f>YEAR(Table1[[#This Row],[Order date]])</f>
        <v>2013</v>
      </c>
      <c r="N41" s="22" t="str" cm="1">
        <f t="array" ref="N41">_xlfn.IFS(G41=0,"No Discount", ROUND(G41*100,0)&lt;=4,"Low", ROUND(G41*100,0)&lt;=9,"Medium", ROUND(G41*100,0)&lt;=15,"High")</f>
        <v>Low</v>
      </c>
      <c r="O41" s="22" t="str">
        <f>TEXT(Table1[[#This Row],[Order date]],"mmmm")</f>
        <v>October</v>
      </c>
    </row>
    <row r="42" spans="1:15" ht="13.5" x14ac:dyDescent="0.25">
      <c r="A42" s="1" t="str">
        <f>"ORD"&amp;"-"&amp;_xlfn.XLOOKUP(C42,Guide!$B$22:$B$26,Guide!$C$22:$C$26)&amp;"-"&amp;_xlfn.XLOOKUP(D42,Guide!$B$29:$B$33,Guide!$C$29:$C$33)&amp;"-"&amp;TEXT(H42,"yyyymmdd")</f>
        <v>ORD-GER-CPR-20131001</v>
      </c>
      <c r="B42" s="1" t="s">
        <v>117</v>
      </c>
      <c r="C42" s="1" t="s">
        <v>29</v>
      </c>
      <c r="D42" s="1" t="s">
        <v>43</v>
      </c>
      <c r="E42" s="1" t="s">
        <v>80</v>
      </c>
      <c r="F42" s="2">
        <v>766</v>
      </c>
      <c r="G42" s="4">
        <v>0.01</v>
      </c>
      <c r="H42" s="3">
        <f t="shared" si="0"/>
        <v>41548</v>
      </c>
      <c r="I42" s="1">
        <f>_xlfn.XLOOKUP(E42,Product!$A$2:$A$7,Product!$C$2:$C$7)</f>
        <v>20</v>
      </c>
      <c r="J42" s="22">
        <f t="shared" si="1"/>
        <v>15320</v>
      </c>
      <c r="K42" s="22">
        <f t="shared" si="2"/>
        <v>15166.8</v>
      </c>
      <c r="L42" s="22">
        <f>K42-(_xlfn.XLOOKUP(E42,Product!$A$2:$A$7,Product!$B$2:$B$7)*F42)</f>
        <v>12868.8</v>
      </c>
      <c r="M42">
        <f>YEAR(Table1[[#This Row],[Order date]])</f>
        <v>2013</v>
      </c>
      <c r="N42" s="22" t="str" cm="1">
        <f t="array" ref="N42">_xlfn.IFS(G42=0,"No Discount", ROUND(G42*100,0)&lt;=4,"Low", ROUND(G42*100,0)&lt;=9,"Medium", ROUND(G42*100,0)&lt;=15,"High")</f>
        <v>Low</v>
      </c>
      <c r="O42" s="22" t="str">
        <f>TEXT(Table1[[#This Row],[Order date]],"mmmm")</f>
        <v>October</v>
      </c>
    </row>
    <row r="43" spans="1:15" ht="13.5" x14ac:dyDescent="0.25">
      <c r="A43" s="1" t="str">
        <f>"ORD"&amp;"-"&amp;_xlfn.XLOOKUP(C43,Guide!$B$22:$B$26,Guide!$C$22:$C$26)&amp;"-"&amp;_xlfn.XLOOKUP(D43,Guide!$B$29:$B$33,Guide!$C$29:$C$33)&amp;"-"&amp;TEXT(H43,"yyyymmdd")</f>
        <v>ORD-MXC-SMB-20131001</v>
      </c>
      <c r="B43" s="1" t="s">
        <v>118</v>
      </c>
      <c r="C43" s="1" t="s">
        <v>33</v>
      </c>
      <c r="D43" s="1" t="s">
        <v>47</v>
      </c>
      <c r="E43" s="1" t="s">
        <v>78</v>
      </c>
      <c r="F43" s="2">
        <v>494</v>
      </c>
      <c r="G43" s="4">
        <v>0.01</v>
      </c>
      <c r="H43" s="3">
        <f t="shared" si="0"/>
        <v>41548</v>
      </c>
      <c r="I43" s="1">
        <f>_xlfn.XLOOKUP(E43,Product!$A$2:$A$7,Product!$C$2:$C$7)</f>
        <v>300</v>
      </c>
      <c r="J43" s="22">
        <f t="shared" si="1"/>
        <v>148200</v>
      </c>
      <c r="K43" s="22">
        <f t="shared" si="2"/>
        <v>146718</v>
      </c>
      <c r="L43" s="22">
        <f>K43-(_xlfn.XLOOKUP(E43,Product!$A$2:$A$7,Product!$B$2:$B$7)*F43)</f>
        <v>23218</v>
      </c>
      <c r="M43">
        <f>YEAR(Table1[[#This Row],[Order date]])</f>
        <v>2013</v>
      </c>
      <c r="N43" s="22" t="str" cm="1">
        <f t="array" ref="N43">_xlfn.IFS(G43=0,"No Discount", ROUND(G43*100,0)&lt;=4,"Low", ROUND(G43*100,0)&lt;=9,"Medium", ROUND(G43*100,0)&lt;=15,"High")</f>
        <v>Low</v>
      </c>
      <c r="O43" s="22" t="str">
        <f>TEXT(Table1[[#This Row],[Order date]],"mmmm")</f>
        <v>October</v>
      </c>
    </row>
    <row r="44" spans="1:15" ht="13.5" x14ac:dyDescent="0.25">
      <c r="A44" s="1" t="str">
        <f>"ORD"&amp;"-"&amp;_xlfn.XLOOKUP(C44,Guide!$B$22:$B$26,Guide!$C$22:$C$26)&amp;"-"&amp;_xlfn.XLOOKUP(D44,Guide!$B$29:$B$33,Guide!$C$29:$C$33)&amp;"-"&amp;TEXT(H44,"yyyymmdd")</f>
        <v>ORD-USA-ENT-20131001</v>
      </c>
      <c r="B44" s="1" t="s">
        <v>116</v>
      </c>
      <c r="C44" s="1" t="s">
        <v>35</v>
      </c>
      <c r="D44" s="1" t="s">
        <v>45</v>
      </c>
      <c r="E44" s="1" t="s">
        <v>88</v>
      </c>
      <c r="F44" s="2">
        <v>663</v>
      </c>
      <c r="G44" s="4">
        <v>0.01</v>
      </c>
      <c r="H44" s="3">
        <f t="shared" si="0"/>
        <v>41548</v>
      </c>
      <c r="I44" s="1">
        <f>_xlfn.XLOOKUP(E44,Product!$A$2:$A$7,Product!$C$2:$C$7)</f>
        <v>180</v>
      </c>
      <c r="J44" s="22">
        <f t="shared" si="1"/>
        <v>119340</v>
      </c>
      <c r="K44" s="22">
        <f t="shared" si="2"/>
        <v>118146.6</v>
      </c>
      <c r="L44" s="22">
        <f>K44-(_xlfn.XLOOKUP(E44,Product!$A$2:$A$7,Product!$B$2:$B$7)*F44)</f>
        <v>38586.600000000006</v>
      </c>
      <c r="M44">
        <f>YEAR(Table1[[#This Row],[Order date]])</f>
        <v>2013</v>
      </c>
      <c r="N44" s="22" t="str" cm="1">
        <f t="array" ref="N44">_xlfn.IFS(G44=0,"No Discount", ROUND(G44*100,0)&lt;=4,"Low", ROUND(G44*100,0)&lt;=9,"Medium", ROUND(G44*100,0)&lt;=15,"High")</f>
        <v>Low</v>
      </c>
      <c r="O44" s="22" t="str">
        <f>TEXT(Table1[[#This Row],[Order date]],"mmmm")</f>
        <v>October</v>
      </c>
    </row>
    <row r="45" spans="1:15" ht="13.5" x14ac:dyDescent="0.25">
      <c r="A45" s="1" t="str">
        <f>"ORD"&amp;"-"&amp;_xlfn.XLOOKUP(C45,Guide!$B$22:$B$26,Guide!$C$22:$C$26)&amp;"-"&amp;_xlfn.XLOOKUP(D45,Guide!$B$29:$B$33,Guide!$C$29:$C$33)&amp;"-"&amp;TEXT(H45,"yyyymmdd")</f>
        <v>ORD-GER-SMB-20131001</v>
      </c>
      <c r="B45" s="1" t="s">
        <v>119</v>
      </c>
      <c r="C45" s="1" t="s">
        <v>29</v>
      </c>
      <c r="D45" s="1" t="s">
        <v>47</v>
      </c>
      <c r="E45" s="1" t="s">
        <v>80</v>
      </c>
      <c r="F45" s="2">
        <v>214</v>
      </c>
      <c r="G45" s="4">
        <v>0.02</v>
      </c>
      <c r="H45" s="3">
        <f t="shared" si="0"/>
        <v>41548</v>
      </c>
      <c r="I45" s="1">
        <f>_xlfn.XLOOKUP(E45,Product!$A$2:$A$7,Product!$C$2:$C$7)</f>
        <v>20</v>
      </c>
      <c r="J45" s="22">
        <f t="shared" si="1"/>
        <v>4280</v>
      </c>
      <c r="K45" s="22">
        <f t="shared" si="2"/>
        <v>4194.3999999999996</v>
      </c>
      <c r="L45" s="22">
        <f>K45-(_xlfn.XLOOKUP(E45,Product!$A$2:$A$7,Product!$B$2:$B$7)*F45)</f>
        <v>3552.3999999999996</v>
      </c>
      <c r="M45">
        <f>YEAR(Table1[[#This Row],[Order date]])</f>
        <v>2013</v>
      </c>
      <c r="N45" s="22" t="str" cm="1">
        <f t="array" ref="N45">_xlfn.IFS(G45=0,"No Discount", ROUND(G45*100,0)&lt;=4,"Low", ROUND(G45*100,0)&lt;=9,"Medium", ROUND(G45*100,0)&lt;=15,"High")</f>
        <v>Low</v>
      </c>
      <c r="O45" s="22" t="str">
        <f>TEXT(Table1[[#This Row],[Order date]],"mmmm")</f>
        <v>October</v>
      </c>
    </row>
    <row r="46" spans="1:15" ht="13.5" x14ac:dyDescent="0.25">
      <c r="A46" s="1" t="str">
        <f>"ORD"&amp;"-"&amp;_xlfn.XLOOKUP(C46,Guide!$B$22:$B$26,Guide!$C$22:$C$26)&amp;"-"&amp;_xlfn.XLOOKUP(D46,Guide!$B$29:$B$33,Guide!$C$29:$C$33)&amp;"-"&amp;TEXT(H46,"yyyymmdd")</f>
        <v>ORD-GER-ENT-20131001</v>
      </c>
      <c r="B46" s="1" t="s">
        <v>120</v>
      </c>
      <c r="C46" s="1" t="s">
        <v>29</v>
      </c>
      <c r="D46" s="1" t="s">
        <v>45</v>
      </c>
      <c r="E46" s="1" t="s">
        <v>75</v>
      </c>
      <c r="F46" s="2">
        <v>809</v>
      </c>
      <c r="G46" s="4">
        <v>0.02</v>
      </c>
      <c r="H46" s="3">
        <f t="shared" si="0"/>
        <v>41548</v>
      </c>
      <c r="I46" s="1">
        <f>_xlfn.XLOOKUP(E46,Product!$A$2:$A$7,Product!$C$2:$C$7)</f>
        <v>20</v>
      </c>
      <c r="J46" s="22">
        <f t="shared" si="1"/>
        <v>16180</v>
      </c>
      <c r="K46" s="22">
        <f t="shared" si="2"/>
        <v>15856.4</v>
      </c>
      <c r="L46" s="22">
        <f>K46-(_xlfn.XLOOKUP(E46,Product!$A$2:$A$7,Product!$B$2:$B$7)*F46)</f>
        <v>7766.4</v>
      </c>
      <c r="M46">
        <f>YEAR(Table1[[#This Row],[Order date]])</f>
        <v>2013</v>
      </c>
      <c r="N46" s="22" t="str" cm="1">
        <f t="array" ref="N46">_xlfn.IFS(G46=0,"No Discount", ROUND(G46*100,0)&lt;=4,"Low", ROUND(G46*100,0)&lt;=9,"Medium", ROUND(G46*100,0)&lt;=15,"High")</f>
        <v>Low</v>
      </c>
      <c r="O46" s="22" t="str">
        <f>TEXT(Table1[[#This Row],[Order date]],"mmmm")</f>
        <v>October</v>
      </c>
    </row>
    <row r="47" spans="1:15" ht="13.5" x14ac:dyDescent="0.25">
      <c r="A47" s="1" t="str">
        <f>"ORD"&amp;"-"&amp;_xlfn.XLOOKUP(C47,Guide!$B$22:$B$26,Guide!$C$22:$C$26)&amp;"-"&amp;_xlfn.XLOOKUP(D47,Guide!$B$29:$B$33,Guide!$C$29:$C$33)&amp;"-"&amp;TEXT(H47,"yyyymmdd")</f>
        <v>ORD-GER-SMB-20131001</v>
      </c>
      <c r="B47" s="1" t="s">
        <v>119</v>
      </c>
      <c r="C47" s="1" t="s">
        <v>29</v>
      </c>
      <c r="D47" s="1" t="s">
        <v>47</v>
      </c>
      <c r="E47" s="1" t="s">
        <v>78</v>
      </c>
      <c r="F47" s="2">
        <v>214</v>
      </c>
      <c r="G47" s="4">
        <v>0.02</v>
      </c>
      <c r="H47" s="3">
        <f t="shared" si="0"/>
        <v>41548</v>
      </c>
      <c r="I47" s="1">
        <f>_xlfn.XLOOKUP(E47,Product!$A$2:$A$7,Product!$C$2:$C$7)</f>
        <v>300</v>
      </c>
      <c r="J47" s="22">
        <f t="shared" si="1"/>
        <v>64200</v>
      </c>
      <c r="K47" s="22">
        <f t="shared" si="2"/>
        <v>62916</v>
      </c>
      <c r="L47" s="22">
        <f>K47-(_xlfn.XLOOKUP(E47,Product!$A$2:$A$7,Product!$B$2:$B$7)*F47)</f>
        <v>9416</v>
      </c>
      <c r="M47">
        <f>YEAR(Table1[[#This Row],[Order date]])</f>
        <v>2013</v>
      </c>
      <c r="N47" s="22" t="str" cm="1">
        <f t="array" ref="N47">_xlfn.IFS(G47=0,"No Discount", ROUND(G47*100,0)&lt;=4,"Low", ROUND(G47*100,0)&lt;=9,"Medium", ROUND(G47*100,0)&lt;=15,"High")</f>
        <v>Low</v>
      </c>
      <c r="O47" s="22" t="str">
        <f>TEXT(Table1[[#This Row],[Order date]],"mmmm")</f>
        <v>October</v>
      </c>
    </row>
    <row r="48" spans="1:15" ht="13.5" x14ac:dyDescent="0.25">
      <c r="A48" s="1" t="str">
        <f>"ORD"&amp;"-"&amp;_xlfn.XLOOKUP(C48,Guide!$B$22:$B$26,Guide!$C$22:$C$26)&amp;"-"&amp;_xlfn.XLOOKUP(D48,Guide!$B$29:$B$33,Guide!$C$29:$C$33)&amp;"-"&amp;TEXT(H48,"yyyymmdd")</f>
        <v>ORD-MXC-ENT-20131001</v>
      </c>
      <c r="B48" s="1" t="s">
        <v>121</v>
      </c>
      <c r="C48" s="1" t="s">
        <v>33</v>
      </c>
      <c r="D48" s="1" t="s">
        <v>45</v>
      </c>
      <c r="E48" s="1" t="s">
        <v>75</v>
      </c>
      <c r="F48" s="2">
        <v>2145</v>
      </c>
      <c r="G48" s="4">
        <v>0.02</v>
      </c>
      <c r="H48" s="3">
        <f t="shared" si="0"/>
        <v>41548</v>
      </c>
      <c r="I48" s="1">
        <f>_xlfn.XLOOKUP(E48,Product!$A$2:$A$7,Product!$C$2:$C$7)</f>
        <v>20</v>
      </c>
      <c r="J48" s="22">
        <f t="shared" si="1"/>
        <v>42900</v>
      </c>
      <c r="K48" s="22">
        <f t="shared" si="2"/>
        <v>42042</v>
      </c>
      <c r="L48" s="22">
        <f>K48-(_xlfn.XLOOKUP(E48,Product!$A$2:$A$7,Product!$B$2:$B$7)*F48)</f>
        <v>20592</v>
      </c>
      <c r="M48">
        <f>YEAR(Table1[[#This Row],[Order date]])</f>
        <v>2013</v>
      </c>
      <c r="N48" s="22" t="str" cm="1">
        <f t="array" ref="N48">_xlfn.IFS(G48=0,"No Discount", ROUND(G48*100,0)&lt;=4,"Low", ROUND(G48*100,0)&lt;=9,"Medium", ROUND(G48*100,0)&lt;=15,"High")</f>
        <v>Low</v>
      </c>
      <c r="O48" s="22" t="str">
        <f>TEXT(Table1[[#This Row],[Order date]],"mmmm")</f>
        <v>October</v>
      </c>
    </row>
    <row r="49" spans="1:15" ht="13.5" x14ac:dyDescent="0.25">
      <c r="A49" s="1" t="str">
        <f>"ORD"&amp;"-"&amp;_xlfn.XLOOKUP(C49,Guide!$B$22:$B$26,Guide!$C$22:$C$26)&amp;"-"&amp;_xlfn.XLOOKUP(D49,Guide!$B$29:$B$33,Guide!$C$29:$C$33)&amp;"-"&amp;TEXT(H49,"yyyymmdd")</f>
        <v>ORD-GER-ENT-20131001</v>
      </c>
      <c r="B49" s="1" t="s">
        <v>120</v>
      </c>
      <c r="C49" s="1" t="s">
        <v>29</v>
      </c>
      <c r="D49" s="1" t="s">
        <v>45</v>
      </c>
      <c r="E49" s="1" t="s">
        <v>88</v>
      </c>
      <c r="F49" s="2">
        <v>809</v>
      </c>
      <c r="G49" s="4">
        <v>0.02</v>
      </c>
      <c r="H49" s="3">
        <f t="shared" si="0"/>
        <v>41548</v>
      </c>
      <c r="I49" s="1">
        <f>_xlfn.XLOOKUP(E49,Product!$A$2:$A$7,Product!$C$2:$C$7)</f>
        <v>180</v>
      </c>
      <c r="J49" s="22">
        <f t="shared" si="1"/>
        <v>145620</v>
      </c>
      <c r="K49" s="22">
        <f t="shared" si="2"/>
        <v>142707.6</v>
      </c>
      <c r="L49" s="22">
        <f>K49-(_xlfn.XLOOKUP(E49,Product!$A$2:$A$7,Product!$B$2:$B$7)*F49)</f>
        <v>45627.600000000006</v>
      </c>
      <c r="M49">
        <f>YEAR(Table1[[#This Row],[Order date]])</f>
        <v>2013</v>
      </c>
      <c r="N49" s="22" t="str" cm="1">
        <f t="array" ref="N49">_xlfn.IFS(G49=0,"No Discount", ROUND(G49*100,0)&lt;=4,"Low", ROUND(G49*100,0)&lt;=9,"Medium", ROUND(G49*100,0)&lt;=15,"High")</f>
        <v>Low</v>
      </c>
      <c r="O49" s="22" t="str">
        <f>TEXT(Table1[[#This Row],[Order date]],"mmmm")</f>
        <v>October</v>
      </c>
    </row>
    <row r="50" spans="1:15" ht="13.5" x14ac:dyDescent="0.25">
      <c r="A50" s="1" t="str">
        <f>"ORD"&amp;"-"&amp;_xlfn.XLOOKUP(C50,Guide!$B$22:$B$26,Guide!$C$22:$C$26)&amp;"-"&amp;_xlfn.XLOOKUP(D50,Guide!$B$29:$B$33,Guide!$C$29:$C$33)&amp;"-"&amp;TEXT(H50,"yyyymmdd")</f>
        <v>ORD-MXC-ENT-20131001</v>
      </c>
      <c r="B50" s="1" t="s">
        <v>121</v>
      </c>
      <c r="C50" s="1" t="s">
        <v>33</v>
      </c>
      <c r="D50" s="1" t="s">
        <v>45</v>
      </c>
      <c r="E50" s="1" t="s">
        <v>88</v>
      </c>
      <c r="F50" s="2">
        <v>2145</v>
      </c>
      <c r="G50" s="4">
        <v>0.02</v>
      </c>
      <c r="H50" s="3">
        <f t="shared" si="0"/>
        <v>41548</v>
      </c>
      <c r="I50" s="1">
        <f>_xlfn.XLOOKUP(E50,Product!$A$2:$A$7,Product!$C$2:$C$7)</f>
        <v>180</v>
      </c>
      <c r="J50" s="22">
        <f t="shared" si="1"/>
        <v>386100</v>
      </c>
      <c r="K50" s="22">
        <f t="shared" si="2"/>
        <v>378378</v>
      </c>
      <c r="L50" s="22">
        <f>K50-(_xlfn.XLOOKUP(E50,Product!$A$2:$A$7,Product!$B$2:$B$7)*F50)</f>
        <v>120978</v>
      </c>
      <c r="M50">
        <f>YEAR(Table1[[#This Row],[Order date]])</f>
        <v>2013</v>
      </c>
      <c r="N50" s="22" t="str" cm="1">
        <f t="array" ref="N50">_xlfn.IFS(G50=0,"No Discount", ROUND(G50*100,0)&lt;=4,"Low", ROUND(G50*100,0)&lt;=9,"Medium", ROUND(G50*100,0)&lt;=15,"High")</f>
        <v>Low</v>
      </c>
      <c r="O50" s="22" t="str">
        <f>TEXT(Table1[[#This Row],[Order date]],"mmmm")</f>
        <v>October</v>
      </c>
    </row>
    <row r="51" spans="1:15" ht="13.5" x14ac:dyDescent="0.25">
      <c r="A51" s="1" t="str">
        <f>"ORD"&amp;"-"&amp;_xlfn.XLOOKUP(C51,Guide!$B$22:$B$26,Guide!$C$22:$C$26)&amp;"-"&amp;_xlfn.XLOOKUP(D51,Guide!$B$29:$B$33,Guide!$C$29:$C$33)&amp;"-"&amp;TEXT(H51,"yyyymmdd")</f>
        <v>ORD-GER-GOV-20131001</v>
      </c>
      <c r="B51" s="1" t="s">
        <v>122</v>
      </c>
      <c r="C51" s="1" t="s">
        <v>29</v>
      </c>
      <c r="D51" s="1" t="s">
        <v>39</v>
      </c>
      <c r="E51" s="1" t="s">
        <v>88</v>
      </c>
      <c r="F51" s="2">
        <v>2966</v>
      </c>
      <c r="G51" s="4">
        <v>0.02</v>
      </c>
      <c r="H51" s="3">
        <f t="shared" si="0"/>
        <v>41548</v>
      </c>
      <c r="I51" s="1">
        <f>_xlfn.XLOOKUP(E51,Product!$A$2:$A$7,Product!$C$2:$C$7)</f>
        <v>180</v>
      </c>
      <c r="J51" s="22">
        <f t="shared" si="1"/>
        <v>533880</v>
      </c>
      <c r="K51" s="22">
        <f t="shared" si="2"/>
        <v>523202.39999999997</v>
      </c>
      <c r="L51" s="22">
        <f>K51-(_xlfn.XLOOKUP(E51,Product!$A$2:$A$7,Product!$B$2:$B$7)*F51)</f>
        <v>167282.39999999997</v>
      </c>
      <c r="M51">
        <f>YEAR(Table1[[#This Row],[Order date]])</f>
        <v>2013</v>
      </c>
      <c r="N51" s="22" t="str" cm="1">
        <f t="array" ref="N51">_xlfn.IFS(G51=0,"No Discount", ROUND(G51*100,0)&lt;=4,"Low", ROUND(G51*100,0)&lt;=9,"Medium", ROUND(G51*100,0)&lt;=15,"High")</f>
        <v>Low</v>
      </c>
      <c r="O51" s="22" t="str">
        <f>TEXT(Table1[[#This Row],[Order date]],"mmmm")</f>
        <v>October</v>
      </c>
    </row>
    <row r="52" spans="1:15" ht="13.5" x14ac:dyDescent="0.25">
      <c r="A52" s="1" t="str">
        <f>"ORD"&amp;"-"&amp;_xlfn.XLOOKUP(C52,Guide!$B$22:$B$26,Guide!$C$22:$C$26)&amp;"-"&amp;_xlfn.XLOOKUP(D52,Guide!$B$29:$B$33,Guide!$C$29:$C$33)&amp;"-"&amp;TEXT(H52,"yyyymmdd")</f>
        <v>ORD-GER-GOV-20131001</v>
      </c>
      <c r="B52" s="1" t="s">
        <v>122</v>
      </c>
      <c r="C52" s="1" t="s">
        <v>29</v>
      </c>
      <c r="D52" s="1" t="s">
        <v>39</v>
      </c>
      <c r="E52" s="1" t="s">
        <v>84</v>
      </c>
      <c r="F52" s="2">
        <v>2966</v>
      </c>
      <c r="G52" s="4">
        <v>0.02</v>
      </c>
      <c r="H52" s="3">
        <f t="shared" si="0"/>
        <v>41548</v>
      </c>
      <c r="I52" s="1">
        <f>_xlfn.XLOOKUP(E52,Product!$A$2:$A$7,Product!$C$2:$C$7)</f>
        <v>350</v>
      </c>
      <c r="J52" s="22">
        <f t="shared" si="1"/>
        <v>1038100</v>
      </c>
      <c r="K52" s="22">
        <f t="shared" si="2"/>
        <v>1017338</v>
      </c>
      <c r="L52" s="22">
        <f>K52-(_xlfn.XLOOKUP(E52,Product!$A$2:$A$7,Product!$B$2:$B$7)*F52)</f>
        <v>424138</v>
      </c>
      <c r="M52">
        <f>YEAR(Table1[[#This Row],[Order date]])</f>
        <v>2013</v>
      </c>
      <c r="N52" s="22" t="str" cm="1">
        <f t="array" ref="N52">_xlfn.IFS(G52=0,"No Discount", ROUND(G52*100,0)&lt;=4,"Low", ROUND(G52*100,0)&lt;=9,"Medium", ROUND(G52*100,0)&lt;=15,"High")</f>
        <v>Low</v>
      </c>
      <c r="O52" s="22" t="str">
        <f>TEXT(Table1[[#This Row],[Order date]],"mmmm")</f>
        <v>October</v>
      </c>
    </row>
    <row r="53" spans="1:15" ht="13.5" x14ac:dyDescent="0.25">
      <c r="A53" s="1" t="str">
        <f>"ORD"&amp;"-"&amp;_xlfn.XLOOKUP(C53,Guide!$B$22:$B$26,Guide!$C$22:$C$26)&amp;"-"&amp;_xlfn.XLOOKUP(D53,Guide!$B$29:$B$33,Guide!$C$29:$C$33)&amp;"-"&amp;TEXT(H53,"yyyymmdd")</f>
        <v>ORD-GER-MDM-20131001</v>
      </c>
      <c r="B53" s="1" t="s">
        <v>123</v>
      </c>
      <c r="C53" s="1" t="s">
        <v>29</v>
      </c>
      <c r="D53" s="1" t="s">
        <v>41</v>
      </c>
      <c r="E53" s="1" t="s">
        <v>75</v>
      </c>
      <c r="F53" s="2">
        <v>1945</v>
      </c>
      <c r="G53" s="4">
        <v>0.03</v>
      </c>
      <c r="H53" s="3">
        <f t="shared" si="0"/>
        <v>41548</v>
      </c>
      <c r="I53" s="1">
        <f>_xlfn.XLOOKUP(E53,Product!$A$2:$A$7,Product!$C$2:$C$7)</f>
        <v>20</v>
      </c>
      <c r="J53" s="22">
        <f t="shared" si="1"/>
        <v>38900</v>
      </c>
      <c r="K53" s="22">
        <f t="shared" si="2"/>
        <v>37733</v>
      </c>
      <c r="L53" s="22">
        <f>K53-(_xlfn.XLOOKUP(E53,Product!$A$2:$A$7,Product!$B$2:$B$7)*F53)</f>
        <v>18283</v>
      </c>
      <c r="M53">
        <f>YEAR(Table1[[#This Row],[Order date]])</f>
        <v>2013</v>
      </c>
      <c r="N53" s="22" t="str" cm="1">
        <f t="array" ref="N53">_xlfn.IFS(G53=0,"No Discount", ROUND(G53*100,0)&lt;=4,"Low", ROUND(G53*100,0)&lt;=9,"Medium", ROUND(G53*100,0)&lt;=15,"High")</f>
        <v>Low</v>
      </c>
      <c r="O53" s="22" t="str">
        <f>TEXT(Table1[[#This Row],[Order date]],"mmmm")</f>
        <v>October</v>
      </c>
    </row>
    <row r="54" spans="1:15" ht="13.5" x14ac:dyDescent="0.25">
      <c r="A54" s="1" t="str">
        <f>"ORD"&amp;"-"&amp;_xlfn.XLOOKUP(C54,Guide!$B$22:$B$26,Guide!$C$22:$C$26)&amp;"-"&amp;_xlfn.XLOOKUP(D54,Guide!$B$29:$B$33,Guide!$C$29:$C$33)&amp;"-"&amp;TEXT(H54,"yyyymmdd")</f>
        <v>ORD-GER-MDM-20131001</v>
      </c>
      <c r="B54" s="1" t="s">
        <v>123</v>
      </c>
      <c r="C54" s="1" t="s">
        <v>29</v>
      </c>
      <c r="D54" s="1" t="s">
        <v>41</v>
      </c>
      <c r="E54" s="1" t="s">
        <v>78</v>
      </c>
      <c r="F54" s="2">
        <v>1945</v>
      </c>
      <c r="G54" s="4">
        <v>0.03</v>
      </c>
      <c r="H54" s="3">
        <f t="shared" si="0"/>
        <v>41548</v>
      </c>
      <c r="I54" s="1">
        <f>_xlfn.XLOOKUP(E54,Product!$A$2:$A$7,Product!$C$2:$C$7)</f>
        <v>300</v>
      </c>
      <c r="J54" s="22">
        <f t="shared" si="1"/>
        <v>583500</v>
      </c>
      <c r="K54" s="22">
        <f t="shared" si="2"/>
        <v>565995</v>
      </c>
      <c r="L54" s="22">
        <f>K54-(_xlfn.XLOOKUP(E54,Product!$A$2:$A$7,Product!$B$2:$B$7)*F54)</f>
        <v>79745</v>
      </c>
      <c r="M54">
        <f>YEAR(Table1[[#This Row],[Order date]])</f>
        <v>2013</v>
      </c>
      <c r="N54" s="22" t="str" cm="1">
        <f t="array" ref="N54">_xlfn.IFS(G54=0,"No Discount", ROUND(G54*100,0)&lt;=4,"Low", ROUND(G54*100,0)&lt;=9,"Medium", ROUND(G54*100,0)&lt;=15,"High")</f>
        <v>Low</v>
      </c>
      <c r="O54" s="22" t="str">
        <f>TEXT(Table1[[#This Row],[Order date]],"mmmm")</f>
        <v>October</v>
      </c>
    </row>
    <row r="55" spans="1:15" ht="13.5" x14ac:dyDescent="0.25">
      <c r="A55" s="1" t="str">
        <f>"ORD"&amp;"-"&amp;_xlfn.XLOOKUP(C55,Guide!$B$22:$B$26,Guide!$C$22:$C$26)&amp;"-"&amp;_xlfn.XLOOKUP(D55,Guide!$B$29:$B$33,Guide!$C$29:$C$33)&amp;"-"&amp;TEXT(H55,"yyyymmdd")</f>
        <v>ORD-USA-MDM-20131001</v>
      </c>
      <c r="B55" s="1" t="s">
        <v>124</v>
      </c>
      <c r="C55" s="1" t="s">
        <v>35</v>
      </c>
      <c r="D55" s="1" t="s">
        <v>41</v>
      </c>
      <c r="E55" s="1" t="s">
        <v>75</v>
      </c>
      <c r="F55" s="2">
        <v>671</v>
      </c>
      <c r="G55" s="4">
        <v>0.04</v>
      </c>
      <c r="H55" s="3">
        <f t="shared" si="0"/>
        <v>41548</v>
      </c>
      <c r="I55" s="1">
        <f>_xlfn.XLOOKUP(E55,Product!$A$2:$A$7,Product!$C$2:$C$7)</f>
        <v>20</v>
      </c>
      <c r="J55" s="22">
        <f t="shared" si="1"/>
        <v>13420</v>
      </c>
      <c r="K55" s="22">
        <f t="shared" si="2"/>
        <v>12883.199999999999</v>
      </c>
      <c r="L55" s="22">
        <f>K55-(_xlfn.XLOOKUP(E55,Product!$A$2:$A$7,Product!$B$2:$B$7)*F55)</f>
        <v>6173.1999999999989</v>
      </c>
      <c r="M55">
        <f>YEAR(Table1[[#This Row],[Order date]])</f>
        <v>2013</v>
      </c>
      <c r="N55" s="22" t="str" cm="1">
        <f t="array" ref="N55">_xlfn.IFS(G55=0,"No Discount", ROUND(G55*100,0)&lt;=4,"Low", ROUND(G55*100,0)&lt;=9,"Medium", ROUND(G55*100,0)&lt;=15,"High")</f>
        <v>Low</v>
      </c>
      <c r="O55" s="22" t="str">
        <f>TEXT(Table1[[#This Row],[Order date]],"mmmm")</f>
        <v>October</v>
      </c>
    </row>
    <row r="56" spans="1:15" ht="13.5" x14ac:dyDescent="0.25">
      <c r="A56" s="1" t="str">
        <f>"ORD"&amp;"-"&amp;_xlfn.XLOOKUP(C56,Guide!$B$22:$B$26,Guide!$C$22:$C$26)&amp;"-"&amp;_xlfn.XLOOKUP(D56,Guide!$B$29:$B$33,Guide!$C$29:$C$33)&amp;"-"&amp;TEXT(H56,"yyyymmdd")</f>
        <v>ORD-MXC-MDM-20131001</v>
      </c>
      <c r="B56" s="1" t="s">
        <v>125</v>
      </c>
      <c r="C56" s="1" t="s">
        <v>33</v>
      </c>
      <c r="D56" s="1" t="s">
        <v>41</v>
      </c>
      <c r="E56" s="1" t="s">
        <v>75</v>
      </c>
      <c r="F56" s="2">
        <v>1514</v>
      </c>
      <c r="G56" s="4">
        <v>0.04</v>
      </c>
      <c r="H56" s="3">
        <f t="shared" si="0"/>
        <v>41548</v>
      </c>
      <c r="I56" s="1">
        <f>_xlfn.XLOOKUP(E56,Product!$A$2:$A$7,Product!$C$2:$C$7)</f>
        <v>20</v>
      </c>
      <c r="J56" s="22">
        <f t="shared" si="1"/>
        <v>30280</v>
      </c>
      <c r="K56" s="22">
        <f t="shared" si="2"/>
        <v>29068.799999999999</v>
      </c>
      <c r="L56" s="22">
        <f>K56-(_xlfn.XLOOKUP(E56,Product!$A$2:$A$7,Product!$B$2:$B$7)*F56)</f>
        <v>13928.8</v>
      </c>
      <c r="M56">
        <f>YEAR(Table1[[#This Row],[Order date]])</f>
        <v>2013</v>
      </c>
      <c r="N56" s="22" t="str" cm="1">
        <f t="array" ref="N56">_xlfn.IFS(G56=0,"No Discount", ROUND(G56*100,0)&lt;=4,"Low", ROUND(G56*100,0)&lt;=9,"Medium", ROUND(G56*100,0)&lt;=15,"High")</f>
        <v>Low</v>
      </c>
      <c r="O56" s="22" t="str">
        <f>TEXT(Table1[[#This Row],[Order date]],"mmmm")</f>
        <v>October</v>
      </c>
    </row>
    <row r="57" spans="1:15" ht="13.5" x14ac:dyDescent="0.25">
      <c r="A57" s="1" t="str">
        <f>"ORD"&amp;"-"&amp;_xlfn.XLOOKUP(C57,Guide!$B$22:$B$26,Guide!$C$22:$C$26)&amp;"-"&amp;_xlfn.XLOOKUP(D57,Guide!$B$29:$B$33,Guide!$C$29:$C$33)&amp;"-"&amp;TEXT(H57,"yyyymmdd")</f>
        <v>ORD-CND-GOV-20131001</v>
      </c>
      <c r="B57" s="1" t="s">
        <v>126</v>
      </c>
      <c r="C57" s="1" t="s">
        <v>27</v>
      </c>
      <c r="D57" s="1" t="s">
        <v>39</v>
      </c>
      <c r="E57" s="1" t="s">
        <v>82</v>
      </c>
      <c r="F57" s="2">
        <v>2851</v>
      </c>
      <c r="G57" s="4">
        <v>0.04</v>
      </c>
      <c r="H57" s="3">
        <f t="shared" si="0"/>
        <v>41548</v>
      </c>
      <c r="I57" s="1">
        <f>_xlfn.XLOOKUP(E57,Product!$A$2:$A$7,Product!$C$2:$C$7)</f>
        <v>15</v>
      </c>
      <c r="J57" s="22">
        <f t="shared" si="1"/>
        <v>42765</v>
      </c>
      <c r="K57" s="22">
        <f t="shared" si="2"/>
        <v>41054.400000000001</v>
      </c>
      <c r="L57" s="22">
        <f>K57-(_xlfn.XLOOKUP(E57,Product!$A$2:$A$7,Product!$B$2:$B$7)*F57)</f>
        <v>26799.4</v>
      </c>
      <c r="M57">
        <f>YEAR(Table1[[#This Row],[Order date]])</f>
        <v>2013</v>
      </c>
      <c r="N57" s="22" t="str" cm="1">
        <f t="array" ref="N57">_xlfn.IFS(G57=0,"No Discount", ROUND(G57*100,0)&lt;=4,"Low", ROUND(G57*100,0)&lt;=9,"Medium", ROUND(G57*100,0)&lt;=15,"High")</f>
        <v>Low</v>
      </c>
      <c r="O57" s="22" t="str">
        <f>TEXT(Table1[[#This Row],[Order date]],"mmmm")</f>
        <v>October</v>
      </c>
    </row>
    <row r="58" spans="1:15" ht="13.5" x14ac:dyDescent="0.25">
      <c r="A58" s="1" t="str">
        <f>"ORD"&amp;"-"&amp;_xlfn.XLOOKUP(C58,Guide!$B$22:$B$26,Guide!$C$22:$C$26)&amp;"-"&amp;_xlfn.XLOOKUP(D58,Guide!$B$29:$B$33,Guide!$C$29:$C$33)&amp;"-"&amp;TEXT(H58,"yyyymmdd")</f>
        <v>ORD-CND-GOV-20131001</v>
      </c>
      <c r="B58" s="1" t="s">
        <v>126</v>
      </c>
      <c r="C58" s="1" t="s">
        <v>27</v>
      </c>
      <c r="D58" s="1" t="s">
        <v>39</v>
      </c>
      <c r="E58" s="1" t="s">
        <v>80</v>
      </c>
      <c r="F58" s="2">
        <v>2851</v>
      </c>
      <c r="G58" s="4">
        <v>0.04</v>
      </c>
      <c r="H58" s="3">
        <f t="shared" si="0"/>
        <v>41548</v>
      </c>
      <c r="I58" s="1">
        <f>_xlfn.XLOOKUP(E58,Product!$A$2:$A$7,Product!$C$2:$C$7)</f>
        <v>20</v>
      </c>
      <c r="J58" s="22">
        <f t="shared" si="1"/>
        <v>57020</v>
      </c>
      <c r="K58" s="22">
        <f t="shared" si="2"/>
        <v>54739.199999999997</v>
      </c>
      <c r="L58" s="22">
        <f>K58-(_xlfn.XLOOKUP(E58,Product!$A$2:$A$7,Product!$B$2:$B$7)*F58)</f>
        <v>46186.2</v>
      </c>
      <c r="M58">
        <f>YEAR(Table1[[#This Row],[Order date]])</f>
        <v>2013</v>
      </c>
      <c r="N58" s="22" t="str" cm="1">
        <f t="array" ref="N58">_xlfn.IFS(G58=0,"No Discount", ROUND(G58*100,0)&lt;=4,"Low", ROUND(G58*100,0)&lt;=9,"Medium", ROUND(G58*100,0)&lt;=15,"High")</f>
        <v>Low</v>
      </c>
      <c r="O58" s="22" t="str">
        <f>TEXT(Table1[[#This Row],[Order date]],"mmmm")</f>
        <v>October</v>
      </c>
    </row>
    <row r="59" spans="1:15" ht="13.5" x14ac:dyDescent="0.25">
      <c r="A59" s="1" t="str">
        <f>"ORD"&amp;"-"&amp;_xlfn.XLOOKUP(C59,Guide!$B$22:$B$26,Guide!$C$22:$C$26)&amp;"-"&amp;_xlfn.XLOOKUP(D59,Guide!$B$29:$B$33,Guide!$C$29:$C$33)&amp;"-"&amp;TEXT(H59,"yyyymmdd")</f>
        <v>ORD-MXC-MDM-20131001</v>
      </c>
      <c r="B59" s="1" t="s">
        <v>125</v>
      </c>
      <c r="C59" s="1" t="s">
        <v>33</v>
      </c>
      <c r="D59" s="1" t="s">
        <v>41</v>
      </c>
      <c r="E59" s="1" t="s">
        <v>78</v>
      </c>
      <c r="F59" s="2">
        <v>1514</v>
      </c>
      <c r="G59" s="4">
        <v>0.04</v>
      </c>
      <c r="H59" s="3">
        <f t="shared" si="0"/>
        <v>41548</v>
      </c>
      <c r="I59" s="1">
        <f>_xlfn.XLOOKUP(E59,Product!$A$2:$A$7,Product!$C$2:$C$7)</f>
        <v>300</v>
      </c>
      <c r="J59" s="22">
        <f t="shared" si="1"/>
        <v>454200</v>
      </c>
      <c r="K59" s="22">
        <f t="shared" si="2"/>
        <v>436032</v>
      </c>
      <c r="L59" s="22">
        <f>K59-(_xlfn.XLOOKUP(E59,Product!$A$2:$A$7,Product!$B$2:$B$7)*F59)</f>
        <v>57532</v>
      </c>
      <c r="M59">
        <f>YEAR(Table1[[#This Row],[Order date]])</f>
        <v>2013</v>
      </c>
      <c r="N59" s="22" t="str" cm="1">
        <f t="array" ref="N59">_xlfn.IFS(G59=0,"No Discount", ROUND(G59*100,0)&lt;=4,"Low", ROUND(G59*100,0)&lt;=9,"Medium", ROUND(G59*100,0)&lt;=15,"High")</f>
        <v>Low</v>
      </c>
      <c r="O59" s="22" t="str">
        <f>TEXT(Table1[[#This Row],[Order date]],"mmmm")</f>
        <v>October</v>
      </c>
    </row>
    <row r="60" spans="1:15" ht="13.5" x14ac:dyDescent="0.25">
      <c r="A60" s="1" t="str">
        <f>"ORD"&amp;"-"&amp;_xlfn.XLOOKUP(C60,Guide!$B$22:$B$26,Guide!$C$22:$C$26)&amp;"-"&amp;_xlfn.XLOOKUP(D60,Guide!$B$29:$B$33,Guide!$C$29:$C$33)&amp;"-"&amp;TEXT(H60,"yyyymmdd")</f>
        <v>ORD-USA-MDM-20131001</v>
      </c>
      <c r="B60" s="1" t="s">
        <v>124</v>
      </c>
      <c r="C60" s="1" t="s">
        <v>35</v>
      </c>
      <c r="D60" s="1" t="s">
        <v>41</v>
      </c>
      <c r="E60" s="1" t="s">
        <v>84</v>
      </c>
      <c r="F60" s="2">
        <v>671</v>
      </c>
      <c r="G60" s="4">
        <v>0.04</v>
      </c>
      <c r="H60" s="3">
        <f t="shared" si="0"/>
        <v>41548</v>
      </c>
      <c r="I60" s="1">
        <f>_xlfn.XLOOKUP(E60,Product!$A$2:$A$7,Product!$C$2:$C$7)</f>
        <v>350</v>
      </c>
      <c r="J60" s="22">
        <f t="shared" si="1"/>
        <v>234850</v>
      </c>
      <c r="K60" s="22">
        <f t="shared" si="2"/>
        <v>225456</v>
      </c>
      <c r="L60" s="22">
        <f>K60-(_xlfn.XLOOKUP(E60,Product!$A$2:$A$7,Product!$B$2:$B$7)*F60)</f>
        <v>91256</v>
      </c>
      <c r="M60">
        <f>YEAR(Table1[[#This Row],[Order date]])</f>
        <v>2013</v>
      </c>
      <c r="N60" s="22" t="str" cm="1">
        <f t="array" ref="N60">_xlfn.IFS(G60=0,"No Discount", ROUND(G60*100,0)&lt;=4,"Low", ROUND(G60*100,0)&lt;=9,"Medium", ROUND(G60*100,0)&lt;=15,"High")</f>
        <v>Low</v>
      </c>
      <c r="O60" s="22" t="str">
        <f>TEXT(Table1[[#This Row],[Order date]],"mmmm")</f>
        <v>October</v>
      </c>
    </row>
    <row r="61" spans="1:15" ht="13.5" x14ac:dyDescent="0.25">
      <c r="A61" s="1" t="str">
        <f>"ORD"&amp;"-"&amp;_xlfn.XLOOKUP(C61,Guide!$B$22:$B$26,Guide!$C$22:$C$26)&amp;"-"&amp;_xlfn.XLOOKUP(D61,Guide!$B$29:$B$33,Guide!$C$29:$C$33)&amp;"-"&amp;TEXT(H61,"yyyymmdd")</f>
        <v>ORD-GER-GOV-20131001</v>
      </c>
      <c r="B61" s="1" t="s">
        <v>127</v>
      </c>
      <c r="C61" s="1" t="s">
        <v>29</v>
      </c>
      <c r="D61" s="1" t="s">
        <v>39</v>
      </c>
      <c r="E61" s="1" t="s">
        <v>82</v>
      </c>
      <c r="F61" s="2">
        <v>1159</v>
      </c>
      <c r="G61" s="4">
        <v>4.9999999999999996E-2</v>
      </c>
      <c r="H61" s="3">
        <f t="shared" si="0"/>
        <v>41548</v>
      </c>
      <c r="I61" s="1">
        <f>_xlfn.XLOOKUP(E61,Product!$A$2:$A$7,Product!$C$2:$C$7)</f>
        <v>15</v>
      </c>
      <c r="J61" s="22">
        <f t="shared" si="1"/>
        <v>17385</v>
      </c>
      <c r="K61" s="22">
        <f t="shared" si="2"/>
        <v>16515.75</v>
      </c>
      <c r="L61" s="22">
        <f>K61-(_xlfn.XLOOKUP(E61,Product!$A$2:$A$7,Product!$B$2:$B$7)*F61)</f>
        <v>10720.75</v>
      </c>
      <c r="M61">
        <f>YEAR(Table1[[#This Row],[Order date]])</f>
        <v>2013</v>
      </c>
      <c r="N61" s="22" t="str" cm="1">
        <f t="array" ref="N61">_xlfn.IFS(G61=0,"No Discount", ROUND(G61*100,0)&lt;=4,"Low", ROUND(G61*100,0)&lt;=9,"Medium", ROUND(G61*100,0)&lt;=15,"High")</f>
        <v>Medium</v>
      </c>
      <c r="O61" s="22" t="str">
        <f>TEXT(Table1[[#This Row],[Order date]],"mmmm")</f>
        <v>October</v>
      </c>
    </row>
    <row r="62" spans="1:15" ht="13.5" x14ac:dyDescent="0.25">
      <c r="A62" s="1" t="str">
        <f>"ORD"&amp;"-"&amp;_xlfn.XLOOKUP(C62,Guide!$B$22:$B$26,Guide!$C$22:$C$26)&amp;"-"&amp;_xlfn.XLOOKUP(D62,Guide!$B$29:$B$33,Guide!$C$29:$C$33)&amp;"-"&amp;TEXT(H62,"yyyymmdd")</f>
        <v>ORD-GER-GOV-20131001</v>
      </c>
      <c r="B62" s="1" t="s">
        <v>127</v>
      </c>
      <c r="C62" s="1" t="s">
        <v>29</v>
      </c>
      <c r="D62" s="1" t="s">
        <v>39</v>
      </c>
      <c r="E62" s="1" t="s">
        <v>84</v>
      </c>
      <c r="F62" s="2">
        <v>1159</v>
      </c>
      <c r="G62" s="4">
        <v>4.9999999999999996E-2</v>
      </c>
      <c r="H62" s="3">
        <f t="shared" si="0"/>
        <v>41548</v>
      </c>
      <c r="I62" s="1">
        <f>_xlfn.XLOOKUP(E62,Product!$A$2:$A$7,Product!$C$2:$C$7)</f>
        <v>350</v>
      </c>
      <c r="J62" s="22">
        <f t="shared" si="1"/>
        <v>405650</v>
      </c>
      <c r="K62" s="22">
        <f t="shared" si="2"/>
        <v>385367.5</v>
      </c>
      <c r="L62" s="22">
        <f>K62-(_xlfn.XLOOKUP(E62,Product!$A$2:$A$7,Product!$B$2:$B$7)*F62)</f>
        <v>153567.5</v>
      </c>
      <c r="M62">
        <f>YEAR(Table1[[#This Row],[Order date]])</f>
        <v>2013</v>
      </c>
      <c r="N62" s="22" t="str" cm="1">
        <f t="array" ref="N62">_xlfn.IFS(G62=0,"No Discount", ROUND(G62*100,0)&lt;=4,"Low", ROUND(G62*100,0)&lt;=9,"Medium", ROUND(G62*100,0)&lt;=15,"High")</f>
        <v>Medium</v>
      </c>
      <c r="O62" s="22" t="str">
        <f>TEXT(Table1[[#This Row],[Order date]],"mmmm")</f>
        <v>October</v>
      </c>
    </row>
    <row r="63" spans="1:15" ht="13.5" x14ac:dyDescent="0.25">
      <c r="A63" s="1" t="str">
        <f>"ORD"&amp;"-"&amp;_xlfn.XLOOKUP(C63,Guide!$B$22:$B$26,Guide!$C$22:$C$26)&amp;"-"&amp;_xlfn.XLOOKUP(D63,Guide!$B$29:$B$33,Guide!$C$29:$C$33)&amp;"-"&amp;TEXT(H63,"yyyymmdd")</f>
        <v>ORD-FRA-ENT-20131001</v>
      </c>
      <c r="B63" s="1" t="s">
        <v>128</v>
      </c>
      <c r="C63" s="1" t="s">
        <v>31</v>
      </c>
      <c r="D63" s="1" t="s">
        <v>45</v>
      </c>
      <c r="E63" s="1" t="s">
        <v>75</v>
      </c>
      <c r="F63" s="2">
        <v>704</v>
      </c>
      <c r="G63" s="4">
        <v>0.05</v>
      </c>
      <c r="H63" s="3">
        <f t="shared" si="0"/>
        <v>41548</v>
      </c>
      <c r="I63" s="1">
        <f>_xlfn.XLOOKUP(E63,Product!$A$2:$A$7,Product!$C$2:$C$7)</f>
        <v>20</v>
      </c>
      <c r="J63" s="22">
        <f t="shared" si="1"/>
        <v>14080</v>
      </c>
      <c r="K63" s="22">
        <f t="shared" si="2"/>
        <v>13376</v>
      </c>
      <c r="L63" s="22">
        <f>K63-(_xlfn.XLOOKUP(E63,Product!$A$2:$A$7,Product!$B$2:$B$7)*F63)</f>
        <v>6336</v>
      </c>
      <c r="M63">
        <f>YEAR(Table1[[#This Row],[Order date]])</f>
        <v>2013</v>
      </c>
      <c r="N63" s="22" t="str" cm="1">
        <f t="array" ref="N63">_xlfn.IFS(G63=0,"No Discount", ROUND(G63*100,0)&lt;=4,"Low", ROUND(G63*100,0)&lt;=9,"Medium", ROUND(G63*100,0)&lt;=15,"High")</f>
        <v>Medium</v>
      </c>
      <c r="O63" s="22" t="str">
        <f>TEXT(Table1[[#This Row],[Order date]],"mmmm")</f>
        <v>October</v>
      </c>
    </row>
    <row r="64" spans="1:15" ht="13.5" x14ac:dyDescent="0.25">
      <c r="A64" s="1" t="str">
        <f>"ORD"&amp;"-"&amp;_xlfn.XLOOKUP(C64,Guide!$B$22:$B$26,Guide!$C$22:$C$26)&amp;"-"&amp;_xlfn.XLOOKUP(D64,Guide!$B$29:$B$33,Guide!$C$29:$C$33)&amp;"-"&amp;TEXT(H64,"yyyymmdd")</f>
        <v>ORD-CND-GOV-20131001</v>
      </c>
      <c r="B64" s="1" t="s">
        <v>129</v>
      </c>
      <c r="C64" s="1" t="s">
        <v>27</v>
      </c>
      <c r="D64" s="1" t="s">
        <v>39</v>
      </c>
      <c r="E64" s="1" t="s">
        <v>75</v>
      </c>
      <c r="F64" s="2">
        <v>1228</v>
      </c>
      <c r="G64" s="4">
        <v>0.05</v>
      </c>
      <c r="H64" s="3">
        <f t="shared" si="0"/>
        <v>41548</v>
      </c>
      <c r="I64" s="1">
        <f>_xlfn.XLOOKUP(E64,Product!$A$2:$A$7,Product!$C$2:$C$7)</f>
        <v>20</v>
      </c>
      <c r="J64" s="22">
        <f t="shared" si="1"/>
        <v>24560</v>
      </c>
      <c r="K64" s="22">
        <f t="shared" si="2"/>
        <v>23332</v>
      </c>
      <c r="L64" s="22">
        <f>K64-(_xlfn.XLOOKUP(E64,Product!$A$2:$A$7,Product!$B$2:$B$7)*F64)</f>
        <v>11052</v>
      </c>
      <c r="M64">
        <f>YEAR(Table1[[#This Row],[Order date]])</f>
        <v>2013</v>
      </c>
      <c r="N64" s="22" t="str" cm="1">
        <f t="array" ref="N64">_xlfn.IFS(G64=0,"No Discount", ROUND(G64*100,0)&lt;=4,"Low", ROUND(G64*100,0)&lt;=9,"Medium", ROUND(G64*100,0)&lt;=15,"High")</f>
        <v>Medium</v>
      </c>
      <c r="O64" s="22" t="str">
        <f>TEXT(Table1[[#This Row],[Order date]],"mmmm")</f>
        <v>October</v>
      </c>
    </row>
    <row r="65" spans="1:15" ht="13.5" x14ac:dyDescent="0.25">
      <c r="A65" s="1" t="str">
        <f>"ORD"&amp;"-"&amp;_xlfn.XLOOKUP(C65,Guide!$B$22:$B$26,Guide!$C$22:$C$26)&amp;"-"&amp;_xlfn.XLOOKUP(D65,Guide!$B$29:$B$33,Guide!$C$29:$C$33)&amp;"-"&amp;TEXT(H65,"yyyymmdd")</f>
        <v>ORD-CND-GOV-20131001</v>
      </c>
      <c r="B65" s="1" t="s">
        <v>130</v>
      </c>
      <c r="C65" s="1" t="s">
        <v>27</v>
      </c>
      <c r="D65" s="1" t="s">
        <v>39</v>
      </c>
      <c r="E65" s="1" t="s">
        <v>75</v>
      </c>
      <c r="F65" s="2">
        <v>1389</v>
      </c>
      <c r="G65" s="4">
        <v>0.05</v>
      </c>
      <c r="H65" s="3">
        <f t="shared" si="0"/>
        <v>41548</v>
      </c>
      <c r="I65" s="1">
        <f>_xlfn.XLOOKUP(E65,Product!$A$2:$A$7,Product!$C$2:$C$7)</f>
        <v>20</v>
      </c>
      <c r="J65" s="22">
        <f t="shared" si="1"/>
        <v>27780</v>
      </c>
      <c r="K65" s="22">
        <f t="shared" si="2"/>
        <v>26391</v>
      </c>
      <c r="L65" s="22">
        <f>K65-(_xlfn.XLOOKUP(E65,Product!$A$2:$A$7,Product!$B$2:$B$7)*F65)</f>
        <v>12501</v>
      </c>
      <c r="M65">
        <f>YEAR(Table1[[#This Row],[Order date]])</f>
        <v>2013</v>
      </c>
      <c r="N65" s="22" t="str" cm="1">
        <f t="array" ref="N65">_xlfn.IFS(G65=0,"No Discount", ROUND(G65*100,0)&lt;=4,"Low", ROUND(G65*100,0)&lt;=9,"Medium", ROUND(G65*100,0)&lt;=15,"High")</f>
        <v>Medium</v>
      </c>
      <c r="O65" s="22" t="str">
        <f>TEXT(Table1[[#This Row],[Order date]],"mmmm")</f>
        <v>October</v>
      </c>
    </row>
    <row r="66" spans="1:15" ht="13.5" x14ac:dyDescent="0.25">
      <c r="A66" s="1" t="str">
        <f>"ORD"&amp;"-"&amp;_xlfn.XLOOKUP(C66,Guide!$B$22:$B$26,Guide!$C$22:$C$26)&amp;"-"&amp;_xlfn.XLOOKUP(D66,Guide!$B$29:$B$33,Guide!$C$29:$C$33)&amp;"-"&amp;TEXT(H66,"yyyymmdd")</f>
        <v>ORD-FRA-ENT-20131001</v>
      </c>
      <c r="B66" s="1" t="s">
        <v>128</v>
      </c>
      <c r="C66" s="1" t="s">
        <v>31</v>
      </c>
      <c r="D66" s="1" t="s">
        <v>45</v>
      </c>
      <c r="E66" s="1" t="s">
        <v>88</v>
      </c>
      <c r="F66" s="2">
        <v>704</v>
      </c>
      <c r="G66" s="4">
        <v>0.05</v>
      </c>
      <c r="H66" s="3">
        <f t="shared" ref="H66:H129" si="3">DATE(VALUE(_xlfn.TEXTBEFORE(_xlfn.TEXTAFTER(B66,"""year"": """),"""")),VALUE(_xlfn.TEXTBEFORE(_xlfn.TEXTAFTER(B66,"""month"": """),"""")),VALUE(_xlfn.TEXTBEFORE(_xlfn.TEXTAFTER(B66,"""date"": """),""""))
)</f>
        <v>41548</v>
      </c>
      <c r="I66" s="1">
        <f>_xlfn.XLOOKUP(E66,Product!$A$2:$A$7,Product!$C$2:$C$7)</f>
        <v>180</v>
      </c>
      <c r="J66" s="22">
        <f t="shared" ref="J66:J129" si="4">I66*F66</f>
        <v>126720</v>
      </c>
      <c r="K66" s="22">
        <f t="shared" ref="K66:K129" si="5">J66*(1-IF(G66="-",0,G66))</f>
        <v>120384</v>
      </c>
      <c r="L66" s="22">
        <f>K66-(_xlfn.XLOOKUP(E66,Product!$A$2:$A$7,Product!$B$2:$B$7)*F66)</f>
        <v>35904</v>
      </c>
      <c r="M66">
        <f>YEAR(Table1[[#This Row],[Order date]])</f>
        <v>2013</v>
      </c>
      <c r="N66" s="22" t="str" cm="1">
        <f t="array" ref="N66">_xlfn.IFS(G66=0,"No Discount", ROUND(G66*100,0)&lt;=4,"Low", ROUND(G66*100,0)&lt;=9,"Medium", ROUND(G66*100,0)&lt;=15,"High")</f>
        <v>Medium</v>
      </c>
      <c r="O66" s="22" t="str">
        <f>TEXT(Table1[[#This Row],[Order date]],"mmmm")</f>
        <v>October</v>
      </c>
    </row>
    <row r="67" spans="1:15" ht="13.5" x14ac:dyDescent="0.25">
      <c r="A67" s="1" t="str">
        <f>"ORD"&amp;"-"&amp;_xlfn.XLOOKUP(C67,Guide!$B$22:$B$26,Guide!$C$22:$C$26)&amp;"-"&amp;_xlfn.XLOOKUP(D67,Guide!$B$29:$B$33,Guide!$C$29:$C$33)&amp;"-"&amp;TEXT(H67,"yyyymmdd")</f>
        <v>ORD-CND-GOV-20131001</v>
      </c>
      <c r="B67" s="1" t="s">
        <v>130</v>
      </c>
      <c r="C67" s="1" t="s">
        <v>27</v>
      </c>
      <c r="D67" s="1" t="s">
        <v>39</v>
      </c>
      <c r="E67" s="1" t="s">
        <v>78</v>
      </c>
      <c r="F67" s="2">
        <v>1389</v>
      </c>
      <c r="G67" s="4">
        <v>0.05</v>
      </c>
      <c r="H67" s="3">
        <f t="shared" si="3"/>
        <v>41548</v>
      </c>
      <c r="I67" s="1">
        <f>_xlfn.XLOOKUP(E67,Product!$A$2:$A$7,Product!$C$2:$C$7)</f>
        <v>300</v>
      </c>
      <c r="J67" s="22">
        <f t="shared" si="4"/>
        <v>416700</v>
      </c>
      <c r="K67" s="22">
        <f t="shared" si="5"/>
        <v>395865</v>
      </c>
      <c r="L67" s="22">
        <f>K67-(_xlfn.XLOOKUP(E67,Product!$A$2:$A$7,Product!$B$2:$B$7)*F67)</f>
        <v>48615</v>
      </c>
      <c r="M67">
        <f>YEAR(Table1[[#This Row],[Order date]])</f>
        <v>2013</v>
      </c>
      <c r="N67" s="22" t="str" cm="1">
        <f t="array" ref="N67">_xlfn.IFS(G67=0,"No Discount", ROUND(G67*100,0)&lt;=4,"Low", ROUND(G67*100,0)&lt;=9,"Medium", ROUND(G67*100,0)&lt;=15,"High")</f>
        <v>Medium</v>
      </c>
      <c r="O67" s="22" t="str">
        <f>TEXT(Table1[[#This Row],[Order date]],"mmmm")</f>
        <v>October</v>
      </c>
    </row>
    <row r="68" spans="1:15" ht="13.5" x14ac:dyDescent="0.25">
      <c r="A68" s="1" t="str">
        <f>"ORD"&amp;"-"&amp;_xlfn.XLOOKUP(C68,Guide!$B$22:$B$26,Guide!$C$22:$C$26)&amp;"-"&amp;_xlfn.XLOOKUP(D68,Guide!$B$29:$B$33,Guide!$C$29:$C$33)&amp;"-"&amp;TEXT(H68,"yyyymmdd")</f>
        <v>ORD-CND-GOV-20131001</v>
      </c>
      <c r="B68" s="1" t="s">
        <v>129</v>
      </c>
      <c r="C68" s="1" t="s">
        <v>27</v>
      </c>
      <c r="D68" s="1" t="s">
        <v>39</v>
      </c>
      <c r="E68" s="1" t="s">
        <v>84</v>
      </c>
      <c r="F68" s="2">
        <v>1228</v>
      </c>
      <c r="G68" s="4">
        <v>0.05</v>
      </c>
      <c r="H68" s="3">
        <f t="shared" si="3"/>
        <v>41548</v>
      </c>
      <c r="I68" s="1">
        <f>_xlfn.XLOOKUP(E68,Product!$A$2:$A$7,Product!$C$2:$C$7)</f>
        <v>350</v>
      </c>
      <c r="J68" s="22">
        <f t="shared" si="4"/>
        <v>429800</v>
      </c>
      <c r="K68" s="22">
        <f t="shared" si="5"/>
        <v>408310</v>
      </c>
      <c r="L68" s="22">
        <f>K68-(_xlfn.XLOOKUP(E68,Product!$A$2:$A$7,Product!$B$2:$B$7)*F68)</f>
        <v>162710</v>
      </c>
      <c r="M68">
        <f>YEAR(Table1[[#This Row],[Order date]])</f>
        <v>2013</v>
      </c>
      <c r="N68" s="22" t="str" cm="1">
        <f t="array" ref="N68">_xlfn.IFS(G68=0,"No Discount", ROUND(G68*100,0)&lt;=4,"Low", ROUND(G68*100,0)&lt;=9,"Medium", ROUND(G68*100,0)&lt;=15,"High")</f>
        <v>Medium</v>
      </c>
      <c r="O68" s="22" t="str">
        <f>TEXT(Table1[[#This Row],[Order date]],"mmmm")</f>
        <v>October</v>
      </c>
    </row>
    <row r="69" spans="1:15" ht="13.5" x14ac:dyDescent="0.25">
      <c r="A69" s="1" t="str">
        <f>"ORD"&amp;"-"&amp;_xlfn.XLOOKUP(C69,Guide!$B$22:$B$26,Guide!$C$22:$C$26)&amp;"-"&amp;_xlfn.XLOOKUP(D69,Guide!$B$29:$B$33,Guide!$C$29:$C$33)&amp;"-"&amp;TEXT(H69,"yyyymmdd")</f>
        <v>ORD-USA-GOV-20131001</v>
      </c>
      <c r="B69" s="1" t="s">
        <v>131</v>
      </c>
      <c r="C69" s="1" t="s">
        <v>35</v>
      </c>
      <c r="D69" s="1" t="s">
        <v>39</v>
      </c>
      <c r="E69" s="1" t="s">
        <v>75</v>
      </c>
      <c r="F69" s="2">
        <v>727</v>
      </c>
      <c r="G69" s="4">
        <v>0.06</v>
      </c>
      <c r="H69" s="3">
        <f t="shared" si="3"/>
        <v>41548</v>
      </c>
      <c r="I69" s="1">
        <f>_xlfn.XLOOKUP(E69,Product!$A$2:$A$7,Product!$C$2:$C$7)</f>
        <v>20</v>
      </c>
      <c r="J69" s="22">
        <f t="shared" si="4"/>
        <v>14540</v>
      </c>
      <c r="K69" s="22">
        <f t="shared" si="5"/>
        <v>13667.599999999999</v>
      </c>
      <c r="L69" s="22">
        <f>K69-(_xlfn.XLOOKUP(E69,Product!$A$2:$A$7,Product!$B$2:$B$7)*F69)</f>
        <v>6397.5999999999985</v>
      </c>
      <c r="M69">
        <f>YEAR(Table1[[#This Row],[Order date]])</f>
        <v>2013</v>
      </c>
      <c r="N69" s="22" t="str" cm="1">
        <f t="array" ref="N69">_xlfn.IFS(G69=0,"No Discount", ROUND(G69*100,0)&lt;=4,"Low", ROUND(G69*100,0)&lt;=9,"Medium", ROUND(G69*100,0)&lt;=15,"High")</f>
        <v>Medium</v>
      </c>
      <c r="O69" s="22" t="str">
        <f>TEXT(Table1[[#This Row],[Order date]],"mmmm")</f>
        <v>October</v>
      </c>
    </row>
    <row r="70" spans="1:15" ht="13.5" x14ac:dyDescent="0.25">
      <c r="A70" s="1" t="str">
        <f>"ORD"&amp;"-"&amp;_xlfn.XLOOKUP(C70,Guide!$B$22:$B$26,Guide!$C$22:$C$26)&amp;"-"&amp;_xlfn.XLOOKUP(D70,Guide!$B$29:$B$33,Guide!$C$29:$C$33)&amp;"-"&amp;TEXT(H70,"yyyymmdd")</f>
        <v>ORD-FRA-GOV-20131001</v>
      </c>
      <c r="B70" s="1" t="s">
        <v>132</v>
      </c>
      <c r="C70" s="1" t="s">
        <v>31</v>
      </c>
      <c r="D70" s="1" t="s">
        <v>39</v>
      </c>
      <c r="E70" s="1" t="s">
        <v>82</v>
      </c>
      <c r="F70" s="2">
        <v>1403</v>
      </c>
      <c r="G70" s="4">
        <v>0.06</v>
      </c>
      <c r="H70" s="3">
        <f t="shared" si="3"/>
        <v>41548</v>
      </c>
      <c r="I70" s="1">
        <f>_xlfn.XLOOKUP(E70,Product!$A$2:$A$7,Product!$C$2:$C$7)</f>
        <v>15</v>
      </c>
      <c r="J70" s="22">
        <f t="shared" si="4"/>
        <v>21045</v>
      </c>
      <c r="K70" s="22">
        <f t="shared" si="5"/>
        <v>19782.3</v>
      </c>
      <c r="L70" s="22">
        <f>K70-(_xlfn.XLOOKUP(E70,Product!$A$2:$A$7,Product!$B$2:$B$7)*F70)</f>
        <v>12767.3</v>
      </c>
      <c r="M70">
        <f>YEAR(Table1[[#This Row],[Order date]])</f>
        <v>2013</v>
      </c>
      <c r="N70" s="22" t="str" cm="1">
        <f t="array" ref="N70">_xlfn.IFS(G70=0,"No Discount", ROUND(G70*100,0)&lt;=4,"Low", ROUND(G70*100,0)&lt;=9,"Medium", ROUND(G70*100,0)&lt;=15,"High")</f>
        <v>Medium</v>
      </c>
      <c r="O70" s="22" t="str">
        <f>TEXT(Table1[[#This Row],[Order date]],"mmmm")</f>
        <v>October</v>
      </c>
    </row>
    <row r="71" spans="1:15" ht="13.5" x14ac:dyDescent="0.25">
      <c r="A71" s="1" t="str">
        <f>"ORD"&amp;"-"&amp;_xlfn.XLOOKUP(C71,Guide!$B$22:$B$26,Guide!$C$22:$C$26)&amp;"-"&amp;_xlfn.XLOOKUP(D71,Guide!$B$29:$B$33,Guide!$C$29:$C$33)&amp;"-"&amp;TEXT(H71,"yyyymmdd")</f>
        <v>ORD-CND-CPR-20131001</v>
      </c>
      <c r="B71" s="1" t="s">
        <v>133</v>
      </c>
      <c r="C71" s="1" t="s">
        <v>27</v>
      </c>
      <c r="D71" s="1" t="s">
        <v>43</v>
      </c>
      <c r="E71" s="1" t="s">
        <v>75</v>
      </c>
      <c r="F71" s="2">
        <v>2299</v>
      </c>
      <c r="G71" s="4">
        <v>0.06</v>
      </c>
      <c r="H71" s="3">
        <f t="shared" si="3"/>
        <v>41548</v>
      </c>
      <c r="I71" s="1">
        <f>_xlfn.XLOOKUP(E71,Product!$A$2:$A$7,Product!$C$2:$C$7)</f>
        <v>20</v>
      </c>
      <c r="J71" s="22">
        <f t="shared" si="4"/>
        <v>45980</v>
      </c>
      <c r="K71" s="22">
        <f t="shared" si="5"/>
        <v>43221.2</v>
      </c>
      <c r="L71" s="22">
        <f>K71-(_xlfn.XLOOKUP(E71,Product!$A$2:$A$7,Product!$B$2:$B$7)*F71)</f>
        <v>20231.199999999997</v>
      </c>
      <c r="M71">
        <f>YEAR(Table1[[#This Row],[Order date]])</f>
        <v>2013</v>
      </c>
      <c r="N71" s="22" t="str" cm="1">
        <f t="array" ref="N71">_xlfn.IFS(G71=0,"No Discount", ROUND(G71*100,0)&lt;=4,"Low", ROUND(G71*100,0)&lt;=9,"Medium", ROUND(G71*100,0)&lt;=15,"High")</f>
        <v>Medium</v>
      </c>
      <c r="O71" s="22" t="str">
        <f>TEXT(Table1[[#This Row],[Order date]],"mmmm")</f>
        <v>October</v>
      </c>
    </row>
    <row r="72" spans="1:15" ht="13.5" x14ac:dyDescent="0.25">
      <c r="A72" s="1" t="str">
        <f>"ORD"&amp;"-"&amp;_xlfn.XLOOKUP(C72,Guide!$B$22:$B$26,Guide!$C$22:$C$26)&amp;"-"&amp;_xlfn.XLOOKUP(D72,Guide!$B$29:$B$33,Guide!$C$29:$C$33)&amp;"-"&amp;TEXT(H72,"yyyymmdd")</f>
        <v>ORD-CND-CPR-20131001</v>
      </c>
      <c r="B72" s="1" t="s">
        <v>133</v>
      </c>
      <c r="C72" s="1" t="s">
        <v>27</v>
      </c>
      <c r="D72" s="1" t="s">
        <v>43</v>
      </c>
      <c r="E72" s="1" t="s">
        <v>80</v>
      </c>
      <c r="F72" s="2">
        <v>2299</v>
      </c>
      <c r="G72" s="4">
        <v>0.06</v>
      </c>
      <c r="H72" s="3">
        <f t="shared" si="3"/>
        <v>41548</v>
      </c>
      <c r="I72" s="1">
        <f>_xlfn.XLOOKUP(E72,Product!$A$2:$A$7,Product!$C$2:$C$7)</f>
        <v>20</v>
      </c>
      <c r="J72" s="22">
        <f t="shared" si="4"/>
        <v>45980</v>
      </c>
      <c r="K72" s="22">
        <f t="shared" si="5"/>
        <v>43221.2</v>
      </c>
      <c r="L72" s="22">
        <f>K72-(_xlfn.XLOOKUP(E72,Product!$A$2:$A$7,Product!$B$2:$B$7)*F72)</f>
        <v>36324.199999999997</v>
      </c>
      <c r="M72">
        <f>YEAR(Table1[[#This Row],[Order date]])</f>
        <v>2013</v>
      </c>
      <c r="N72" s="22" t="str" cm="1">
        <f t="array" ref="N72">_xlfn.IFS(G72=0,"No Discount", ROUND(G72*100,0)&lt;=4,"Low", ROUND(G72*100,0)&lt;=9,"Medium", ROUND(G72*100,0)&lt;=15,"High")</f>
        <v>Medium</v>
      </c>
      <c r="O72" s="22" t="str">
        <f>TEXT(Table1[[#This Row],[Order date]],"mmmm")</f>
        <v>October</v>
      </c>
    </row>
    <row r="73" spans="1:15" ht="13.5" x14ac:dyDescent="0.25">
      <c r="A73" s="1" t="str">
        <f>"ORD"&amp;"-"&amp;_xlfn.XLOOKUP(C73,Guide!$B$22:$B$26,Guide!$C$22:$C$26)&amp;"-"&amp;_xlfn.XLOOKUP(D73,Guide!$B$29:$B$33,Guide!$C$29:$C$33)&amp;"-"&amp;TEXT(H73,"yyyymmdd")</f>
        <v>ORD-FRA-SMB-20131001</v>
      </c>
      <c r="B73" s="1" t="s">
        <v>134</v>
      </c>
      <c r="C73" s="1" t="s">
        <v>31</v>
      </c>
      <c r="D73" s="1" t="s">
        <v>47</v>
      </c>
      <c r="E73" s="1" t="s">
        <v>78</v>
      </c>
      <c r="F73" s="2">
        <v>1221</v>
      </c>
      <c r="G73" s="4">
        <v>0.06</v>
      </c>
      <c r="H73" s="3">
        <f t="shared" si="3"/>
        <v>41548</v>
      </c>
      <c r="I73" s="1">
        <f>_xlfn.XLOOKUP(E73,Product!$A$2:$A$7,Product!$C$2:$C$7)</f>
        <v>300</v>
      </c>
      <c r="J73" s="22">
        <f t="shared" si="4"/>
        <v>366300</v>
      </c>
      <c r="K73" s="22">
        <f t="shared" si="5"/>
        <v>344322</v>
      </c>
      <c r="L73" s="22">
        <f>K73-(_xlfn.XLOOKUP(E73,Product!$A$2:$A$7,Product!$B$2:$B$7)*F73)</f>
        <v>39072</v>
      </c>
      <c r="M73">
        <f>YEAR(Table1[[#This Row],[Order date]])</f>
        <v>2013</v>
      </c>
      <c r="N73" s="22" t="str" cm="1">
        <f t="array" ref="N73">_xlfn.IFS(G73=0,"No Discount", ROUND(G73*100,0)&lt;=4,"Low", ROUND(G73*100,0)&lt;=9,"Medium", ROUND(G73*100,0)&lt;=15,"High")</f>
        <v>Medium</v>
      </c>
      <c r="O73" s="22" t="str">
        <f>TEXT(Table1[[#This Row],[Order date]],"mmmm")</f>
        <v>October</v>
      </c>
    </row>
    <row r="74" spans="1:15" ht="13.5" x14ac:dyDescent="0.25">
      <c r="A74" s="1" t="str">
        <f>"ORD"&amp;"-"&amp;_xlfn.XLOOKUP(C74,Guide!$B$22:$B$26,Guide!$C$22:$C$26)&amp;"-"&amp;_xlfn.XLOOKUP(D74,Guide!$B$29:$B$33,Guide!$C$29:$C$33)&amp;"-"&amp;TEXT(H74,"yyyymmdd")</f>
        <v>ORD-FRA-SMB-20131001</v>
      </c>
      <c r="B74" s="1" t="s">
        <v>134</v>
      </c>
      <c r="C74" s="1" t="s">
        <v>31</v>
      </c>
      <c r="D74" s="1" t="s">
        <v>47</v>
      </c>
      <c r="E74" s="1" t="s">
        <v>88</v>
      </c>
      <c r="F74" s="2">
        <v>1221</v>
      </c>
      <c r="G74" s="4">
        <v>0.06</v>
      </c>
      <c r="H74" s="3">
        <f t="shared" si="3"/>
        <v>41548</v>
      </c>
      <c r="I74" s="1">
        <f>_xlfn.XLOOKUP(E74,Product!$A$2:$A$7,Product!$C$2:$C$7)</f>
        <v>180</v>
      </c>
      <c r="J74" s="22">
        <f t="shared" si="4"/>
        <v>219780</v>
      </c>
      <c r="K74" s="22">
        <f t="shared" si="5"/>
        <v>206593.19999999998</v>
      </c>
      <c r="L74" s="22">
        <f>K74-(_xlfn.XLOOKUP(E74,Product!$A$2:$A$7,Product!$B$2:$B$7)*F74)</f>
        <v>60073.199999999983</v>
      </c>
      <c r="M74">
        <f>YEAR(Table1[[#This Row],[Order date]])</f>
        <v>2013</v>
      </c>
      <c r="N74" s="22" t="str" cm="1">
        <f t="array" ref="N74">_xlfn.IFS(G74=0,"No Discount", ROUND(G74*100,0)&lt;=4,"Low", ROUND(G74*100,0)&lt;=9,"Medium", ROUND(G74*100,0)&lt;=15,"High")</f>
        <v>Medium</v>
      </c>
      <c r="O74" s="22" t="str">
        <f>TEXT(Table1[[#This Row],[Order date]],"mmmm")</f>
        <v>October</v>
      </c>
    </row>
    <row r="75" spans="1:15" ht="13.5" x14ac:dyDescent="0.25">
      <c r="A75" s="1" t="str">
        <f>"ORD"&amp;"-"&amp;_xlfn.XLOOKUP(C75,Guide!$B$22:$B$26,Guide!$C$22:$C$26)&amp;"-"&amp;_xlfn.XLOOKUP(D75,Guide!$B$29:$B$33,Guide!$C$29:$C$33)&amp;"-"&amp;TEXT(H75,"yyyymmdd")</f>
        <v>ORD-USA-GOV-20131001</v>
      </c>
      <c r="B75" s="1" t="s">
        <v>131</v>
      </c>
      <c r="C75" s="1" t="s">
        <v>35</v>
      </c>
      <c r="D75" s="1" t="s">
        <v>39</v>
      </c>
      <c r="E75" s="1" t="s">
        <v>84</v>
      </c>
      <c r="F75" s="2">
        <v>727</v>
      </c>
      <c r="G75" s="4">
        <v>0.06</v>
      </c>
      <c r="H75" s="3">
        <f t="shared" si="3"/>
        <v>41548</v>
      </c>
      <c r="I75" s="1">
        <f>_xlfn.XLOOKUP(E75,Product!$A$2:$A$7,Product!$C$2:$C$7)</f>
        <v>350</v>
      </c>
      <c r="J75" s="22">
        <f t="shared" si="4"/>
        <v>254450</v>
      </c>
      <c r="K75" s="22">
        <f t="shared" si="5"/>
        <v>239183</v>
      </c>
      <c r="L75" s="22">
        <f>K75-(_xlfn.XLOOKUP(E75,Product!$A$2:$A$7,Product!$B$2:$B$7)*F75)</f>
        <v>93783</v>
      </c>
      <c r="M75">
        <f>YEAR(Table1[[#This Row],[Order date]])</f>
        <v>2013</v>
      </c>
      <c r="N75" s="22" t="str" cm="1">
        <f t="array" ref="N75">_xlfn.IFS(G75=0,"No Discount", ROUND(G75*100,0)&lt;=4,"Low", ROUND(G75*100,0)&lt;=9,"Medium", ROUND(G75*100,0)&lt;=15,"High")</f>
        <v>Medium</v>
      </c>
      <c r="O75" s="22" t="str">
        <f>TEXT(Table1[[#This Row],[Order date]],"mmmm")</f>
        <v>October</v>
      </c>
    </row>
    <row r="76" spans="1:15" ht="13.5" x14ac:dyDescent="0.25">
      <c r="A76" s="1" t="str">
        <f>"ORD"&amp;"-"&amp;_xlfn.XLOOKUP(C76,Guide!$B$22:$B$26,Guide!$C$22:$C$26)&amp;"-"&amp;_xlfn.XLOOKUP(D76,Guide!$B$29:$B$33,Guide!$C$29:$C$33)&amp;"-"&amp;TEXT(H76,"yyyymmdd")</f>
        <v>ORD-FRA-GOV-20131001</v>
      </c>
      <c r="B76" s="1" t="s">
        <v>135</v>
      </c>
      <c r="C76" s="1" t="s">
        <v>31</v>
      </c>
      <c r="D76" s="1" t="s">
        <v>39</v>
      </c>
      <c r="E76" s="1" t="s">
        <v>88</v>
      </c>
      <c r="F76" s="2">
        <v>2076</v>
      </c>
      <c r="G76" s="4">
        <v>0.06</v>
      </c>
      <c r="H76" s="3">
        <f t="shared" si="3"/>
        <v>41548</v>
      </c>
      <c r="I76" s="1">
        <f>_xlfn.XLOOKUP(E76,Product!$A$2:$A$7,Product!$C$2:$C$7)</f>
        <v>180</v>
      </c>
      <c r="J76" s="22">
        <f t="shared" si="4"/>
        <v>373680</v>
      </c>
      <c r="K76" s="22">
        <f t="shared" si="5"/>
        <v>351259.19999999995</v>
      </c>
      <c r="L76" s="22">
        <f>K76-(_xlfn.XLOOKUP(E76,Product!$A$2:$A$7,Product!$B$2:$B$7)*F76)</f>
        <v>102139.19999999995</v>
      </c>
      <c r="M76">
        <f>YEAR(Table1[[#This Row],[Order date]])</f>
        <v>2013</v>
      </c>
      <c r="N76" s="22" t="str" cm="1">
        <f t="array" ref="N76">_xlfn.IFS(G76=0,"No Discount", ROUND(G76*100,0)&lt;=4,"Low", ROUND(G76*100,0)&lt;=9,"Medium", ROUND(G76*100,0)&lt;=15,"High")</f>
        <v>Medium</v>
      </c>
      <c r="O76" s="22" t="str">
        <f>TEXT(Table1[[#This Row],[Order date]],"mmmm")</f>
        <v>October</v>
      </c>
    </row>
    <row r="77" spans="1:15" ht="13.5" x14ac:dyDescent="0.25">
      <c r="A77" s="1" t="str">
        <f>"ORD"&amp;"-"&amp;_xlfn.XLOOKUP(C77,Guide!$B$22:$B$26,Guide!$C$22:$C$26)&amp;"-"&amp;_xlfn.XLOOKUP(D77,Guide!$B$29:$B$33,Guide!$C$29:$C$33)&amp;"-"&amp;TEXT(H77,"yyyymmdd")</f>
        <v>ORD-FRA-GOV-20131001</v>
      </c>
      <c r="B77" s="1" t="s">
        <v>132</v>
      </c>
      <c r="C77" s="1" t="s">
        <v>31</v>
      </c>
      <c r="D77" s="1" t="s">
        <v>39</v>
      </c>
      <c r="E77" s="1" t="s">
        <v>84</v>
      </c>
      <c r="F77" s="2">
        <v>1403</v>
      </c>
      <c r="G77" s="4">
        <v>0.06</v>
      </c>
      <c r="H77" s="3">
        <f t="shared" si="3"/>
        <v>41548</v>
      </c>
      <c r="I77" s="1">
        <f>_xlfn.XLOOKUP(E77,Product!$A$2:$A$7,Product!$C$2:$C$7)</f>
        <v>350</v>
      </c>
      <c r="J77" s="22">
        <f t="shared" si="4"/>
        <v>491050</v>
      </c>
      <c r="K77" s="22">
        <f t="shared" si="5"/>
        <v>461587</v>
      </c>
      <c r="L77" s="22">
        <f>K77-(_xlfn.XLOOKUP(E77,Product!$A$2:$A$7,Product!$B$2:$B$7)*F77)</f>
        <v>180987</v>
      </c>
      <c r="M77">
        <f>YEAR(Table1[[#This Row],[Order date]])</f>
        <v>2013</v>
      </c>
      <c r="N77" s="22" t="str" cm="1">
        <f t="array" ref="N77">_xlfn.IFS(G77=0,"No Discount", ROUND(G77*100,0)&lt;=4,"Low", ROUND(G77*100,0)&lt;=9,"Medium", ROUND(G77*100,0)&lt;=15,"High")</f>
        <v>Medium</v>
      </c>
      <c r="O77" s="22" t="str">
        <f>TEXT(Table1[[#This Row],[Order date]],"mmmm")</f>
        <v>October</v>
      </c>
    </row>
    <row r="78" spans="1:15" ht="13.5" x14ac:dyDescent="0.25">
      <c r="A78" s="1" t="str">
        <f>"ORD"&amp;"-"&amp;_xlfn.XLOOKUP(C78,Guide!$B$22:$B$26,Guide!$C$22:$C$26)&amp;"-"&amp;_xlfn.XLOOKUP(D78,Guide!$B$29:$B$33,Guide!$C$29:$C$33)&amp;"-"&amp;TEXT(H78,"yyyymmdd")</f>
        <v>ORD-FRA-GOV-20131001</v>
      </c>
      <c r="B78" s="1" t="s">
        <v>135</v>
      </c>
      <c r="C78" s="1" t="s">
        <v>31</v>
      </c>
      <c r="D78" s="1" t="s">
        <v>39</v>
      </c>
      <c r="E78" s="1" t="s">
        <v>84</v>
      </c>
      <c r="F78" s="2">
        <v>2076</v>
      </c>
      <c r="G78" s="4">
        <v>0.06</v>
      </c>
      <c r="H78" s="3">
        <f t="shared" si="3"/>
        <v>41548</v>
      </c>
      <c r="I78" s="1">
        <f>_xlfn.XLOOKUP(E78,Product!$A$2:$A$7,Product!$C$2:$C$7)</f>
        <v>350</v>
      </c>
      <c r="J78" s="22">
        <f t="shared" si="4"/>
        <v>726600</v>
      </c>
      <c r="K78" s="22">
        <f t="shared" si="5"/>
        <v>683004</v>
      </c>
      <c r="L78" s="22">
        <f>K78-(_xlfn.XLOOKUP(E78,Product!$A$2:$A$7,Product!$B$2:$B$7)*F78)</f>
        <v>267804</v>
      </c>
      <c r="M78">
        <f>YEAR(Table1[[#This Row],[Order date]])</f>
        <v>2013</v>
      </c>
      <c r="N78" s="22" t="str" cm="1">
        <f t="array" ref="N78">_xlfn.IFS(G78=0,"No Discount", ROUND(G78*100,0)&lt;=4,"Low", ROUND(G78*100,0)&lt;=9,"Medium", ROUND(G78*100,0)&lt;=15,"High")</f>
        <v>Medium</v>
      </c>
      <c r="O78" s="22" t="str">
        <f>TEXT(Table1[[#This Row],[Order date]],"mmmm")</f>
        <v>October</v>
      </c>
    </row>
    <row r="79" spans="1:15" ht="13.5" x14ac:dyDescent="0.25">
      <c r="A79" s="1" t="str">
        <f>"ORD"&amp;"-"&amp;_xlfn.XLOOKUP(C79,Guide!$B$22:$B$26,Guide!$C$22:$C$26)&amp;"-"&amp;_xlfn.XLOOKUP(D79,Guide!$B$29:$B$33,Guide!$C$29:$C$33)&amp;"-"&amp;TEXT(H79,"yyyymmdd")</f>
        <v>ORD-FRA-GOV-20131001</v>
      </c>
      <c r="B79" s="1" t="s">
        <v>136</v>
      </c>
      <c r="C79" s="1" t="s">
        <v>31</v>
      </c>
      <c r="D79" s="1" t="s">
        <v>39</v>
      </c>
      <c r="E79" s="1" t="s">
        <v>75</v>
      </c>
      <c r="F79" s="2">
        <v>1757</v>
      </c>
      <c r="G79" s="4">
        <v>6.0000000000000005E-2</v>
      </c>
      <c r="H79" s="3">
        <f t="shared" si="3"/>
        <v>41548</v>
      </c>
      <c r="I79" s="1">
        <f>_xlfn.XLOOKUP(E79,Product!$A$2:$A$7,Product!$C$2:$C$7)</f>
        <v>20</v>
      </c>
      <c r="J79" s="22">
        <f t="shared" si="4"/>
        <v>35140</v>
      </c>
      <c r="K79" s="22">
        <f t="shared" si="5"/>
        <v>33031.599999999999</v>
      </c>
      <c r="L79" s="22">
        <f>K79-(_xlfn.XLOOKUP(E79,Product!$A$2:$A$7,Product!$B$2:$B$7)*F79)</f>
        <v>15461.599999999999</v>
      </c>
      <c r="M79">
        <f>YEAR(Table1[[#This Row],[Order date]])</f>
        <v>2013</v>
      </c>
      <c r="N79" s="22" t="str" cm="1">
        <f t="array" ref="N79">_xlfn.IFS(G79=0,"No Discount", ROUND(G79*100,0)&lt;=4,"Low", ROUND(G79*100,0)&lt;=9,"Medium", ROUND(G79*100,0)&lt;=15,"High")</f>
        <v>Medium</v>
      </c>
      <c r="O79" s="22" t="str">
        <f>TEXT(Table1[[#This Row],[Order date]],"mmmm")</f>
        <v>October</v>
      </c>
    </row>
    <row r="80" spans="1:15" ht="13.5" x14ac:dyDescent="0.25">
      <c r="A80" s="1" t="str">
        <f>"ORD"&amp;"-"&amp;_xlfn.XLOOKUP(C80,Guide!$B$22:$B$26,Guide!$C$22:$C$26)&amp;"-"&amp;_xlfn.XLOOKUP(D80,Guide!$B$29:$B$33,Guide!$C$29:$C$33)&amp;"-"&amp;TEXT(H80,"yyyymmdd")</f>
        <v>ORD-FRA-GOV-20131001</v>
      </c>
      <c r="B80" s="1" t="s">
        <v>136</v>
      </c>
      <c r="C80" s="1" t="s">
        <v>31</v>
      </c>
      <c r="D80" s="1" t="s">
        <v>39</v>
      </c>
      <c r="E80" s="1" t="s">
        <v>82</v>
      </c>
      <c r="F80" s="2">
        <v>1757</v>
      </c>
      <c r="G80" s="4">
        <v>6.0000000000000005E-2</v>
      </c>
      <c r="H80" s="3">
        <f t="shared" si="3"/>
        <v>41548</v>
      </c>
      <c r="I80" s="1">
        <f>_xlfn.XLOOKUP(E80,Product!$A$2:$A$7,Product!$C$2:$C$7)</f>
        <v>15</v>
      </c>
      <c r="J80" s="22">
        <f t="shared" si="4"/>
        <v>26355</v>
      </c>
      <c r="K80" s="22">
        <f t="shared" si="5"/>
        <v>24773.699999999997</v>
      </c>
      <c r="L80" s="22">
        <f>K80-(_xlfn.XLOOKUP(E80,Product!$A$2:$A$7,Product!$B$2:$B$7)*F80)</f>
        <v>15988.699999999997</v>
      </c>
      <c r="M80">
        <f>YEAR(Table1[[#This Row],[Order date]])</f>
        <v>2013</v>
      </c>
      <c r="N80" s="22" t="str" cm="1">
        <f t="array" ref="N80">_xlfn.IFS(G80=0,"No Discount", ROUND(G80*100,0)&lt;=4,"Low", ROUND(G80*100,0)&lt;=9,"Medium", ROUND(G80*100,0)&lt;=15,"High")</f>
        <v>Medium</v>
      </c>
      <c r="O80" s="22" t="str">
        <f>TEXT(Table1[[#This Row],[Order date]],"mmmm")</f>
        <v>October</v>
      </c>
    </row>
    <row r="81" spans="1:15" ht="13.5" x14ac:dyDescent="0.25">
      <c r="A81" s="1" t="str">
        <f>"ORD"&amp;"-"&amp;_xlfn.XLOOKUP(C81,Guide!$B$22:$B$26,Guide!$C$22:$C$26)&amp;"-"&amp;_xlfn.XLOOKUP(D81,Guide!$B$29:$B$33,Guide!$C$29:$C$33)&amp;"-"&amp;TEXT(H81,"yyyymmdd")</f>
        <v>ORD-MXC-CPR-20131001</v>
      </c>
      <c r="B81" s="1" t="s">
        <v>137</v>
      </c>
      <c r="C81" s="1" t="s">
        <v>33</v>
      </c>
      <c r="D81" s="1" t="s">
        <v>43</v>
      </c>
      <c r="E81" s="1" t="s">
        <v>75</v>
      </c>
      <c r="F81" s="2">
        <v>367</v>
      </c>
      <c r="G81" s="4">
        <v>0.09</v>
      </c>
      <c r="H81" s="3">
        <f t="shared" si="3"/>
        <v>41548</v>
      </c>
      <c r="I81" s="1">
        <f>_xlfn.XLOOKUP(E81,Product!$A$2:$A$7,Product!$C$2:$C$7)</f>
        <v>20</v>
      </c>
      <c r="J81" s="22">
        <f t="shared" si="4"/>
        <v>7340</v>
      </c>
      <c r="K81" s="22">
        <f t="shared" si="5"/>
        <v>6679.4000000000005</v>
      </c>
      <c r="L81" s="22">
        <f>K81-(_xlfn.XLOOKUP(E81,Product!$A$2:$A$7,Product!$B$2:$B$7)*F81)</f>
        <v>3009.4000000000005</v>
      </c>
      <c r="M81">
        <f>YEAR(Table1[[#This Row],[Order date]])</f>
        <v>2013</v>
      </c>
      <c r="N81" s="22" t="str" cm="1">
        <f t="array" ref="N81">_xlfn.IFS(G81=0,"No Discount", ROUND(G81*100,0)&lt;=4,"Low", ROUND(G81*100,0)&lt;=9,"Medium", ROUND(G81*100,0)&lt;=15,"High")</f>
        <v>Medium</v>
      </c>
      <c r="O81" s="22" t="str">
        <f>TEXT(Table1[[#This Row],[Order date]],"mmmm")</f>
        <v>October</v>
      </c>
    </row>
    <row r="82" spans="1:15" ht="13.5" x14ac:dyDescent="0.25">
      <c r="A82" s="1" t="str">
        <f>"ORD"&amp;"-"&amp;_xlfn.XLOOKUP(C82,Guide!$B$22:$B$26,Guide!$C$22:$C$26)&amp;"-"&amp;_xlfn.XLOOKUP(D82,Guide!$B$29:$B$33,Guide!$C$29:$C$33)&amp;"-"&amp;TEXT(H82,"yyyymmdd")</f>
        <v>ORD-MXC-CPR-20131001</v>
      </c>
      <c r="B82" s="1" t="s">
        <v>137</v>
      </c>
      <c r="C82" s="1" t="s">
        <v>33</v>
      </c>
      <c r="D82" s="1" t="s">
        <v>43</v>
      </c>
      <c r="E82" s="1" t="s">
        <v>80</v>
      </c>
      <c r="F82" s="2">
        <v>367</v>
      </c>
      <c r="G82" s="4">
        <v>0.09</v>
      </c>
      <c r="H82" s="3">
        <f t="shared" si="3"/>
        <v>41548</v>
      </c>
      <c r="I82" s="1">
        <f>_xlfn.XLOOKUP(E82,Product!$A$2:$A$7,Product!$C$2:$C$7)</f>
        <v>20</v>
      </c>
      <c r="J82" s="22">
        <f t="shared" si="4"/>
        <v>7340</v>
      </c>
      <c r="K82" s="22">
        <f t="shared" si="5"/>
        <v>6679.4000000000005</v>
      </c>
      <c r="L82" s="22">
        <f>K82-(_xlfn.XLOOKUP(E82,Product!$A$2:$A$7,Product!$B$2:$B$7)*F82)</f>
        <v>5578.4000000000005</v>
      </c>
      <c r="M82">
        <f>YEAR(Table1[[#This Row],[Order date]])</f>
        <v>2013</v>
      </c>
      <c r="N82" s="22" t="str" cm="1">
        <f t="array" ref="N82">_xlfn.IFS(G82=0,"No Discount", ROUND(G82*100,0)&lt;=4,"Low", ROUND(G82*100,0)&lt;=9,"Medium", ROUND(G82*100,0)&lt;=15,"High")</f>
        <v>Medium</v>
      </c>
      <c r="O82" s="22" t="str">
        <f>TEXT(Table1[[#This Row],[Order date]],"mmmm")</f>
        <v>October</v>
      </c>
    </row>
    <row r="83" spans="1:15" ht="13.5" x14ac:dyDescent="0.25">
      <c r="A83" s="1" t="str">
        <f>"ORD"&amp;"-"&amp;_xlfn.XLOOKUP(C83,Guide!$B$22:$B$26,Guide!$C$22:$C$26)&amp;"-"&amp;_xlfn.XLOOKUP(D83,Guide!$B$29:$B$33,Guide!$C$29:$C$33)&amp;"-"&amp;TEXT(H83,"yyyymmdd")</f>
        <v>ORD-USA-CPR-20131001</v>
      </c>
      <c r="B83" s="1" t="s">
        <v>138</v>
      </c>
      <c r="C83" s="1" t="s">
        <v>35</v>
      </c>
      <c r="D83" s="1" t="s">
        <v>43</v>
      </c>
      <c r="E83" s="1" t="s">
        <v>75</v>
      </c>
      <c r="F83" s="2">
        <v>386</v>
      </c>
      <c r="G83" s="4">
        <v>9.9999999999999992E-2</v>
      </c>
      <c r="H83" s="3">
        <f t="shared" si="3"/>
        <v>41548</v>
      </c>
      <c r="I83" s="1">
        <f>_xlfn.XLOOKUP(E83,Product!$A$2:$A$7,Product!$C$2:$C$7)</f>
        <v>20</v>
      </c>
      <c r="J83" s="22">
        <f t="shared" si="4"/>
        <v>7720</v>
      </c>
      <c r="K83" s="22">
        <f t="shared" si="5"/>
        <v>6948</v>
      </c>
      <c r="L83" s="22">
        <f>K83-(_xlfn.XLOOKUP(E83,Product!$A$2:$A$7,Product!$B$2:$B$7)*F83)</f>
        <v>3088</v>
      </c>
      <c r="M83">
        <f>YEAR(Table1[[#This Row],[Order date]])</f>
        <v>2013</v>
      </c>
      <c r="N83" s="22" t="str" cm="1">
        <f t="array" ref="N83">_xlfn.IFS(G83=0,"No Discount", ROUND(G83*100,0)&lt;=4,"Low", ROUND(G83*100,0)&lt;=9,"Medium", ROUND(G83*100,0)&lt;=15,"High")</f>
        <v>High</v>
      </c>
      <c r="O83" s="22" t="str">
        <f>TEXT(Table1[[#This Row],[Order date]],"mmmm")</f>
        <v>October</v>
      </c>
    </row>
    <row r="84" spans="1:15" ht="13.5" x14ac:dyDescent="0.25">
      <c r="A84" s="1" t="str">
        <f>"ORD"&amp;"-"&amp;_xlfn.XLOOKUP(C84,Guide!$B$22:$B$26,Guide!$C$22:$C$26)&amp;"-"&amp;_xlfn.XLOOKUP(D84,Guide!$B$29:$B$33,Guide!$C$29:$C$33)&amp;"-"&amp;TEXT(H84,"yyyymmdd")</f>
        <v>ORD-USA-CPR-20131001</v>
      </c>
      <c r="B84" s="1" t="s">
        <v>138</v>
      </c>
      <c r="C84" s="1" t="s">
        <v>35</v>
      </c>
      <c r="D84" s="1" t="s">
        <v>43</v>
      </c>
      <c r="E84" s="1" t="s">
        <v>80</v>
      </c>
      <c r="F84" s="2">
        <v>386</v>
      </c>
      <c r="G84" s="4">
        <v>9.9999999999999992E-2</v>
      </c>
      <c r="H84" s="3">
        <f t="shared" si="3"/>
        <v>41548</v>
      </c>
      <c r="I84" s="1">
        <f>_xlfn.XLOOKUP(E84,Product!$A$2:$A$7,Product!$C$2:$C$7)</f>
        <v>20</v>
      </c>
      <c r="J84" s="22">
        <f t="shared" si="4"/>
        <v>7720</v>
      </c>
      <c r="K84" s="22">
        <f t="shared" si="5"/>
        <v>6948</v>
      </c>
      <c r="L84" s="22">
        <f>K84-(_xlfn.XLOOKUP(E84,Product!$A$2:$A$7,Product!$B$2:$B$7)*F84)</f>
        <v>5790</v>
      </c>
      <c r="M84">
        <f>YEAR(Table1[[#This Row],[Order date]])</f>
        <v>2013</v>
      </c>
      <c r="N84" s="22" t="str" cm="1">
        <f t="array" ref="N84">_xlfn.IFS(G84=0,"No Discount", ROUND(G84*100,0)&lt;=4,"Low", ROUND(G84*100,0)&lt;=9,"Medium", ROUND(G84*100,0)&lt;=15,"High")</f>
        <v>High</v>
      </c>
      <c r="O84" s="22" t="str">
        <f>TEXT(Table1[[#This Row],[Order date]],"mmmm")</f>
        <v>October</v>
      </c>
    </row>
    <row r="85" spans="1:15" ht="13.5" x14ac:dyDescent="0.25">
      <c r="A85" s="1" t="str">
        <f>"ORD"&amp;"-"&amp;_xlfn.XLOOKUP(C85,Guide!$B$22:$B$26,Guide!$C$22:$C$26)&amp;"-"&amp;_xlfn.XLOOKUP(D85,Guide!$B$29:$B$33,Guide!$C$29:$C$33)&amp;"-"&amp;TEXT(H85,"yyyymmdd")</f>
        <v>ORD-FRA-MDM-20131001</v>
      </c>
      <c r="B85" s="1" t="s">
        <v>139</v>
      </c>
      <c r="C85" s="1" t="s">
        <v>31</v>
      </c>
      <c r="D85" s="1" t="s">
        <v>41</v>
      </c>
      <c r="E85" s="1" t="s">
        <v>75</v>
      </c>
      <c r="F85" s="2">
        <v>2167</v>
      </c>
      <c r="G85" s="4">
        <v>0.1</v>
      </c>
      <c r="H85" s="3">
        <f t="shared" si="3"/>
        <v>41548</v>
      </c>
      <c r="I85" s="1">
        <f>_xlfn.XLOOKUP(E85,Product!$A$2:$A$7,Product!$C$2:$C$7)</f>
        <v>20</v>
      </c>
      <c r="J85" s="22">
        <f t="shared" si="4"/>
        <v>43340</v>
      </c>
      <c r="K85" s="22">
        <f t="shared" si="5"/>
        <v>39006</v>
      </c>
      <c r="L85" s="22">
        <f>K85-(_xlfn.XLOOKUP(E85,Product!$A$2:$A$7,Product!$B$2:$B$7)*F85)</f>
        <v>17336</v>
      </c>
      <c r="M85">
        <f>YEAR(Table1[[#This Row],[Order date]])</f>
        <v>2013</v>
      </c>
      <c r="N85" s="22" t="str" cm="1">
        <f t="array" ref="N85">_xlfn.IFS(G85=0,"No Discount", ROUND(G85*100,0)&lt;=4,"Low", ROUND(G85*100,0)&lt;=9,"Medium", ROUND(G85*100,0)&lt;=15,"High")</f>
        <v>High</v>
      </c>
      <c r="O85" s="22" t="str">
        <f>TEXT(Table1[[#This Row],[Order date]],"mmmm")</f>
        <v>October</v>
      </c>
    </row>
    <row r="86" spans="1:15" ht="13.5" x14ac:dyDescent="0.25">
      <c r="A86" s="1" t="str">
        <f>"ORD"&amp;"-"&amp;_xlfn.XLOOKUP(C86,Guide!$B$22:$B$26,Guide!$C$22:$C$26)&amp;"-"&amp;_xlfn.XLOOKUP(D86,Guide!$B$29:$B$33,Guide!$C$29:$C$33)&amp;"-"&amp;TEXT(H86,"yyyymmdd")</f>
        <v>ORD-FRA-MDM-20131001</v>
      </c>
      <c r="B86" s="1" t="s">
        <v>139</v>
      </c>
      <c r="C86" s="1" t="s">
        <v>31</v>
      </c>
      <c r="D86" s="1" t="s">
        <v>41</v>
      </c>
      <c r="E86" s="1" t="s">
        <v>78</v>
      </c>
      <c r="F86" s="2">
        <v>2167</v>
      </c>
      <c r="G86" s="4">
        <v>0.1</v>
      </c>
      <c r="H86" s="3">
        <f t="shared" si="3"/>
        <v>41548</v>
      </c>
      <c r="I86" s="1">
        <f>_xlfn.XLOOKUP(E86,Product!$A$2:$A$7,Product!$C$2:$C$7)</f>
        <v>300</v>
      </c>
      <c r="J86" s="22">
        <f t="shared" si="4"/>
        <v>650100</v>
      </c>
      <c r="K86" s="22">
        <f t="shared" si="5"/>
        <v>585090</v>
      </c>
      <c r="L86" s="22">
        <f>K86-(_xlfn.XLOOKUP(E86,Product!$A$2:$A$7,Product!$B$2:$B$7)*F86)</f>
        <v>43340</v>
      </c>
      <c r="M86">
        <f>YEAR(Table1[[#This Row],[Order date]])</f>
        <v>2013</v>
      </c>
      <c r="N86" s="22" t="str" cm="1">
        <f t="array" ref="N86">_xlfn.IFS(G86=0,"No Discount", ROUND(G86*100,0)&lt;=4,"Low", ROUND(G86*100,0)&lt;=9,"Medium", ROUND(G86*100,0)&lt;=15,"High")</f>
        <v>High</v>
      </c>
      <c r="O86" s="22" t="str">
        <f>TEXT(Table1[[#This Row],[Order date]],"mmmm")</f>
        <v>October</v>
      </c>
    </row>
    <row r="87" spans="1:15" ht="13.5" x14ac:dyDescent="0.25">
      <c r="A87" s="1" t="str">
        <f>"ORD"&amp;"-"&amp;_xlfn.XLOOKUP(C87,Guide!$B$22:$B$26,Guide!$C$22:$C$26)&amp;"-"&amp;_xlfn.XLOOKUP(D87,Guide!$B$29:$B$33,Guide!$C$29:$C$33)&amp;"-"&amp;TEXT(H87,"yyyymmdd")</f>
        <v>ORD-USA-SMB-20131001</v>
      </c>
      <c r="B87" s="1" t="s">
        <v>140</v>
      </c>
      <c r="C87" s="1" t="s">
        <v>35</v>
      </c>
      <c r="D87" s="1" t="s">
        <v>47</v>
      </c>
      <c r="E87" s="1" t="s">
        <v>78</v>
      </c>
      <c r="F87" s="2">
        <v>2294</v>
      </c>
      <c r="G87" s="4">
        <v>0.1</v>
      </c>
      <c r="H87" s="3">
        <f t="shared" si="3"/>
        <v>41548</v>
      </c>
      <c r="I87" s="1">
        <f>_xlfn.XLOOKUP(E87,Product!$A$2:$A$7,Product!$C$2:$C$7)</f>
        <v>300</v>
      </c>
      <c r="J87" s="22">
        <f t="shared" si="4"/>
        <v>688200</v>
      </c>
      <c r="K87" s="22">
        <f t="shared" si="5"/>
        <v>619380</v>
      </c>
      <c r="L87" s="22">
        <f>K87-(_xlfn.XLOOKUP(E87,Product!$A$2:$A$7,Product!$B$2:$B$7)*F87)</f>
        <v>45880</v>
      </c>
      <c r="M87">
        <f>YEAR(Table1[[#This Row],[Order date]])</f>
        <v>2013</v>
      </c>
      <c r="N87" s="22" t="str" cm="1">
        <f t="array" ref="N87">_xlfn.IFS(G87=0,"No Discount", ROUND(G87*100,0)&lt;=4,"Low", ROUND(G87*100,0)&lt;=9,"Medium", ROUND(G87*100,0)&lt;=15,"High")</f>
        <v>High</v>
      </c>
      <c r="O87" s="22" t="str">
        <f>TEXT(Table1[[#This Row],[Order date]],"mmmm")</f>
        <v>October</v>
      </c>
    </row>
    <row r="88" spans="1:15" ht="13.5" x14ac:dyDescent="0.25">
      <c r="A88" s="1" t="str">
        <f>"ORD"&amp;"-"&amp;_xlfn.XLOOKUP(C88,Guide!$B$22:$B$26,Guide!$C$22:$C$26)&amp;"-"&amp;_xlfn.XLOOKUP(D88,Guide!$B$29:$B$33,Guide!$C$29:$C$33)&amp;"-"&amp;TEXT(H88,"yyyymmdd")</f>
        <v>ORD-USA-SMB-20131001</v>
      </c>
      <c r="B88" s="1" t="s">
        <v>140</v>
      </c>
      <c r="C88" s="1" t="s">
        <v>35</v>
      </c>
      <c r="D88" s="1" t="s">
        <v>47</v>
      </c>
      <c r="E88" s="1" t="s">
        <v>88</v>
      </c>
      <c r="F88" s="2">
        <v>2294</v>
      </c>
      <c r="G88" s="4">
        <v>0.1</v>
      </c>
      <c r="H88" s="3">
        <f t="shared" si="3"/>
        <v>41548</v>
      </c>
      <c r="I88" s="1">
        <f>_xlfn.XLOOKUP(E88,Product!$A$2:$A$7,Product!$C$2:$C$7)</f>
        <v>180</v>
      </c>
      <c r="J88" s="22">
        <f t="shared" si="4"/>
        <v>412920</v>
      </c>
      <c r="K88" s="22">
        <f t="shared" si="5"/>
        <v>371628</v>
      </c>
      <c r="L88" s="22">
        <f>K88-(_xlfn.XLOOKUP(E88,Product!$A$2:$A$7,Product!$B$2:$B$7)*F88)</f>
        <v>96348</v>
      </c>
      <c r="M88">
        <f>YEAR(Table1[[#This Row],[Order date]])</f>
        <v>2013</v>
      </c>
      <c r="N88" s="22" t="str" cm="1">
        <f t="array" ref="N88">_xlfn.IFS(G88=0,"No Discount", ROUND(G88*100,0)&lt;=4,"Low", ROUND(G88*100,0)&lt;=9,"Medium", ROUND(G88*100,0)&lt;=15,"High")</f>
        <v>High</v>
      </c>
      <c r="O88" s="22" t="str">
        <f>TEXT(Table1[[#This Row],[Order date]],"mmmm")</f>
        <v>October</v>
      </c>
    </row>
    <row r="89" spans="1:15" ht="13.5" x14ac:dyDescent="0.25">
      <c r="A89" s="1" t="str">
        <f>"ORD"&amp;"-"&amp;_xlfn.XLOOKUP(C89,Guide!$B$22:$B$26,Guide!$C$22:$C$26)&amp;"-"&amp;_xlfn.XLOOKUP(D89,Guide!$B$29:$B$33,Guide!$C$29:$C$33)&amp;"-"&amp;TEXT(H89,"yyyymmdd")</f>
        <v>ORD-FRA-CPR-20131001</v>
      </c>
      <c r="B89" s="1" t="s">
        <v>141</v>
      </c>
      <c r="C89" s="1" t="s">
        <v>31</v>
      </c>
      <c r="D89" s="1" t="s">
        <v>43</v>
      </c>
      <c r="E89" s="1" t="s">
        <v>75</v>
      </c>
      <c r="F89" s="2">
        <v>1198</v>
      </c>
      <c r="G89" s="4">
        <v>0.10999999999999999</v>
      </c>
      <c r="H89" s="3">
        <f t="shared" si="3"/>
        <v>41548</v>
      </c>
      <c r="I89" s="1">
        <f>_xlfn.XLOOKUP(E89,Product!$A$2:$A$7,Product!$C$2:$C$7)</f>
        <v>20</v>
      </c>
      <c r="J89" s="22">
        <f t="shared" si="4"/>
        <v>23960</v>
      </c>
      <c r="K89" s="22">
        <f t="shared" si="5"/>
        <v>21324.400000000001</v>
      </c>
      <c r="L89" s="22">
        <f>K89-(_xlfn.XLOOKUP(E89,Product!$A$2:$A$7,Product!$B$2:$B$7)*F89)</f>
        <v>9344.4000000000015</v>
      </c>
      <c r="M89">
        <f>YEAR(Table1[[#This Row],[Order date]])</f>
        <v>2013</v>
      </c>
      <c r="N89" s="22" t="str" cm="1">
        <f t="array" ref="N89">_xlfn.IFS(G89=0,"No Discount", ROUND(G89*100,0)&lt;=4,"Low", ROUND(G89*100,0)&lt;=9,"Medium", ROUND(G89*100,0)&lt;=15,"High")</f>
        <v>High</v>
      </c>
      <c r="O89" s="22" t="str">
        <f>TEXT(Table1[[#This Row],[Order date]],"mmmm")</f>
        <v>October</v>
      </c>
    </row>
    <row r="90" spans="1:15" ht="13.5" x14ac:dyDescent="0.25">
      <c r="A90" s="1" t="str">
        <f>"ORD"&amp;"-"&amp;_xlfn.XLOOKUP(C90,Guide!$B$22:$B$26,Guide!$C$22:$C$26)&amp;"-"&amp;_xlfn.XLOOKUP(D90,Guide!$B$29:$B$33,Guide!$C$29:$C$33)&amp;"-"&amp;TEXT(H90,"yyyymmdd")</f>
        <v>ORD-FRA-CPR-20131001</v>
      </c>
      <c r="B90" s="1" t="s">
        <v>141</v>
      </c>
      <c r="C90" s="1" t="s">
        <v>31</v>
      </c>
      <c r="D90" s="1" t="s">
        <v>43</v>
      </c>
      <c r="E90" s="1" t="s">
        <v>80</v>
      </c>
      <c r="F90" s="2">
        <v>1198</v>
      </c>
      <c r="G90" s="4">
        <v>0.10999999999999999</v>
      </c>
      <c r="H90" s="3">
        <f t="shared" si="3"/>
        <v>41548</v>
      </c>
      <c r="I90" s="1">
        <f>_xlfn.XLOOKUP(E90,Product!$A$2:$A$7,Product!$C$2:$C$7)</f>
        <v>20</v>
      </c>
      <c r="J90" s="22">
        <f t="shared" si="4"/>
        <v>23960</v>
      </c>
      <c r="K90" s="22">
        <f t="shared" si="5"/>
        <v>21324.400000000001</v>
      </c>
      <c r="L90" s="22">
        <f>K90-(_xlfn.XLOOKUP(E90,Product!$A$2:$A$7,Product!$B$2:$B$7)*F90)</f>
        <v>17730.400000000001</v>
      </c>
      <c r="M90">
        <f>YEAR(Table1[[#This Row],[Order date]])</f>
        <v>2013</v>
      </c>
      <c r="N90" s="22" t="str" cm="1">
        <f t="array" ref="N90">_xlfn.IFS(G90=0,"No Discount", ROUND(G90*100,0)&lt;=4,"Low", ROUND(G90*100,0)&lt;=9,"Medium", ROUND(G90*100,0)&lt;=15,"High")</f>
        <v>High</v>
      </c>
      <c r="O90" s="22" t="str">
        <f>TEXT(Table1[[#This Row],[Order date]],"mmmm")</f>
        <v>October</v>
      </c>
    </row>
    <row r="91" spans="1:15" ht="13.5" x14ac:dyDescent="0.25">
      <c r="A91" s="1" t="str">
        <f>"ORD"&amp;"-"&amp;_xlfn.XLOOKUP(C91,Guide!$B$22:$B$26,Guide!$C$22:$C$26)&amp;"-"&amp;_xlfn.XLOOKUP(D91,Guide!$B$29:$B$33,Guide!$C$29:$C$33)&amp;"-"&amp;TEXT(H91,"yyyymmdd")</f>
        <v>ORD-MXC-GOV-20131001</v>
      </c>
      <c r="B91" s="1" t="s">
        <v>142</v>
      </c>
      <c r="C91" s="1" t="s">
        <v>33</v>
      </c>
      <c r="D91" s="1" t="s">
        <v>39</v>
      </c>
      <c r="E91" s="1" t="s">
        <v>88</v>
      </c>
      <c r="F91" s="2">
        <v>344</v>
      </c>
      <c r="G91" s="4">
        <v>0.11</v>
      </c>
      <c r="H91" s="3">
        <f t="shared" si="3"/>
        <v>41548</v>
      </c>
      <c r="I91" s="1">
        <f>_xlfn.XLOOKUP(E91,Product!$A$2:$A$7,Product!$C$2:$C$7)</f>
        <v>180</v>
      </c>
      <c r="J91" s="22">
        <f t="shared" si="4"/>
        <v>61920</v>
      </c>
      <c r="K91" s="22">
        <f t="shared" si="5"/>
        <v>55108.800000000003</v>
      </c>
      <c r="L91" s="22">
        <f>K91-(_xlfn.XLOOKUP(E91,Product!$A$2:$A$7,Product!$B$2:$B$7)*F91)</f>
        <v>13828.800000000003</v>
      </c>
      <c r="M91">
        <f>YEAR(Table1[[#This Row],[Order date]])</f>
        <v>2013</v>
      </c>
      <c r="N91" s="22" t="str" cm="1">
        <f t="array" ref="N91">_xlfn.IFS(G91=0,"No Discount", ROUND(G91*100,0)&lt;=4,"Low", ROUND(G91*100,0)&lt;=9,"Medium", ROUND(G91*100,0)&lt;=15,"High")</f>
        <v>High</v>
      </c>
      <c r="O91" s="22" t="str">
        <f>TEXT(Table1[[#This Row],[Order date]],"mmmm")</f>
        <v>October</v>
      </c>
    </row>
    <row r="92" spans="1:15" ht="13.5" x14ac:dyDescent="0.25">
      <c r="A92" s="1" t="str">
        <f>"ORD"&amp;"-"&amp;_xlfn.XLOOKUP(C92,Guide!$B$22:$B$26,Guide!$C$22:$C$26)&amp;"-"&amp;_xlfn.XLOOKUP(D92,Guide!$B$29:$B$33,Guide!$C$29:$C$33)&amp;"-"&amp;TEXT(H92,"yyyymmdd")</f>
        <v>ORD-GER-GOV-20131001</v>
      </c>
      <c r="B92" s="1" t="s">
        <v>143</v>
      </c>
      <c r="C92" s="1" t="s">
        <v>29</v>
      </c>
      <c r="D92" s="1" t="s">
        <v>39</v>
      </c>
      <c r="E92" s="1" t="s">
        <v>75</v>
      </c>
      <c r="F92" s="2">
        <v>2992</v>
      </c>
      <c r="G92" s="4">
        <v>0.11</v>
      </c>
      <c r="H92" s="3">
        <f t="shared" si="3"/>
        <v>41548</v>
      </c>
      <c r="I92" s="1">
        <f>_xlfn.XLOOKUP(E92,Product!$A$2:$A$7,Product!$C$2:$C$7)</f>
        <v>20</v>
      </c>
      <c r="J92" s="22">
        <f t="shared" si="4"/>
        <v>59840</v>
      </c>
      <c r="K92" s="22">
        <f t="shared" si="5"/>
        <v>53257.599999999999</v>
      </c>
      <c r="L92" s="22">
        <f>K92-(_xlfn.XLOOKUP(E92,Product!$A$2:$A$7,Product!$B$2:$B$7)*F92)</f>
        <v>23337.599999999999</v>
      </c>
      <c r="M92">
        <f>YEAR(Table1[[#This Row],[Order date]])</f>
        <v>2013</v>
      </c>
      <c r="N92" s="22" t="str" cm="1">
        <f t="array" ref="N92">_xlfn.IFS(G92=0,"No Discount", ROUND(G92*100,0)&lt;=4,"Low", ROUND(G92*100,0)&lt;=9,"Medium", ROUND(G92*100,0)&lt;=15,"High")</f>
        <v>High</v>
      </c>
      <c r="O92" s="22" t="str">
        <f>TEXT(Table1[[#This Row],[Order date]],"mmmm")</f>
        <v>October</v>
      </c>
    </row>
    <row r="93" spans="1:15" ht="13.5" x14ac:dyDescent="0.25">
      <c r="A93" s="1" t="str">
        <f>"ORD"&amp;"-"&amp;_xlfn.XLOOKUP(C93,Guide!$B$22:$B$26,Guide!$C$22:$C$26)&amp;"-"&amp;_xlfn.XLOOKUP(D93,Guide!$B$29:$B$33,Guide!$C$29:$C$33)&amp;"-"&amp;TEXT(H93,"yyyymmdd")</f>
        <v>ORD-GER-GOV-20131001</v>
      </c>
      <c r="B93" s="1" t="s">
        <v>143</v>
      </c>
      <c r="C93" s="1" t="s">
        <v>29</v>
      </c>
      <c r="D93" s="1" t="s">
        <v>39</v>
      </c>
      <c r="E93" s="1" t="s">
        <v>82</v>
      </c>
      <c r="F93" s="2">
        <v>2992</v>
      </c>
      <c r="G93" s="4">
        <v>0.11</v>
      </c>
      <c r="H93" s="3">
        <f t="shared" si="3"/>
        <v>41548</v>
      </c>
      <c r="I93" s="1">
        <f>_xlfn.XLOOKUP(E93,Product!$A$2:$A$7,Product!$C$2:$C$7)</f>
        <v>15</v>
      </c>
      <c r="J93" s="22">
        <f t="shared" si="4"/>
        <v>44880</v>
      </c>
      <c r="K93" s="22">
        <f t="shared" si="5"/>
        <v>39943.199999999997</v>
      </c>
      <c r="L93" s="22">
        <f>K93-(_xlfn.XLOOKUP(E93,Product!$A$2:$A$7,Product!$B$2:$B$7)*F93)</f>
        <v>24983.199999999997</v>
      </c>
      <c r="M93">
        <f>YEAR(Table1[[#This Row],[Order date]])</f>
        <v>2013</v>
      </c>
      <c r="N93" s="22" t="str" cm="1">
        <f t="array" ref="N93">_xlfn.IFS(G93=0,"No Discount", ROUND(G93*100,0)&lt;=4,"Low", ROUND(G93*100,0)&lt;=9,"Medium", ROUND(G93*100,0)&lt;=15,"High")</f>
        <v>High</v>
      </c>
      <c r="O93" s="22" t="str">
        <f>TEXT(Table1[[#This Row],[Order date]],"mmmm")</f>
        <v>October</v>
      </c>
    </row>
    <row r="94" spans="1:15" ht="13.5" x14ac:dyDescent="0.25">
      <c r="A94" s="1" t="str">
        <f>"ORD"&amp;"-"&amp;_xlfn.XLOOKUP(C94,Guide!$B$22:$B$26,Guide!$C$22:$C$26)&amp;"-"&amp;_xlfn.XLOOKUP(D94,Guide!$B$29:$B$33,Guide!$C$29:$C$33)&amp;"-"&amp;TEXT(H94,"yyyymmdd")</f>
        <v>ORD-MXC-GOV-20131001</v>
      </c>
      <c r="B94" s="1" t="s">
        <v>142</v>
      </c>
      <c r="C94" s="1" t="s">
        <v>33</v>
      </c>
      <c r="D94" s="1" t="s">
        <v>39</v>
      </c>
      <c r="E94" s="1" t="s">
        <v>84</v>
      </c>
      <c r="F94" s="2">
        <v>344</v>
      </c>
      <c r="G94" s="4">
        <v>0.11</v>
      </c>
      <c r="H94" s="3">
        <f t="shared" si="3"/>
        <v>41548</v>
      </c>
      <c r="I94" s="1">
        <f>_xlfn.XLOOKUP(E94,Product!$A$2:$A$7,Product!$C$2:$C$7)</f>
        <v>350</v>
      </c>
      <c r="J94" s="22">
        <f t="shared" si="4"/>
        <v>120400</v>
      </c>
      <c r="K94" s="22">
        <f t="shared" si="5"/>
        <v>107156</v>
      </c>
      <c r="L94" s="22">
        <f>K94-(_xlfn.XLOOKUP(E94,Product!$A$2:$A$7,Product!$B$2:$B$7)*F94)</f>
        <v>38356</v>
      </c>
      <c r="M94">
        <f>YEAR(Table1[[#This Row],[Order date]])</f>
        <v>2013</v>
      </c>
      <c r="N94" s="22" t="str" cm="1">
        <f t="array" ref="N94">_xlfn.IFS(G94=0,"No Discount", ROUND(G94*100,0)&lt;=4,"Low", ROUND(G94*100,0)&lt;=9,"Medium", ROUND(G94*100,0)&lt;=15,"High")</f>
        <v>High</v>
      </c>
      <c r="O94" s="22" t="str">
        <f>TEXT(Table1[[#This Row],[Order date]],"mmmm")</f>
        <v>October</v>
      </c>
    </row>
    <row r="95" spans="1:15" ht="13.5" x14ac:dyDescent="0.25">
      <c r="A95" s="1" t="str">
        <f>"ORD"&amp;"-"&amp;_xlfn.XLOOKUP(C95,Guide!$B$22:$B$26,Guide!$C$22:$C$26)&amp;"-"&amp;_xlfn.XLOOKUP(D95,Guide!$B$29:$B$33,Guide!$C$29:$C$33)&amp;"-"&amp;TEXT(H95,"yyyymmdd")</f>
        <v>ORD-MXC-GOV-20131001</v>
      </c>
      <c r="B95" s="1" t="s">
        <v>144</v>
      </c>
      <c r="C95" s="1" t="s">
        <v>33</v>
      </c>
      <c r="D95" s="1" t="s">
        <v>39</v>
      </c>
      <c r="E95" s="1" t="s">
        <v>75</v>
      </c>
      <c r="F95" s="2">
        <v>1715</v>
      </c>
      <c r="G95" s="4">
        <v>0.12</v>
      </c>
      <c r="H95" s="3">
        <f t="shared" si="3"/>
        <v>41548</v>
      </c>
      <c r="I95" s="1">
        <f>_xlfn.XLOOKUP(E95,Product!$A$2:$A$7,Product!$C$2:$C$7)</f>
        <v>20</v>
      </c>
      <c r="J95" s="22">
        <f t="shared" si="4"/>
        <v>34300</v>
      </c>
      <c r="K95" s="22">
        <f t="shared" si="5"/>
        <v>30184</v>
      </c>
      <c r="L95" s="22">
        <f>K95-(_xlfn.XLOOKUP(E95,Product!$A$2:$A$7,Product!$B$2:$B$7)*F95)</f>
        <v>13034</v>
      </c>
      <c r="M95">
        <f>YEAR(Table1[[#This Row],[Order date]])</f>
        <v>2013</v>
      </c>
      <c r="N95" s="22" t="str" cm="1">
        <f t="array" ref="N95">_xlfn.IFS(G95=0,"No Discount", ROUND(G95*100,0)&lt;=4,"Low", ROUND(G95*100,0)&lt;=9,"Medium", ROUND(G95*100,0)&lt;=15,"High")</f>
        <v>High</v>
      </c>
      <c r="O95" s="22" t="str">
        <f>TEXT(Table1[[#This Row],[Order date]],"mmmm")</f>
        <v>October</v>
      </c>
    </row>
    <row r="96" spans="1:15" ht="13.5" x14ac:dyDescent="0.25">
      <c r="A96" s="1" t="str">
        <f>"ORD"&amp;"-"&amp;_xlfn.XLOOKUP(C96,Guide!$B$22:$B$26,Guide!$C$22:$C$26)&amp;"-"&amp;_xlfn.XLOOKUP(D96,Guide!$B$29:$B$33,Guide!$C$29:$C$33)&amp;"-"&amp;TEXT(H96,"yyyymmdd")</f>
        <v>ORD-MXC-GOV-20131001</v>
      </c>
      <c r="B96" s="1" t="s">
        <v>144</v>
      </c>
      <c r="C96" s="1" t="s">
        <v>33</v>
      </c>
      <c r="D96" s="1" t="s">
        <v>39</v>
      </c>
      <c r="E96" s="1" t="s">
        <v>82</v>
      </c>
      <c r="F96" s="2">
        <v>1715</v>
      </c>
      <c r="G96" s="4">
        <v>0.12</v>
      </c>
      <c r="H96" s="3">
        <f t="shared" si="3"/>
        <v>41548</v>
      </c>
      <c r="I96" s="1">
        <f>_xlfn.XLOOKUP(E96,Product!$A$2:$A$7,Product!$C$2:$C$7)</f>
        <v>15</v>
      </c>
      <c r="J96" s="22">
        <f t="shared" si="4"/>
        <v>25725</v>
      </c>
      <c r="K96" s="22">
        <f t="shared" si="5"/>
        <v>22638</v>
      </c>
      <c r="L96" s="22">
        <f>K96-(_xlfn.XLOOKUP(E96,Product!$A$2:$A$7,Product!$B$2:$B$7)*F96)</f>
        <v>14063</v>
      </c>
      <c r="M96">
        <f>YEAR(Table1[[#This Row],[Order date]])</f>
        <v>2013</v>
      </c>
      <c r="N96" s="22" t="str" cm="1">
        <f t="array" ref="N96">_xlfn.IFS(G96=0,"No Discount", ROUND(G96*100,0)&lt;=4,"Low", ROUND(G96*100,0)&lt;=9,"Medium", ROUND(G96*100,0)&lt;=15,"High")</f>
        <v>High</v>
      </c>
      <c r="O96" s="22" t="str">
        <f>TEXT(Table1[[#This Row],[Order date]],"mmmm")</f>
        <v>October</v>
      </c>
    </row>
    <row r="97" spans="1:15" ht="13.5" x14ac:dyDescent="0.25">
      <c r="A97" s="1" t="str">
        <f>"ORD"&amp;"-"&amp;_xlfn.XLOOKUP(C97,Guide!$B$22:$B$26,Guide!$C$22:$C$26)&amp;"-"&amp;_xlfn.XLOOKUP(D97,Guide!$B$29:$B$33,Guide!$C$29:$C$33)&amp;"-"&amp;TEXT(H97,"yyyymmdd")</f>
        <v>ORD-USA-GOV-20131001</v>
      </c>
      <c r="B97" s="1" t="s">
        <v>145</v>
      </c>
      <c r="C97" s="1" t="s">
        <v>35</v>
      </c>
      <c r="D97" s="1" t="s">
        <v>39</v>
      </c>
      <c r="E97" s="1" t="s">
        <v>82</v>
      </c>
      <c r="F97" s="2">
        <v>2996</v>
      </c>
      <c r="G97" s="4">
        <v>0.13999999999999999</v>
      </c>
      <c r="H97" s="3">
        <f t="shared" si="3"/>
        <v>41548</v>
      </c>
      <c r="I97" s="1">
        <f>_xlfn.XLOOKUP(E97,Product!$A$2:$A$7,Product!$C$2:$C$7)</f>
        <v>15</v>
      </c>
      <c r="J97" s="22">
        <f t="shared" si="4"/>
        <v>44940</v>
      </c>
      <c r="K97" s="22">
        <f t="shared" si="5"/>
        <v>38648.400000000001</v>
      </c>
      <c r="L97" s="22">
        <f>K97-(_xlfn.XLOOKUP(E97,Product!$A$2:$A$7,Product!$B$2:$B$7)*F97)</f>
        <v>23668.400000000001</v>
      </c>
      <c r="M97">
        <f>YEAR(Table1[[#This Row],[Order date]])</f>
        <v>2013</v>
      </c>
      <c r="N97" s="22" t="str" cm="1">
        <f t="array" ref="N97">_xlfn.IFS(G97=0,"No Discount", ROUND(G97*100,0)&lt;=4,"Low", ROUND(G97*100,0)&lt;=9,"Medium", ROUND(G97*100,0)&lt;=15,"High")</f>
        <v>High</v>
      </c>
      <c r="O97" s="22" t="str">
        <f>TEXT(Table1[[#This Row],[Order date]],"mmmm")</f>
        <v>October</v>
      </c>
    </row>
    <row r="98" spans="1:15" ht="13.5" x14ac:dyDescent="0.25">
      <c r="A98" s="1" t="str">
        <f>"ORD"&amp;"-"&amp;_xlfn.XLOOKUP(C98,Guide!$B$22:$B$26,Guide!$C$22:$C$26)&amp;"-"&amp;_xlfn.XLOOKUP(D98,Guide!$B$29:$B$33,Guide!$C$29:$C$33)&amp;"-"&amp;TEXT(H98,"yyyymmdd")</f>
        <v>ORD-USA-GOV-20131001</v>
      </c>
      <c r="B98" s="1" t="s">
        <v>145</v>
      </c>
      <c r="C98" s="1" t="s">
        <v>35</v>
      </c>
      <c r="D98" s="1" t="s">
        <v>39</v>
      </c>
      <c r="E98" s="1" t="s">
        <v>80</v>
      </c>
      <c r="F98" s="2">
        <v>2996</v>
      </c>
      <c r="G98" s="4">
        <v>0.13999999999999999</v>
      </c>
      <c r="H98" s="3">
        <f t="shared" si="3"/>
        <v>41548</v>
      </c>
      <c r="I98" s="1">
        <f>_xlfn.XLOOKUP(E98,Product!$A$2:$A$7,Product!$C$2:$C$7)</f>
        <v>20</v>
      </c>
      <c r="J98" s="22">
        <f t="shared" si="4"/>
        <v>59920</v>
      </c>
      <c r="K98" s="22">
        <f t="shared" si="5"/>
        <v>51531.199999999997</v>
      </c>
      <c r="L98" s="22">
        <f>K98-(_xlfn.XLOOKUP(E98,Product!$A$2:$A$7,Product!$B$2:$B$7)*F98)</f>
        <v>42543.199999999997</v>
      </c>
      <c r="M98">
        <f>YEAR(Table1[[#This Row],[Order date]])</f>
        <v>2013</v>
      </c>
      <c r="N98" s="22" t="str" cm="1">
        <f t="array" ref="N98">_xlfn.IFS(G98=0,"No Discount", ROUND(G98*100,0)&lt;=4,"Low", ROUND(G98*100,0)&lt;=9,"Medium", ROUND(G98*100,0)&lt;=15,"High")</f>
        <v>High</v>
      </c>
      <c r="O98" s="22" t="str">
        <f>TEXT(Table1[[#This Row],[Order date]],"mmmm")</f>
        <v>October</v>
      </c>
    </row>
    <row r="99" spans="1:15" ht="13.5" x14ac:dyDescent="0.25">
      <c r="A99" s="1" t="str">
        <f>"ORD"&amp;"-"&amp;_xlfn.XLOOKUP(C99,Guide!$B$22:$B$26,Guide!$C$22:$C$26)&amp;"-"&amp;_xlfn.XLOOKUP(D99,Guide!$B$29:$B$33,Guide!$C$29:$C$33)&amp;"-"&amp;TEXT(H99,"yyyymmdd")</f>
        <v>ORD-CND-SMB-20131001</v>
      </c>
      <c r="B99" s="1" t="s">
        <v>146</v>
      </c>
      <c r="C99" s="1" t="s">
        <v>27</v>
      </c>
      <c r="D99" s="1" t="s">
        <v>47</v>
      </c>
      <c r="E99" s="1" t="s">
        <v>78</v>
      </c>
      <c r="F99" s="2">
        <v>269</v>
      </c>
      <c r="G99" s="4">
        <v>0.14000000000000001</v>
      </c>
      <c r="H99" s="3">
        <f t="shared" si="3"/>
        <v>41548</v>
      </c>
      <c r="I99" s="1">
        <f>_xlfn.XLOOKUP(E99,Product!$A$2:$A$7,Product!$C$2:$C$7)</f>
        <v>300</v>
      </c>
      <c r="J99" s="22">
        <f t="shared" si="4"/>
        <v>80700</v>
      </c>
      <c r="K99" s="22">
        <f t="shared" si="5"/>
        <v>69402</v>
      </c>
      <c r="L99" s="22">
        <f>K99-(_xlfn.XLOOKUP(E99,Product!$A$2:$A$7,Product!$B$2:$B$7)*F99)</f>
        <v>2152</v>
      </c>
      <c r="M99">
        <f>YEAR(Table1[[#This Row],[Order date]])</f>
        <v>2013</v>
      </c>
      <c r="N99" s="22" t="str" cm="1">
        <f t="array" ref="N99">_xlfn.IFS(G99=0,"No Discount", ROUND(G99*100,0)&lt;=4,"Low", ROUND(G99*100,0)&lt;=9,"Medium", ROUND(G99*100,0)&lt;=15,"High")</f>
        <v>High</v>
      </c>
      <c r="O99" s="22" t="str">
        <f>TEXT(Table1[[#This Row],[Order date]],"mmmm")</f>
        <v>October</v>
      </c>
    </row>
    <row r="100" spans="1:15" ht="13.5" x14ac:dyDescent="0.25">
      <c r="A100" s="1" t="str">
        <f>"ORD"&amp;"-"&amp;_xlfn.XLOOKUP(C100,Guide!$B$22:$B$26,Guide!$C$22:$C$26)&amp;"-"&amp;_xlfn.XLOOKUP(D100,Guide!$B$29:$B$33,Guide!$C$29:$C$33)&amp;"-"&amp;TEXT(H100,"yyyymmdd")</f>
        <v>ORD-CND-SMB-20131001</v>
      </c>
      <c r="B100" s="1" t="s">
        <v>146</v>
      </c>
      <c r="C100" s="1" t="s">
        <v>27</v>
      </c>
      <c r="D100" s="1" t="s">
        <v>47</v>
      </c>
      <c r="E100" s="1" t="s">
        <v>88</v>
      </c>
      <c r="F100" s="2">
        <v>269</v>
      </c>
      <c r="G100" s="4">
        <v>0.14000000000000001</v>
      </c>
      <c r="H100" s="3">
        <f t="shared" si="3"/>
        <v>41548</v>
      </c>
      <c r="I100" s="1">
        <f>_xlfn.XLOOKUP(E100,Product!$A$2:$A$7,Product!$C$2:$C$7)</f>
        <v>180</v>
      </c>
      <c r="J100" s="22">
        <f t="shared" si="4"/>
        <v>48420</v>
      </c>
      <c r="K100" s="22">
        <f t="shared" si="5"/>
        <v>41641.199999999997</v>
      </c>
      <c r="L100" s="22">
        <f>K100-(_xlfn.XLOOKUP(E100,Product!$A$2:$A$7,Product!$B$2:$B$7)*F100)</f>
        <v>9361.1999999999971</v>
      </c>
      <c r="M100">
        <f>YEAR(Table1[[#This Row],[Order date]])</f>
        <v>2013</v>
      </c>
      <c r="N100" s="22" t="str" cm="1">
        <f t="array" ref="N100">_xlfn.IFS(G100=0,"No Discount", ROUND(G100*100,0)&lt;=4,"Low", ROUND(G100*100,0)&lt;=9,"Medium", ROUND(G100*100,0)&lt;=15,"High")</f>
        <v>High</v>
      </c>
      <c r="O100" s="22" t="str">
        <f>TEXT(Table1[[#This Row],[Order date]],"mmmm")</f>
        <v>October</v>
      </c>
    </row>
    <row r="101" spans="1:15" ht="13.5" x14ac:dyDescent="0.25">
      <c r="A101" s="1" t="str">
        <f>"ORD"&amp;"-"&amp;_xlfn.XLOOKUP(C101,Guide!$B$22:$B$26,Guide!$C$22:$C$26)&amp;"-"&amp;_xlfn.XLOOKUP(D101,Guide!$B$29:$B$33,Guide!$C$29:$C$33)&amp;"-"&amp;TEXT(H101,"yyyymmdd")</f>
        <v>ORD-CND-MDM-20131001</v>
      </c>
      <c r="B101" s="1" t="s">
        <v>147</v>
      </c>
      <c r="C101" s="1" t="s">
        <v>27</v>
      </c>
      <c r="D101" s="1" t="s">
        <v>41</v>
      </c>
      <c r="E101" s="1" t="s">
        <v>75</v>
      </c>
      <c r="F101" s="2">
        <v>1743</v>
      </c>
      <c r="G101" s="4">
        <v>0.14000000000000001</v>
      </c>
      <c r="H101" s="3">
        <f t="shared" si="3"/>
        <v>41548</v>
      </c>
      <c r="I101" s="1">
        <f>_xlfn.XLOOKUP(E101,Product!$A$2:$A$7,Product!$C$2:$C$7)</f>
        <v>20</v>
      </c>
      <c r="J101" s="22">
        <f t="shared" si="4"/>
        <v>34860</v>
      </c>
      <c r="K101" s="22">
        <f t="shared" si="5"/>
        <v>29979.599999999999</v>
      </c>
      <c r="L101" s="22">
        <f>K101-(_xlfn.XLOOKUP(E101,Product!$A$2:$A$7,Product!$B$2:$B$7)*F101)</f>
        <v>12549.599999999999</v>
      </c>
      <c r="M101">
        <f>YEAR(Table1[[#This Row],[Order date]])</f>
        <v>2013</v>
      </c>
      <c r="N101" s="22" t="str" cm="1">
        <f t="array" ref="N101">_xlfn.IFS(G101=0,"No Discount", ROUND(G101*100,0)&lt;=4,"Low", ROUND(G101*100,0)&lt;=9,"Medium", ROUND(G101*100,0)&lt;=15,"High")</f>
        <v>High</v>
      </c>
      <c r="O101" s="22" t="str">
        <f>TEXT(Table1[[#This Row],[Order date]],"mmmm")</f>
        <v>October</v>
      </c>
    </row>
    <row r="102" spans="1:15" ht="13.5" x14ac:dyDescent="0.25">
      <c r="A102" s="1" t="str">
        <f>"ORD"&amp;"-"&amp;_xlfn.XLOOKUP(C102,Guide!$B$22:$B$26,Guide!$C$22:$C$26)&amp;"-"&amp;_xlfn.XLOOKUP(D102,Guide!$B$29:$B$33,Guide!$C$29:$C$33)&amp;"-"&amp;TEXT(H102,"yyyymmdd")</f>
        <v>ORD-MXC-GOV-20131001</v>
      </c>
      <c r="B102" s="1" t="s">
        <v>148</v>
      </c>
      <c r="C102" s="1" t="s">
        <v>33</v>
      </c>
      <c r="D102" s="1" t="s">
        <v>39</v>
      </c>
      <c r="E102" s="1" t="s">
        <v>82</v>
      </c>
      <c r="F102" s="2">
        <v>1727</v>
      </c>
      <c r="G102" s="4">
        <v>0.14000000000000001</v>
      </c>
      <c r="H102" s="3">
        <f t="shared" si="3"/>
        <v>41548</v>
      </c>
      <c r="I102" s="1">
        <f>_xlfn.XLOOKUP(E102,Product!$A$2:$A$7,Product!$C$2:$C$7)</f>
        <v>15</v>
      </c>
      <c r="J102" s="22">
        <f t="shared" si="4"/>
        <v>25905</v>
      </c>
      <c r="K102" s="22">
        <f t="shared" si="5"/>
        <v>22278.3</v>
      </c>
      <c r="L102" s="22">
        <f>K102-(_xlfn.XLOOKUP(E102,Product!$A$2:$A$7,Product!$B$2:$B$7)*F102)</f>
        <v>13643.3</v>
      </c>
      <c r="M102">
        <f>YEAR(Table1[[#This Row],[Order date]])</f>
        <v>2013</v>
      </c>
      <c r="N102" s="22" t="str" cm="1">
        <f t="array" ref="N102">_xlfn.IFS(G102=0,"No Discount", ROUND(G102*100,0)&lt;=4,"Low", ROUND(G102*100,0)&lt;=9,"Medium", ROUND(G102*100,0)&lt;=15,"High")</f>
        <v>High</v>
      </c>
      <c r="O102" s="22" t="str">
        <f>TEXT(Table1[[#This Row],[Order date]],"mmmm")</f>
        <v>October</v>
      </c>
    </row>
    <row r="103" spans="1:15" ht="13.5" x14ac:dyDescent="0.25">
      <c r="A103" s="1" t="str">
        <f>"ORD"&amp;"-"&amp;_xlfn.XLOOKUP(C103,Guide!$B$22:$B$26,Guide!$C$22:$C$26)&amp;"-"&amp;_xlfn.XLOOKUP(D103,Guide!$B$29:$B$33,Guide!$C$29:$C$33)&amp;"-"&amp;TEXT(H103,"yyyymmdd")</f>
        <v>ORD-MXC-GOV-20131001</v>
      </c>
      <c r="B103" s="1" t="s">
        <v>148</v>
      </c>
      <c r="C103" s="1" t="s">
        <v>33</v>
      </c>
      <c r="D103" s="1" t="s">
        <v>39</v>
      </c>
      <c r="E103" s="1" t="s">
        <v>84</v>
      </c>
      <c r="F103" s="2">
        <v>1727</v>
      </c>
      <c r="G103" s="4">
        <v>0.14000000000000001</v>
      </c>
      <c r="H103" s="3">
        <f t="shared" si="3"/>
        <v>41548</v>
      </c>
      <c r="I103" s="1">
        <f>_xlfn.XLOOKUP(E103,Product!$A$2:$A$7,Product!$C$2:$C$7)</f>
        <v>350</v>
      </c>
      <c r="J103" s="22">
        <f t="shared" si="4"/>
        <v>604450</v>
      </c>
      <c r="K103" s="22">
        <f t="shared" si="5"/>
        <v>519827</v>
      </c>
      <c r="L103" s="22">
        <f>K103-(_xlfn.XLOOKUP(E103,Product!$A$2:$A$7,Product!$B$2:$B$7)*F103)</f>
        <v>174427</v>
      </c>
      <c r="M103">
        <f>YEAR(Table1[[#This Row],[Order date]])</f>
        <v>2013</v>
      </c>
      <c r="N103" s="22" t="str" cm="1">
        <f t="array" ref="N103">_xlfn.IFS(G103=0,"No Discount", ROUND(G103*100,0)&lt;=4,"Low", ROUND(G103*100,0)&lt;=9,"Medium", ROUND(G103*100,0)&lt;=15,"High")</f>
        <v>High</v>
      </c>
      <c r="O103" s="22" t="str">
        <f>TEXT(Table1[[#This Row],[Order date]],"mmmm")</f>
        <v>October</v>
      </c>
    </row>
    <row r="104" spans="1:15" ht="13.5" x14ac:dyDescent="0.25">
      <c r="A104" s="1" t="str">
        <f>"ORD"&amp;"-"&amp;_xlfn.XLOOKUP(C104,Guide!$B$22:$B$26,Guide!$C$22:$C$26)&amp;"-"&amp;_xlfn.XLOOKUP(D104,Guide!$B$29:$B$33,Guide!$C$29:$C$33)&amp;"-"&amp;TEXT(H104,"yyyymmdd")</f>
        <v>ORD-CND-MDM-20131001</v>
      </c>
      <c r="B104" s="1" t="s">
        <v>147</v>
      </c>
      <c r="C104" s="1" t="s">
        <v>27</v>
      </c>
      <c r="D104" s="1" t="s">
        <v>41</v>
      </c>
      <c r="E104" s="1" t="s">
        <v>84</v>
      </c>
      <c r="F104" s="2">
        <v>1743</v>
      </c>
      <c r="G104" s="4">
        <v>0.14000000000000001</v>
      </c>
      <c r="H104" s="3">
        <f t="shared" si="3"/>
        <v>41548</v>
      </c>
      <c r="I104" s="1">
        <f>_xlfn.XLOOKUP(E104,Product!$A$2:$A$7,Product!$C$2:$C$7)</f>
        <v>350</v>
      </c>
      <c r="J104" s="22">
        <f t="shared" si="4"/>
        <v>610050</v>
      </c>
      <c r="K104" s="22">
        <f t="shared" si="5"/>
        <v>524643</v>
      </c>
      <c r="L104" s="22">
        <f>K104-(_xlfn.XLOOKUP(E104,Product!$A$2:$A$7,Product!$B$2:$B$7)*F104)</f>
        <v>176043</v>
      </c>
      <c r="M104">
        <f>YEAR(Table1[[#This Row],[Order date]])</f>
        <v>2013</v>
      </c>
      <c r="N104" s="22" t="str" cm="1">
        <f t="array" ref="N104">_xlfn.IFS(G104=0,"No Discount", ROUND(G104*100,0)&lt;=4,"Low", ROUND(G104*100,0)&lt;=9,"Medium", ROUND(G104*100,0)&lt;=15,"High")</f>
        <v>High</v>
      </c>
      <c r="O104" s="22" t="str">
        <f>TEXT(Table1[[#This Row],[Order date]],"mmmm")</f>
        <v>October</v>
      </c>
    </row>
    <row r="105" spans="1:15" ht="13.5" x14ac:dyDescent="0.25">
      <c r="A105" s="1" t="str">
        <f>"ORD"&amp;"-"&amp;_xlfn.XLOOKUP(C105,Guide!$B$22:$B$26,Guide!$C$22:$C$26)&amp;"-"&amp;_xlfn.XLOOKUP(D105,Guide!$B$29:$B$33,Guide!$C$29:$C$33)&amp;"-"&amp;TEXT(H105,"yyyymmdd")</f>
        <v>ORD-USA-GOV-20131001</v>
      </c>
      <c r="B105" s="1" t="s">
        <v>149</v>
      </c>
      <c r="C105" s="1" t="s">
        <v>35</v>
      </c>
      <c r="D105" s="1" t="s">
        <v>39</v>
      </c>
      <c r="E105" s="1" t="s">
        <v>78</v>
      </c>
      <c r="F105" s="2">
        <v>267</v>
      </c>
      <c r="G105" s="4">
        <v>0.15</v>
      </c>
      <c r="H105" s="3">
        <f t="shared" si="3"/>
        <v>41548</v>
      </c>
      <c r="I105" s="1">
        <f>_xlfn.XLOOKUP(E105,Product!$A$2:$A$7,Product!$C$2:$C$7)</f>
        <v>300</v>
      </c>
      <c r="J105" s="22">
        <f t="shared" si="4"/>
        <v>80100</v>
      </c>
      <c r="K105" s="22">
        <f t="shared" si="5"/>
        <v>68085</v>
      </c>
      <c r="L105" s="22">
        <f>K105-(_xlfn.XLOOKUP(E105,Product!$A$2:$A$7,Product!$B$2:$B$7)*F105)</f>
        <v>1335</v>
      </c>
      <c r="M105">
        <f>YEAR(Table1[[#This Row],[Order date]])</f>
        <v>2013</v>
      </c>
      <c r="N105" s="22" t="str" cm="1">
        <f t="array" ref="N105">_xlfn.IFS(G105=0,"No Discount", ROUND(G105*100,0)&lt;=4,"Low", ROUND(G105*100,0)&lt;=9,"Medium", ROUND(G105*100,0)&lt;=15,"High")</f>
        <v>High</v>
      </c>
      <c r="O105" s="22" t="str">
        <f>TEXT(Table1[[#This Row],[Order date]],"mmmm")</f>
        <v>October</v>
      </c>
    </row>
    <row r="106" spans="1:15" ht="13.5" x14ac:dyDescent="0.25">
      <c r="A106" s="1" t="str">
        <f>"ORD"&amp;"-"&amp;_xlfn.XLOOKUP(C106,Guide!$B$22:$B$26,Guide!$C$22:$C$26)&amp;"-"&amp;_xlfn.XLOOKUP(D106,Guide!$B$29:$B$33,Guide!$C$29:$C$33)&amp;"-"&amp;TEXT(H106,"yyyymmdd")</f>
        <v>ORD-USA-GOV-20131001</v>
      </c>
      <c r="B106" s="1" t="s">
        <v>149</v>
      </c>
      <c r="C106" s="1" t="s">
        <v>35</v>
      </c>
      <c r="D106" s="1" t="s">
        <v>39</v>
      </c>
      <c r="E106" s="1" t="s">
        <v>75</v>
      </c>
      <c r="F106" s="2">
        <v>267</v>
      </c>
      <c r="G106" s="4">
        <v>0.15</v>
      </c>
      <c r="H106" s="3">
        <f t="shared" si="3"/>
        <v>41548</v>
      </c>
      <c r="I106" s="1">
        <f>_xlfn.XLOOKUP(E106,Product!$A$2:$A$7,Product!$C$2:$C$7)</f>
        <v>20</v>
      </c>
      <c r="J106" s="22">
        <f t="shared" si="4"/>
        <v>5340</v>
      </c>
      <c r="K106" s="22">
        <f t="shared" si="5"/>
        <v>4539</v>
      </c>
      <c r="L106" s="22">
        <f>K106-(_xlfn.XLOOKUP(E106,Product!$A$2:$A$7,Product!$B$2:$B$7)*F106)</f>
        <v>1869</v>
      </c>
      <c r="M106">
        <f>YEAR(Table1[[#This Row],[Order date]])</f>
        <v>2013</v>
      </c>
      <c r="N106" s="22" t="str" cm="1">
        <f t="array" ref="N106">_xlfn.IFS(G106=0,"No Discount", ROUND(G106*100,0)&lt;=4,"Low", ROUND(G106*100,0)&lt;=9,"Medium", ROUND(G106*100,0)&lt;=15,"High")</f>
        <v>High</v>
      </c>
      <c r="O106" s="22" t="str">
        <f>TEXT(Table1[[#This Row],[Order date]],"mmmm")</f>
        <v>October</v>
      </c>
    </row>
    <row r="107" spans="1:15" ht="13.5" x14ac:dyDescent="0.25">
      <c r="A107" s="1" t="str">
        <f>"ORD"&amp;"-"&amp;_xlfn.XLOOKUP(C107,Guide!$B$22:$B$26,Guide!$C$22:$C$26)&amp;"-"&amp;_xlfn.XLOOKUP(D107,Guide!$B$29:$B$33,Guide!$C$29:$C$33)&amp;"-"&amp;TEXT(H107,"yyyymmdd")</f>
        <v>ORD-USA-CPR-20131101</v>
      </c>
      <c r="B107" s="1" t="s">
        <v>150</v>
      </c>
      <c r="C107" s="1" t="s">
        <v>35</v>
      </c>
      <c r="D107" s="1" t="s">
        <v>43</v>
      </c>
      <c r="E107" s="1" t="s">
        <v>75</v>
      </c>
      <c r="F107" s="2">
        <v>912</v>
      </c>
      <c r="G107" s="4">
        <v>0</v>
      </c>
      <c r="H107" s="3">
        <f t="shared" si="3"/>
        <v>41579</v>
      </c>
      <c r="I107" s="1">
        <f>_xlfn.XLOOKUP(E107,Product!$A$2:$A$7,Product!$C$2:$C$7)</f>
        <v>20</v>
      </c>
      <c r="J107" s="22">
        <f t="shared" si="4"/>
        <v>18240</v>
      </c>
      <c r="K107" s="22">
        <f t="shared" si="5"/>
        <v>18240</v>
      </c>
      <c r="L107" s="22">
        <f>K107-(_xlfn.XLOOKUP(E107,Product!$A$2:$A$7,Product!$B$2:$B$7)*F107)</f>
        <v>9120</v>
      </c>
      <c r="M107">
        <f>YEAR(Table1[[#This Row],[Order date]])</f>
        <v>2013</v>
      </c>
      <c r="N107" s="22" t="str" cm="1">
        <f t="array" ref="N107">_xlfn.IFS(G107=0,"No Discount", ROUND(G107*100,0)&lt;=4,"Low", ROUND(G107*100,0)&lt;=9,"Medium", ROUND(G107*100,0)&lt;=15,"High")</f>
        <v>No Discount</v>
      </c>
      <c r="O107" s="22" t="str">
        <f>TEXT(Table1[[#This Row],[Order date]],"mmmm")</f>
        <v>November</v>
      </c>
    </row>
    <row r="108" spans="1:15" ht="13.5" x14ac:dyDescent="0.25">
      <c r="A108" s="1" t="str">
        <f>"ORD"&amp;"-"&amp;_xlfn.XLOOKUP(C108,Guide!$B$22:$B$26,Guide!$C$22:$C$26)&amp;"-"&amp;_xlfn.XLOOKUP(D108,Guide!$B$29:$B$33,Guide!$C$29:$C$33)&amp;"-"&amp;TEXT(H108,"yyyymmdd")</f>
        <v>ORD-CND-GOV-20131101</v>
      </c>
      <c r="B108" s="1" t="s">
        <v>151</v>
      </c>
      <c r="C108" s="1" t="s">
        <v>27</v>
      </c>
      <c r="D108" s="1" t="s">
        <v>39</v>
      </c>
      <c r="E108" s="1" t="s">
        <v>75</v>
      </c>
      <c r="F108" s="2">
        <v>1725</v>
      </c>
      <c r="G108" s="4">
        <v>0</v>
      </c>
      <c r="H108" s="3">
        <f t="shared" si="3"/>
        <v>41579</v>
      </c>
      <c r="I108" s="1">
        <f>_xlfn.XLOOKUP(E108,Product!$A$2:$A$7,Product!$C$2:$C$7)</f>
        <v>20</v>
      </c>
      <c r="J108" s="22">
        <f t="shared" si="4"/>
        <v>34500</v>
      </c>
      <c r="K108" s="22">
        <f t="shared" si="5"/>
        <v>34500</v>
      </c>
      <c r="L108" s="22">
        <f>K108-(_xlfn.XLOOKUP(E108,Product!$A$2:$A$7,Product!$B$2:$B$7)*F108)</f>
        <v>17250</v>
      </c>
      <c r="M108">
        <f>YEAR(Table1[[#This Row],[Order date]])</f>
        <v>2013</v>
      </c>
      <c r="N108" s="22" t="str" cm="1">
        <f t="array" ref="N108">_xlfn.IFS(G108=0,"No Discount", ROUND(G108*100,0)&lt;=4,"Low", ROUND(G108*100,0)&lt;=9,"Medium", ROUND(G108*100,0)&lt;=15,"High")</f>
        <v>No Discount</v>
      </c>
      <c r="O108" s="22" t="str">
        <f>TEXT(Table1[[#This Row],[Order date]],"mmmm")</f>
        <v>November</v>
      </c>
    </row>
    <row r="109" spans="1:15" ht="13.5" x14ac:dyDescent="0.25">
      <c r="A109" s="1" t="str">
        <f>"ORD"&amp;"-"&amp;_xlfn.XLOOKUP(C109,Guide!$B$22:$B$26,Guide!$C$22:$C$26)&amp;"-"&amp;_xlfn.XLOOKUP(D109,Guide!$B$29:$B$33,Guide!$C$29:$C$33)&amp;"-"&amp;TEXT(H109,"yyyymmdd")</f>
        <v>ORD-FRA-MDM-20131101</v>
      </c>
      <c r="B109" s="1" t="s">
        <v>152</v>
      </c>
      <c r="C109" s="1" t="s">
        <v>31</v>
      </c>
      <c r="D109" s="1" t="s">
        <v>41</v>
      </c>
      <c r="E109" s="1" t="s">
        <v>84</v>
      </c>
      <c r="F109" s="2">
        <v>321</v>
      </c>
      <c r="G109" s="4">
        <v>0.01</v>
      </c>
      <c r="H109" s="3">
        <f t="shared" si="3"/>
        <v>41579</v>
      </c>
      <c r="I109" s="1">
        <f>_xlfn.XLOOKUP(E109,Product!$A$2:$A$7,Product!$C$2:$C$7)</f>
        <v>350</v>
      </c>
      <c r="J109" s="22">
        <f t="shared" si="4"/>
        <v>112350</v>
      </c>
      <c r="K109" s="22">
        <f t="shared" si="5"/>
        <v>111226.5</v>
      </c>
      <c r="L109" s="22">
        <f>K109-(_xlfn.XLOOKUP(E109,Product!$A$2:$A$7,Product!$B$2:$B$7)*F109)</f>
        <v>47026.5</v>
      </c>
      <c r="M109">
        <f>YEAR(Table1[[#This Row],[Order date]])</f>
        <v>2013</v>
      </c>
      <c r="N109" s="22" t="str" cm="1">
        <f t="array" ref="N109">_xlfn.IFS(G109=0,"No Discount", ROUND(G109*100,0)&lt;=4,"Low", ROUND(G109*100,0)&lt;=9,"Medium", ROUND(G109*100,0)&lt;=15,"High")</f>
        <v>Low</v>
      </c>
      <c r="O109" s="22" t="str">
        <f>TEXT(Table1[[#This Row],[Order date]],"mmmm")</f>
        <v>November</v>
      </c>
    </row>
    <row r="110" spans="1:15" ht="13.5" x14ac:dyDescent="0.25">
      <c r="A110" s="1" t="str">
        <f>"ORD"&amp;"-"&amp;_xlfn.XLOOKUP(C110,Guide!$B$22:$B$26,Guide!$C$22:$C$26)&amp;"-"&amp;_xlfn.XLOOKUP(D110,Guide!$B$29:$B$33,Guide!$C$29:$C$33)&amp;"-"&amp;TEXT(H110,"yyyymmdd")</f>
        <v>ORD-CND-GOV-20131101</v>
      </c>
      <c r="B110" s="1" t="s">
        <v>153</v>
      </c>
      <c r="C110" s="1" t="s">
        <v>27</v>
      </c>
      <c r="D110" s="1" t="s">
        <v>39</v>
      </c>
      <c r="E110" s="1" t="s">
        <v>88</v>
      </c>
      <c r="F110" s="2">
        <v>2092</v>
      </c>
      <c r="G110" s="4">
        <v>0.01</v>
      </c>
      <c r="H110" s="3">
        <f t="shared" si="3"/>
        <v>41579</v>
      </c>
      <c r="I110" s="1">
        <f>_xlfn.XLOOKUP(E110,Product!$A$2:$A$7,Product!$C$2:$C$7)</f>
        <v>180</v>
      </c>
      <c r="J110" s="22">
        <f t="shared" si="4"/>
        <v>376560</v>
      </c>
      <c r="K110" s="22">
        <f t="shared" si="5"/>
        <v>372794.4</v>
      </c>
      <c r="L110" s="22">
        <f>K110-(_xlfn.XLOOKUP(E110,Product!$A$2:$A$7,Product!$B$2:$B$7)*F110)</f>
        <v>121754.40000000002</v>
      </c>
      <c r="M110">
        <f>YEAR(Table1[[#This Row],[Order date]])</f>
        <v>2013</v>
      </c>
      <c r="N110" s="22" t="str" cm="1">
        <f t="array" ref="N110">_xlfn.IFS(G110=0,"No Discount", ROUND(G110*100,0)&lt;=4,"Low", ROUND(G110*100,0)&lt;=9,"Medium", ROUND(G110*100,0)&lt;=15,"High")</f>
        <v>Low</v>
      </c>
      <c r="O110" s="22" t="str">
        <f>TEXT(Table1[[#This Row],[Order date]],"mmmm")</f>
        <v>November</v>
      </c>
    </row>
    <row r="111" spans="1:15" ht="13.5" x14ac:dyDescent="0.25">
      <c r="A111" s="1" t="str">
        <f>"ORD"&amp;"-"&amp;_xlfn.XLOOKUP(C111,Guide!$B$22:$B$26,Guide!$C$22:$C$26)&amp;"-"&amp;_xlfn.XLOOKUP(D111,Guide!$B$29:$B$33,Guide!$C$29:$C$33)&amp;"-"&amp;TEXT(H111,"yyyymmdd")</f>
        <v>ORD-MXC-ENT-20131101</v>
      </c>
      <c r="B111" s="1" t="s">
        <v>154</v>
      </c>
      <c r="C111" s="1" t="s">
        <v>33</v>
      </c>
      <c r="D111" s="1" t="s">
        <v>45</v>
      </c>
      <c r="E111" s="1" t="s">
        <v>82</v>
      </c>
      <c r="F111" s="2">
        <v>1660</v>
      </c>
      <c r="G111" s="4">
        <v>0.02</v>
      </c>
      <c r="H111" s="3">
        <f t="shared" si="3"/>
        <v>41579</v>
      </c>
      <c r="I111" s="1">
        <f>_xlfn.XLOOKUP(E111,Product!$A$2:$A$7,Product!$C$2:$C$7)</f>
        <v>15</v>
      </c>
      <c r="J111" s="22">
        <f t="shared" si="4"/>
        <v>24900</v>
      </c>
      <c r="K111" s="22">
        <f t="shared" si="5"/>
        <v>24402</v>
      </c>
      <c r="L111" s="22">
        <f>K111-(_xlfn.XLOOKUP(E111,Product!$A$2:$A$7,Product!$B$2:$B$7)*F111)</f>
        <v>16102</v>
      </c>
      <c r="M111">
        <f>YEAR(Table1[[#This Row],[Order date]])</f>
        <v>2013</v>
      </c>
      <c r="N111" s="22" t="str" cm="1">
        <f t="array" ref="N111">_xlfn.IFS(G111=0,"No Discount", ROUND(G111*100,0)&lt;=4,"Low", ROUND(G111*100,0)&lt;=9,"Medium", ROUND(G111*100,0)&lt;=15,"High")</f>
        <v>Low</v>
      </c>
      <c r="O111" s="22" t="str">
        <f>TEXT(Table1[[#This Row],[Order date]],"mmmm")</f>
        <v>November</v>
      </c>
    </row>
    <row r="112" spans="1:15" ht="13.5" x14ac:dyDescent="0.25">
      <c r="A112" s="1" t="str">
        <f>"ORD"&amp;"-"&amp;_xlfn.XLOOKUP(C112,Guide!$B$22:$B$26,Guide!$C$22:$C$26)&amp;"-"&amp;_xlfn.XLOOKUP(D112,Guide!$B$29:$B$33,Guide!$C$29:$C$33)&amp;"-"&amp;TEXT(H112,"yyyymmdd")</f>
        <v>ORD-FRA-CPR-20131101</v>
      </c>
      <c r="B112" s="1" t="s">
        <v>155</v>
      </c>
      <c r="C112" s="1" t="s">
        <v>31</v>
      </c>
      <c r="D112" s="1" t="s">
        <v>43</v>
      </c>
      <c r="E112" s="1" t="s">
        <v>75</v>
      </c>
      <c r="F112" s="2">
        <v>1785</v>
      </c>
      <c r="G112" s="4">
        <v>0.02</v>
      </c>
      <c r="H112" s="3">
        <f t="shared" si="3"/>
        <v>41579</v>
      </c>
      <c r="I112" s="1">
        <f>_xlfn.XLOOKUP(E112,Product!$A$2:$A$7,Product!$C$2:$C$7)</f>
        <v>20</v>
      </c>
      <c r="J112" s="22">
        <f t="shared" si="4"/>
        <v>35700</v>
      </c>
      <c r="K112" s="22">
        <f t="shared" si="5"/>
        <v>34986</v>
      </c>
      <c r="L112" s="22">
        <f>K112-(_xlfn.XLOOKUP(E112,Product!$A$2:$A$7,Product!$B$2:$B$7)*F112)</f>
        <v>17136</v>
      </c>
      <c r="M112">
        <f>YEAR(Table1[[#This Row],[Order date]])</f>
        <v>2013</v>
      </c>
      <c r="N112" s="22" t="str" cm="1">
        <f t="array" ref="N112">_xlfn.IFS(G112=0,"No Discount", ROUND(G112*100,0)&lt;=4,"Low", ROUND(G112*100,0)&lt;=9,"Medium", ROUND(G112*100,0)&lt;=15,"High")</f>
        <v>Low</v>
      </c>
      <c r="O112" s="22" t="str">
        <f>TEXT(Table1[[#This Row],[Order date]],"mmmm")</f>
        <v>November</v>
      </c>
    </row>
    <row r="113" spans="1:15" ht="13.5" x14ac:dyDescent="0.25">
      <c r="A113" s="1" t="str">
        <f>"ORD"&amp;"-"&amp;_xlfn.XLOOKUP(C113,Guide!$B$22:$B$26,Guide!$C$22:$C$26)&amp;"-"&amp;_xlfn.XLOOKUP(D113,Guide!$B$29:$B$33,Guide!$C$29:$C$33)&amp;"-"&amp;TEXT(H113,"yyyymmdd")</f>
        <v>ORD-FRA-GOV-20131101</v>
      </c>
      <c r="B113" s="1" t="s">
        <v>156</v>
      </c>
      <c r="C113" s="1" t="s">
        <v>31</v>
      </c>
      <c r="D113" s="1" t="s">
        <v>39</v>
      </c>
      <c r="E113" s="1" t="s">
        <v>80</v>
      </c>
      <c r="F113" s="2">
        <v>2145</v>
      </c>
      <c r="G113" s="4">
        <v>0.02</v>
      </c>
      <c r="H113" s="3">
        <f t="shared" si="3"/>
        <v>41579</v>
      </c>
      <c r="I113" s="1">
        <f>_xlfn.XLOOKUP(E113,Product!$A$2:$A$7,Product!$C$2:$C$7)</f>
        <v>20</v>
      </c>
      <c r="J113" s="22">
        <f t="shared" si="4"/>
        <v>42900</v>
      </c>
      <c r="K113" s="22">
        <f t="shared" si="5"/>
        <v>42042</v>
      </c>
      <c r="L113" s="22">
        <f>K113-(_xlfn.XLOOKUP(E113,Product!$A$2:$A$7,Product!$B$2:$B$7)*F113)</f>
        <v>35607</v>
      </c>
      <c r="M113">
        <f>YEAR(Table1[[#This Row],[Order date]])</f>
        <v>2013</v>
      </c>
      <c r="N113" s="22" t="str" cm="1">
        <f t="array" ref="N113">_xlfn.IFS(G113=0,"No Discount", ROUND(G113*100,0)&lt;=4,"Low", ROUND(G113*100,0)&lt;=9,"Medium", ROUND(G113*100,0)&lt;=15,"High")</f>
        <v>Low</v>
      </c>
      <c r="O113" s="22" t="str">
        <f>TEXT(Table1[[#This Row],[Order date]],"mmmm")</f>
        <v>November</v>
      </c>
    </row>
    <row r="114" spans="1:15" ht="13.5" x14ac:dyDescent="0.25">
      <c r="A114" s="1" t="str">
        <f>"ORD"&amp;"-"&amp;_xlfn.XLOOKUP(C114,Guide!$B$22:$B$26,Guide!$C$22:$C$26)&amp;"-"&amp;_xlfn.XLOOKUP(D114,Guide!$B$29:$B$33,Guide!$C$29:$C$33)&amp;"-"&amp;TEXT(H114,"yyyymmdd")</f>
        <v>ORD-GER-GOV-20131101</v>
      </c>
      <c r="B114" s="1" t="s">
        <v>157</v>
      </c>
      <c r="C114" s="1" t="s">
        <v>29</v>
      </c>
      <c r="D114" s="1" t="s">
        <v>39</v>
      </c>
      <c r="E114" s="1" t="s">
        <v>80</v>
      </c>
      <c r="F114" s="2">
        <v>1016</v>
      </c>
      <c r="G114" s="4">
        <v>0.05</v>
      </c>
      <c r="H114" s="3">
        <f t="shared" si="3"/>
        <v>41579</v>
      </c>
      <c r="I114" s="1">
        <f>_xlfn.XLOOKUP(E114,Product!$A$2:$A$7,Product!$C$2:$C$7)</f>
        <v>20</v>
      </c>
      <c r="J114" s="22">
        <f t="shared" si="4"/>
        <v>20320</v>
      </c>
      <c r="K114" s="22">
        <f t="shared" si="5"/>
        <v>19304</v>
      </c>
      <c r="L114" s="22">
        <f>K114-(_xlfn.XLOOKUP(E114,Product!$A$2:$A$7,Product!$B$2:$B$7)*F114)</f>
        <v>16256</v>
      </c>
      <c r="M114">
        <f>YEAR(Table1[[#This Row],[Order date]])</f>
        <v>2013</v>
      </c>
      <c r="N114" s="22" t="str" cm="1">
        <f t="array" ref="N114">_xlfn.IFS(G114=0,"No Discount", ROUND(G114*100,0)&lt;=4,"Low", ROUND(G114*100,0)&lt;=9,"Medium", ROUND(G114*100,0)&lt;=15,"High")</f>
        <v>Medium</v>
      </c>
      <c r="O114" s="22" t="str">
        <f>TEXT(Table1[[#This Row],[Order date]],"mmmm")</f>
        <v>November</v>
      </c>
    </row>
    <row r="115" spans="1:15" ht="13.5" x14ac:dyDescent="0.25">
      <c r="A115" s="1" t="str">
        <f>"ORD"&amp;"-"&amp;_xlfn.XLOOKUP(C115,Guide!$B$22:$B$26,Guide!$C$22:$C$26)&amp;"-"&amp;_xlfn.XLOOKUP(D115,Guide!$B$29:$B$33,Guide!$C$29:$C$33)&amp;"-"&amp;TEXT(H115,"yyyymmdd")</f>
        <v>ORD-USA-GOV-20131101</v>
      </c>
      <c r="B115" s="1" t="s">
        <v>158</v>
      </c>
      <c r="C115" s="1" t="s">
        <v>35</v>
      </c>
      <c r="D115" s="1" t="s">
        <v>39</v>
      </c>
      <c r="E115" s="1" t="s">
        <v>78</v>
      </c>
      <c r="F115" s="2">
        <v>1265</v>
      </c>
      <c r="G115" s="4">
        <v>0.05</v>
      </c>
      <c r="H115" s="3">
        <f t="shared" si="3"/>
        <v>41579</v>
      </c>
      <c r="I115" s="1">
        <f>_xlfn.XLOOKUP(E115,Product!$A$2:$A$7,Product!$C$2:$C$7)</f>
        <v>300</v>
      </c>
      <c r="J115" s="22">
        <f t="shared" si="4"/>
        <v>379500</v>
      </c>
      <c r="K115" s="22">
        <f t="shared" si="5"/>
        <v>360525</v>
      </c>
      <c r="L115" s="22">
        <f>K115-(_xlfn.XLOOKUP(E115,Product!$A$2:$A$7,Product!$B$2:$B$7)*F115)</f>
        <v>44275</v>
      </c>
      <c r="M115">
        <f>YEAR(Table1[[#This Row],[Order date]])</f>
        <v>2013</v>
      </c>
      <c r="N115" s="22" t="str" cm="1">
        <f t="array" ref="N115">_xlfn.IFS(G115=0,"No Discount", ROUND(G115*100,0)&lt;=4,"Low", ROUND(G115*100,0)&lt;=9,"Medium", ROUND(G115*100,0)&lt;=15,"High")</f>
        <v>Medium</v>
      </c>
      <c r="O115" s="22" t="str">
        <f>TEXT(Table1[[#This Row],[Order date]],"mmmm")</f>
        <v>November</v>
      </c>
    </row>
    <row r="116" spans="1:15" ht="13.5" x14ac:dyDescent="0.25">
      <c r="A116" s="1" t="str">
        <f>"ORD"&amp;"-"&amp;_xlfn.XLOOKUP(C116,Guide!$B$22:$B$26,Guide!$C$22:$C$26)&amp;"-"&amp;_xlfn.XLOOKUP(D116,Guide!$B$29:$B$33,Guide!$C$29:$C$33)&amp;"-"&amp;TEXT(H116,"yyyymmdd")</f>
        <v>ORD-GER-GOV-20131101</v>
      </c>
      <c r="B116" s="1" t="s">
        <v>159</v>
      </c>
      <c r="C116" s="1" t="s">
        <v>29</v>
      </c>
      <c r="D116" s="1" t="s">
        <v>39</v>
      </c>
      <c r="E116" s="1" t="s">
        <v>78</v>
      </c>
      <c r="F116" s="2">
        <v>2297</v>
      </c>
      <c r="G116" s="4">
        <v>0.05</v>
      </c>
      <c r="H116" s="3">
        <f t="shared" si="3"/>
        <v>41579</v>
      </c>
      <c r="I116" s="1">
        <f>_xlfn.XLOOKUP(E116,Product!$A$2:$A$7,Product!$C$2:$C$7)</f>
        <v>300</v>
      </c>
      <c r="J116" s="22">
        <f t="shared" si="4"/>
        <v>689100</v>
      </c>
      <c r="K116" s="22">
        <f t="shared" si="5"/>
        <v>654645</v>
      </c>
      <c r="L116" s="22">
        <f>K116-(_xlfn.XLOOKUP(E116,Product!$A$2:$A$7,Product!$B$2:$B$7)*F116)</f>
        <v>80395</v>
      </c>
      <c r="M116">
        <f>YEAR(Table1[[#This Row],[Order date]])</f>
        <v>2013</v>
      </c>
      <c r="N116" s="22" t="str" cm="1">
        <f t="array" ref="N116">_xlfn.IFS(G116=0,"No Discount", ROUND(G116*100,0)&lt;=4,"Low", ROUND(G116*100,0)&lt;=9,"Medium", ROUND(G116*100,0)&lt;=15,"High")</f>
        <v>Medium</v>
      </c>
      <c r="O116" s="22" t="str">
        <f>TEXT(Table1[[#This Row],[Order date]],"mmmm")</f>
        <v>November</v>
      </c>
    </row>
    <row r="117" spans="1:15" ht="13.5" x14ac:dyDescent="0.25">
      <c r="A117" s="1" t="str">
        <f>"ORD"&amp;"-"&amp;_xlfn.XLOOKUP(C117,Guide!$B$22:$B$26,Guide!$C$22:$C$26)&amp;"-"&amp;_xlfn.XLOOKUP(D117,Guide!$B$29:$B$33,Guide!$C$29:$C$33)&amp;"-"&amp;TEXT(H117,"yyyymmdd")</f>
        <v>ORD-USA-GOV-20131101</v>
      </c>
      <c r="B117" s="1" t="s">
        <v>160</v>
      </c>
      <c r="C117" s="1" t="s">
        <v>35</v>
      </c>
      <c r="D117" s="1" t="s">
        <v>39</v>
      </c>
      <c r="E117" s="1" t="s">
        <v>80</v>
      </c>
      <c r="F117" s="2">
        <v>263</v>
      </c>
      <c r="G117" s="4">
        <v>0.06</v>
      </c>
      <c r="H117" s="3">
        <f t="shared" si="3"/>
        <v>41579</v>
      </c>
      <c r="I117" s="1">
        <f>_xlfn.XLOOKUP(E117,Product!$A$2:$A$7,Product!$C$2:$C$7)</f>
        <v>20</v>
      </c>
      <c r="J117" s="22">
        <f t="shared" si="4"/>
        <v>5260</v>
      </c>
      <c r="K117" s="22">
        <f t="shared" si="5"/>
        <v>4944.3999999999996</v>
      </c>
      <c r="L117" s="22">
        <f>K117-(_xlfn.XLOOKUP(E117,Product!$A$2:$A$7,Product!$B$2:$B$7)*F117)</f>
        <v>4155.3999999999996</v>
      </c>
      <c r="M117">
        <f>YEAR(Table1[[#This Row],[Order date]])</f>
        <v>2013</v>
      </c>
      <c r="N117" s="22" t="str" cm="1">
        <f t="array" ref="N117">_xlfn.IFS(G117=0,"No Discount", ROUND(G117*100,0)&lt;=4,"Low", ROUND(G117*100,0)&lt;=9,"Medium", ROUND(G117*100,0)&lt;=15,"High")</f>
        <v>Medium</v>
      </c>
      <c r="O117" s="22" t="str">
        <f>TEXT(Table1[[#This Row],[Order date]],"mmmm")</f>
        <v>November</v>
      </c>
    </row>
    <row r="118" spans="1:15" ht="13.5" x14ac:dyDescent="0.25">
      <c r="A118" s="1" t="str">
        <f>"ORD"&amp;"-"&amp;_xlfn.XLOOKUP(C118,Guide!$B$22:$B$26,Guide!$C$22:$C$26)&amp;"-"&amp;_xlfn.XLOOKUP(D118,Guide!$B$29:$B$33,Guide!$C$29:$C$33)&amp;"-"&amp;TEXT(H118,"yyyymmdd")</f>
        <v>ORD-MXC-GOV-20131101</v>
      </c>
      <c r="B118" s="1" t="s">
        <v>161</v>
      </c>
      <c r="C118" s="1" t="s">
        <v>33</v>
      </c>
      <c r="D118" s="1" t="s">
        <v>39</v>
      </c>
      <c r="E118" s="1" t="s">
        <v>78</v>
      </c>
      <c r="F118" s="2">
        <v>1123</v>
      </c>
      <c r="G118" s="4">
        <v>0.06</v>
      </c>
      <c r="H118" s="3">
        <f t="shared" si="3"/>
        <v>41579</v>
      </c>
      <c r="I118" s="1">
        <f>_xlfn.XLOOKUP(E118,Product!$A$2:$A$7,Product!$C$2:$C$7)</f>
        <v>300</v>
      </c>
      <c r="J118" s="22">
        <f t="shared" si="4"/>
        <v>336900</v>
      </c>
      <c r="K118" s="22">
        <f t="shared" si="5"/>
        <v>316686</v>
      </c>
      <c r="L118" s="22">
        <f>K118-(_xlfn.XLOOKUP(E118,Product!$A$2:$A$7,Product!$B$2:$B$7)*F118)</f>
        <v>35936</v>
      </c>
      <c r="M118">
        <f>YEAR(Table1[[#This Row],[Order date]])</f>
        <v>2013</v>
      </c>
      <c r="N118" s="22" t="str" cm="1">
        <f t="array" ref="N118">_xlfn.IFS(G118=0,"No Discount", ROUND(G118*100,0)&lt;=4,"Low", ROUND(G118*100,0)&lt;=9,"Medium", ROUND(G118*100,0)&lt;=15,"High")</f>
        <v>Medium</v>
      </c>
      <c r="O118" s="22" t="str">
        <f>TEXT(Table1[[#This Row],[Order date]],"mmmm")</f>
        <v>November</v>
      </c>
    </row>
    <row r="119" spans="1:15" ht="13.5" x14ac:dyDescent="0.25">
      <c r="A119" s="1" t="str">
        <f>"ORD"&amp;"-"&amp;_xlfn.XLOOKUP(C119,Guide!$B$22:$B$26,Guide!$C$22:$C$26)&amp;"-"&amp;_xlfn.XLOOKUP(D119,Guide!$B$29:$B$33,Guide!$C$29:$C$33)&amp;"-"&amp;TEXT(H119,"yyyymmdd")</f>
        <v>ORD-CND-SMB-20131101</v>
      </c>
      <c r="B119" s="1" t="s">
        <v>162</v>
      </c>
      <c r="C119" s="1" t="s">
        <v>27</v>
      </c>
      <c r="D119" s="1" t="s">
        <v>47</v>
      </c>
      <c r="E119" s="1" t="s">
        <v>75</v>
      </c>
      <c r="F119" s="2">
        <v>1404</v>
      </c>
      <c r="G119" s="4">
        <v>7.0000000000000007E-2</v>
      </c>
      <c r="H119" s="3">
        <f t="shared" si="3"/>
        <v>41579</v>
      </c>
      <c r="I119" s="1">
        <f>_xlfn.XLOOKUP(E119,Product!$A$2:$A$7,Product!$C$2:$C$7)</f>
        <v>20</v>
      </c>
      <c r="J119" s="22">
        <f t="shared" si="4"/>
        <v>28080</v>
      </c>
      <c r="K119" s="22">
        <f t="shared" si="5"/>
        <v>26114.399999999998</v>
      </c>
      <c r="L119" s="22">
        <f>K119-(_xlfn.XLOOKUP(E119,Product!$A$2:$A$7,Product!$B$2:$B$7)*F119)</f>
        <v>12074.399999999998</v>
      </c>
      <c r="M119">
        <f>YEAR(Table1[[#This Row],[Order date]])</f>
        <v>2013</v>
      </c>
      <c r="N119" s="22" t="str" cm="1">
        <f t="array" ref="N119">_xlfn.IFS(G119=0,"No Discount", ROUND(G119*100,0)&lt;=4,"Low", ROUND(G119*100,0)&lt;=9,"Medium", ROUND(G119*100,0)&lt;=15,"High")</f>
        <v>Medium</v>
      </c>
      <c r="O119" s="22" t="str">
        <f>TEXT(Table1[[#This Row],[Order date]],"mmmm")</f>
        <v>November</v>
      </c>
    </row>
    <row r="120" spans="1:15" ht="13.5" x14ac:dyDescent="0.25">
      <c r="A120" s="1" t="str">
        <f>"ORD"&amp;"-"&amp;_xlfn.XLOOKUP(C120,Guide!$B$22:$B$26,Guide!$C$22:$C$26)&amp;"-"&amp;_xlfn.XLOOKUP(D120,Guide!$B$29:$B$33,Guide!$C$29:$C$33)&amp;"-"&amp;TEXT(H120,"yyyymmdd")</f>
        <v>ORD-GER-ENT-20131101</v>
      </c>
      <c r="B120" s="1" t="s">
        <v>163</v>
      </c>
      <c r="C120" s="1" t="s">
        <v>29</v>
      </c>
      <c r="D120" s="1" t="s">
        <v>45</v>
      </c>
      <c r="E120" s="1" t="s">
        <v>82</v>
      </c>
      <c r="F120" s="2">
        <v>2500</v>
      </c>
      <c r="G120" s="4">
        <v>7.0000000000000007E-2</v>
      </c>
      <c r="H120" s="3">
        <f t="shared" si="3"/>
        <v>41579</v>
      </c>
      <c r="I120" s="1">
        <f>_xlfn.XLOOKUP(E120,Product!$A$2:$A$7,Product!$C$2:$C$7)</f>
        <v>15</v>
      </c>
      <c r="J120" s="22">
        <f t="shared" si="4"/>
        <v>37500</v>
      </c>
      <c r="K120" s="22">
        <f t="shared" si="5"/>
        <v>34875</v>
      </c>
      <c r="L120" s="22">
        <f>K120-(_xlfn.XLOOKUP(E120,Product!$A$2:$A$7,Product!$B$2:$B$7)*F120)</f>
        <v>22375</v>
      </c>
      <c r="M120">
        <f>YEAR(Table1[[#This Row],[Order date]])</f>
        <v>2013</v>
      </c>
      <c r="N120" s="22" t="str" cm="1">
        <f t="array" ref="N120">_xlfn.IFS(G120=0,"No Discount", ROUND(G120*100,0)&lt;=4,"Low", ROUND(G120*100,0)&lt;=9,"Medium", ROUND(G120*100,0)&lt;=15,"High")</f>
        <v>Medium</v>
      </c>
      <c r="O120" s="22" t="str">
        <f>TEXT(Table1[[#This Row],[Order date]],"mmmm")</f>
        <v>November</v>
      </c>
    </row>
    <row r="121" spans="1:15" ht="13.5" x14ac:dyDescent="0.25">
      <c r="A121" s="1" t="str">
        <f>"ORD"&amp;"-"&amp;_xlfn.XLOOKUP(C121,Guide!$B$22:$B$26,Guide!$C$22:$C$26)&amp;"-"&amp;_xlfn.XLOOKUP(D121,Guide!$B$29:$B$33,Guide!$C$29:$C$33)&amp;"-"&amp;TEXT(H121,"yyyymmdd")</f>
        <v>ORD-MXC-CPR-20131101</v>
      </c>
      <c r="B121" s="1" t="s">
        <v>164</v>
      </c>
      <c r="C121" s="1" t="s">
        <v>33</v>
      </c>
      <c r="D121" s="1" t="s">
        <v>43</v>
      </c>
      <c r="E121" s="1" t="s">
        <v>75</v>
      </c>
      <c r="F121" s="2">
        <v>2763</v>
      </c>
      <c r="G121" s="4">
        <v>7.0000000000000007E-2</v>
      </c>
      <c r="H121" s="3">
        <f t="shared" si="3"/>
        <v>41579</v>
      </c>
      <c r="I121" s="1">
        <f>_xlfn.XLOOKUP(E121,Product!$A$2:$A$7,Product!$C$2:$C$7)</f>
        <v>20</v>
      </c>
      <c r="J121" s="22">
        <f t="shared" si="4"/>
        <v>55260</v>
      </c>
      <c r="K121" s="22">
        <f t="shared" si="5"/>
        <v>51391.799999999996</v>
      </c>
      <c r="L121" s="22">
        <f>K121-(_xlfn.XLOOKUP(E121,Product!$A$2:$A$7,Product!$B$2:$B$7)*F121)</f>
        <v>23761.799999999996</v>
      </c>
      <c r="M121">
        <f>YEAR(Table1[[#This Row],[Order date]])</f>
        <v>2013</v>
      </c>
      <c r="N121" s="22" t="str" cm="1">
        <f t="array" ref="N121">_xlfn.IFS(G121=0,"No Discount", ROUND(G121*100,0)&lt;=4,"Low", ROUND(G121*100,0)&lt;=9,"Medium", ROUND(G121*100,0)&lt;=15,"High")</f>
        <v>Medium</v>
      </c>
      <c r="O121" s="22" t="str">
        <f>TEXT(Table1[[#This Row],[Order date]],"mmmm")</f>
        <v>November</v>
      </c>
    </row>
    <row r="122" spans="1:15" ht="13.5" x14ac:dyDescent="0.25">
      <c r="A122" s="1" t="str">
        <f>"ORD"&amp;"-"&amp;_xlfn.XLOOKUP(C122,Guide!$B$22:$B$26,Guide!$C$22:$C$26)&amp;"-"&amp;_xlfn.XLOOKUP(D122,Guide!$B$29:$B$33,Guide!$C$29:$C$33)&amp;"-"&amp;TEXT(H122,"yyyymmdd")</f>
        <v>ORD-FRA-SMB-20131101</v>
      </c>
      <c r="B122" s="1" t="s">
        <v>165</v>
      </c>
      <c r="C122" s="1" t="s">
        <v>31</v>
      </c>
      <c r="D122" s="1" t="s">
        <v>47</v>
      </c>
      <c r="E122" s="1" t="s">
        <v>88</v>
      </c>
      <c r="F122" s="2">
        <v>386</v>
      </c>
      <c r="G122" s="4">
        <v>0.08</v>
      </c>
      <c r="H122" s="3">
        <f t="shared" si="3"/>
        <v>41579</v>
      </c>
      <c r="I122" s="1">
        <f>_xlfn.XLOOKUP(E122,Product!$A$2:$A$7,Product!$C$2:$C$7)</f>
        <v>180</v>
      </c>
      <c r="J122" s="22">
        <f t="shared" si="4"/>
        <v>69480</v>
      </c>
      <c r="K122" s="22">
        <f t="shared" si="5"/>
        <v>63921.600000000006</v>
      </c>
      <c r="L122" s="22">
        <f>K122-(_xlfn.XLOOKUP(E122,Product!$A$2:$A$7,Product!$B$2:$B$7)*F122)</f>
        <v>17601.600000000006</v>
      </c>
      <c r="M122">
        <f>YEAR(Table1[[#This Row],[Order date]])</f>
        <v>2013</v>
      </c>
      <c r="N122" s="22" t="str" cm="1">
        <f t="array" ref="N122">_xlfn.IFS(G122=0,"No Discount", ROUND(G122*100,0)&lt;=4,"Low", ROUND(G122*100,0)&lt;=9,"Medium", ROUND(G122*100,0)&lt;=15,"High")</f>
        <v>Medium</v>
      </c>
      <c r="O122" s="22" t="str">
        <f>TEXT(Table1[[#This Row],[Order date]],"mmmm")</f>
        <v>November</v>
      </c>
    </row>
    <row r="123" spans="1:15" ht="13.5" x14ac:dyDescent="0.25">
      <c r="A123" s="1" t="str">
        <f>"ORD"&amp;"-"&amp;_xlfn.XLOOKUP(C123,Guide!$B$22:$B$26,Guide!$C$22:$C$26)&amp;"-"&amp;_xlfn.XLOOKUP(D123,Guide!$B$29:$B$33,Guide!$C$29:$C$33)&amp;"-"&amp;TEXT(H123,"yyyymmdd")</f>
        <v>ORD-GER-GOV-20131101</v>
      </c>
      <c r="B123" s="1" t="s">
        <v>166</v>
      </c>
      <c r="C123" s="1" t="s">
        <v>29</v>
      </c>
      <c r="D123" s="1" t="s">
        <v>39</v>
      </c>
      <c r="E123" s="1" t="s">
        <v>75</v>
      </c>
      <c r="F123" s="2">
        <v>2146</v>
      </c>
      <c r="G123" s="4">
        <v>0.08</v>
      </c>
      <c r="H123" s="3">
        <f t="shared" si="3"/>
        <v>41579</v>
      </c>
      <c r="I123" s="1">
        <f>_xlfn.XLOOKUP(E123,Product!$A$2:$A$7,Product!$C$2:$C$7)</f>
        <v>20</v>
      </c>
      <c r="J123" s="22">
        <f t="shared" si="4"/>
        <v>42920</v>
      </c>
      <c r="K123" s="22">
        <f t="shared" si="5"/>
        <v>39486.400000000001</v>
      </c>
      <c r="L123" s="22">
        <f>K123-(_xlfn.XLOOKUP(E123,Product!$A$2:$A$7,Product!$B$2:$B$7)*F123)</f>
        <v>18026.400000000001</v>
      </c>
      <c r="M123">
        <f>YEAR(Table1[[#This Row],[Order date]])</f>
        <v>2013</v>
      </c>
      <c r="N123" s="22" t="str" cm="1">
        <f t="array" ref="N123">_xlfn.IFS(G123=0,"No Discount", ROUND(G123*100,0)&lt;=4,"Low", ROUND(G123*100,0)&lt;=9,"Medium", ROUND(G123*100,0)&lt;=15,"High")</f>
        <v>Medium</v>
      </c>
      <c r="O123" s="22" t="str">
        <f>TEXT(Table1[[#This Row],[Order date]],"mmmm")</f>
        <v>November</v>
      </c>
    </row>
    <row r="124" spans="1:15" ht="13.5" x14ac:dyDescent="0.25">
      <c r="A124" s="1" t="str">
        <f>"ORD"&amp;"-"&amp;_xlfn.XLOOKUP(C124,Guide!$B$22:$B$26,Guide!$C$22:$C$26)&amp;"-"&amp;_xlfn.XLOOKUP(D124,Guide!$B$29:$B$33,Guide!$C$29:$C$33)&amp;"-"&amp;TEXT(H124,"yyyymmdd")</f>
        <v>ORD-GER-CPR-20131101</v>
      </c>
      <c r="B124" s="1" t="s">
        <v>167</v>
      </c>
      <c r="C124" s="1" t="s">
        <v>29</v>
      </c>
      <c r="D124" s="1" t="s">
        <v>43</v>
      </c>
      <c r="E124" s="1" t="s">
        <v>75</v>
      </c>
      <c r="F124" s="2">
        <v>1775</v>
      </c>
      <c r="G124" s="4">
        <v>0.09</v>
      </c>
      <c r="H124" s="3">
        <f t="shared" si="3"/>
        <v>41579</v>
      </c>
      <c r="I124" s="1">
        <f>_xlfn.XLOOKUP(E124,Product!$A$2:$A$7,Product!$C$2:$C$7)</f>
        <v>20</v>
      </c>
      <c r="J124" s="22">
        <f t="shared" si="4"/>
        <v>35500</v>
      </c>
      <c r="K124" s="22">
        <f t="shared" si="5"/>
        <v>32305</v>
      </c>
      <c r="L124" s="22">
        <f>K124-(_xlfn.XLOOKUP(E124,Product!$A$2:$A$7,Product!$B$2:$B$7)*F124)</f>
        <v>14555</v>
      </c>
      <c r="M124">
        <f>YEAR(Table1[[#This Row],[Order date]])</f>
        <v>2013</v>
      </c>
      <c r="N124" s="22" t="str" cm="1">
        <f t="array" ref="N124">_xlfn.IFS(G124=0,"No Discount", ROUND(G124*100,0)&lt;=4,"Low", ROUND(G124*100,0)&lt;=9,"Medium", ROUND(G124*100,0)&lt;=15,"High")</f>
        <v>Medium</v>
      </c>
      <c r="O124" s="22" t="str">
        <f>TEXT(Table1[[#This Row],[Order date]],"mmmm")</f>
        <v>November</v>
      </c>
    </row>
    <row r="125" spans="1:15" ht="13.5" x14ac:dyDescent="0.25">
      <c r="A125" s="1" t="str">
        <f>"ORD"&amp;"-"&amp;_xlfn.XLOOKUP(C125,Guide!$B$22:$B$26,Guide!$C$22:$C$26)&amp;"-"&amp;_xlfn.XLOOKUP(D125,Guide!$B$29:$B$33,Guide!$C$29:$C$33)&amp;"-"&amp;TEXT(H125,"yyyymmdd")</f>
        <v>ORD-FRA-ENT-20131101</v>
      </c>
      <c r="B125" s="1" t="s">
        <v>168</v>
      </c>
      <c r="C125" s="1" t="s">
        <v>31</v>
      </c>
      <c r="D125" s="1" t="s">
        <v>45</v>
      </c>
      <c r="E125" s="1" t="s">
        <v>82</v>
      </c>
      <c r="F125" s="2">
        <v>1857</v>
      </c>
      <c r="G125" s="4">
        <v>0.09</v>
      </c>
      <c r="H125" s="3">
        <f t="shared" si="3"/>
        <v>41579</v>
      </c>
      <c r="I125" s="1">
        <f>_xlfn.XLOOKUP(E125,Product!$A$2:$A$7,Product!$C$2:$C$7)</f>
        <v>15</v>
      </c>
      <c r="J125" s="22">
        <f t="shared" si="4"/>
        <v>27855</v>
      </c>
      <c r="K125" s="22">
        <f t="shared" si="5"/>
        <v>25348.05</v>
      </c>
      <c r="L125" s="22">
        <f>K125-(_xlfn.XLOOKUP(E125,Product!$A$2:$A$7,Product!$B$2:$B$7)*F125)</f>
        <v>16063.05</v>
      </c>
      <c r="M125">
        <f>YEAR(Table1[[#This Row],[Order date]])</f>
        <v>2013</v>
      </c>
      <c r="N125" s="22" t="str" cm="1">
        <f t="array" ref="N125">_xlfn.IFS(G125=0,"No Discount", ROUND(G125*100,0)&lt;=4,"Low", ROUND(G125*100,0)&lt;=9,"Medium", ROUND(G125*100,0)&lt;=15,"High")</f>
        <v>Medium</v>
      </c>
      <c r="O125" s="22" t="str">
        <f>TEXT(Table1[[#This Row],[Order date]],"mmmm")</f>
        <v>November</v>
      </c>
    </row>
    <row r="126" spans="1:15" ht="13.5" x14ac:dyDescent="0.25">
      <c r="A126" s="1" t="str">
        <f>"ORD"&amp;"-"&amp;_xlfn.XLOOKUP(C126,Guide!$B$22:$B$26,Guide!$C$22:$C$26)&amp;"-"&amp;_xlfn.XLOOKUP(D126,Guide!$B$29:$B$33,Guide!$C$29:$C$33)&amp;"-"&amp;TEXT(H126,"yyyymmdd")</f>
        <v>ORD-GER-MDM-20131101</v>
      </c>
      <c r="B126" s="1" t="s">
        <v>169</v>
      </c>
      <c r="C126" s="1" t="s">
        <v>29</v>
      </c>
      <c r="D126" s="1" t="s">
        <v>41</v>
      </c>
      <c r="E126" s="1" t="s">
        <v>84</v>
      </c>
      <c r="F126" s="2">
        <v>970</v>
      </c>
      <c r="G126" s="4">
        <v>0.09</v>
      </c>
      <c r="H126" s="3">
        <f t="shared" si="3"/>
        <v>41579</v>
      </c>
      <c r="I126" s="1">
        <f>_xlfn.XLOOKUP(E126,Product!$A$2:$A$7,Product!$C$2:$C$7)</f>
        <v>350</v>
      </c>
      <c r="J126" s="22">
        <f t="shared" si="4"/>
        <v>339500</v>
      </c>
      <c r="K126" s="22">
        <f t="shared" si="5"/>
        <v>308945</v>
      </c>
      <c r="L126" s="22">
        <f>K126-(_xlfn.XLOOKUP(E126,Product!$A$2:$A$7,Product!$B$2:$B$7)*F126)</f>
        <v>114945</v>
      </c>
      <c r="M126">
        <f>YEAR(Table1[[#This Row],[Order date]])</f>
        <v>2013</v>
      </c>
      <c r="N126" s="22" t="str" cm="1">
        <f t="array" ref="N126">_xlfn.IFS(G126=0,"No Discount", ROUND(G126*100,0)&lt;=4,"Low", ROUND(G126*100,0)&lt;=9,"Medium", ROUND(G126*100,0)&lt;=15,"High")</f>
        <v>Medium</v>
      </c>
      <c r="O126" s="22" t="str">
        <f>TEXT(Table1[[#This Row],[Order date]],"mmmm")</f>
        <v>November</v>
      </c>
    </row>
    <row r="127" spans="1:15" ht="13.5" x14ac:dyDescent="0.25">
      <c r="A127" s="1" t="str">
        <f>"ORD"&amp;"-"&amp;_xlfn.XLOOKUP(C127,Guide!$B$22:$B$26,Guide!$C$22:$C$26)&amp;"-"&amp;_xlfn.XLOOKUP(D127,Guide!$B$29:$B$33,Guide!$C$29:$C$33)&amp;"-"&amp;TEXT(H127,"yyyymmdd")</f>
        <v>ORD-FRA-GOV-20131101</v>
      </c>
      <c r="B127" s="1" t="s">
        <v>170</v>
      </c>
      <c r="C127" s="1" t="s">
        <v>31</v>
      </c>
      <c r="D127" s="1" t="s">
        <v>39</v>
      </c>
      <c r="E127" s="1" t="s">
        <v>78</v>
      </c>
      <c r="F127" s="2">
        <v>2682</v>
      </c>
      <c r="G127" s="4">
        <v>9.0000000000000011E-2</v>
      </c>
      <c r="H127" s="3">
        <f t="shared" si="3"/>
        <v>41579</v>
      </c>
      <c r="I127" s="1">
        <f>_xlfn.XLOOKUP(E127,Product!$A$2:$A$7,Product!$C$2:$C$7)</f>
        <v>300</v>
      </c>
      <c r="J127" s="22">
        <f t="shared" si="4"/>
        <v>804600</v>
      </c>
      <c r="K127" s="22">
        <f t="shared" si="5"/>
        <v>732186</v>
      </c>
      <c r="L127" s="22">
        <f>K127-(_xlfn.XLOOKUP(E127,Product!$A$2:$A$7,Product!$B$2:$B$7)*F127)</f>
        <v>61686</v>
      </c>
      <c r="M127">
        <f>YEAR(Table1[[#This Row],[Order date]])</f>
        <v>2013</v>
      </c>
      <c r="N127" s="22" t="str" cm="1">
        <f t="array" ref="N127">_xlfn.IFS(G127=0,"No Discount", ROUND(G127*100,0)&lt;=4,"Low", ROUND(G127*100,0)&lt;=9,"Medium", ROUND(G127*100,0)&lt;=15,"High")</f>
        <v>Medium</v>
      </c>
      <c r="O127" s="22" t="str">
        <f>TEXT(Table1[[#This Row],[Order date]],"mmmm")</f>
        <v>November</v>
      </c>
    </row>
    <row r="128" spans="1:15" ht="13.5" x14ac:dyDescent="0.25">
      <c r="A128" s="1" t="str">
        <f>"ORD"&amp;"-"&amp;_xlfn.XLOOKUP(C128,Guide!$B$22:$B$26,Guide!$C$22:$C$26)&amp;"-"&amp;_xlfn.XLOOKUP(D128,Guide!$B$29:$B$33,Guide!$C$29:$C$33)&amp;"-"&amp;TEXT(H128,"yyyymmdd")</f>
        <v>ORD-USA-ENT-20131101</v>
      </c>
      <c r="B128" s="1" t="s">
        <v>171</v>
      </c>
      <c r="C128" s="1" t="s">
        <v>35</v>
      </c>
      <c r="D128" s="1" t="s">
        <v>45</v>
      </c>
      <c r="E128" s="1" t="s">
        <v>82</v>
      </c>
      <c r="F128" s="2">
        <v>1804</v>
      </c>
      <c r="G128" s="4">
        <v>0.1</v>
      </c>
      <c r="H128" s="3">
        <f t="shared" si="3"/>
        <v>41579</v>
      </c>
      <c r="I128" s="1">
        <f>_xlfn.XLOOKUP(E128,Product!$A$2:$A$7,Product!$C$2:$C$7)</f>
        <v>15</v>
      </c>
      <c r="J128" s="22">
        <f t="shared" si="4"/>
        <v>27060</v>
      </c>
      <c r="K128" s="22">
        <f t="shared" si="5"/>
        <v>24354</v>
      </c>
      <c r="L128" s="22">
        <f>K128-(_xlfn.XLOOKUP(E128,Product!$A$2:$A$7,Product!$B$2:$B$7)*F128)</f>
        <v>15334</v>
      </c>
      <c r="M128">
        <f>YEAR(Table1[[#This Row],[Order date]])</f>
        <v>2013</v>
      </c>
      <c r="N128" s="22" t="str" cm="1">
        <f t="array" ref="N128">_xlfn.IFS(G128=0,"No Discount", ROUND(G128*100,0)&lt;=4,"Low", ROUND(G128*100,0)&lt;=9,"Medium", ROUND(G128*100,0)&lt;=15,"High")</f>
        <v>High</v>
      </c>
      <c r="O128" s="22" t="str">
        <f>TEXT(Table1[[#This Row],[Order date]],"mmmm")</f>
        <v>November</v>
      </c>
    </row>
    <row r="129" spans="1:15" ht="13.5" x14ac:dyDescent="0.25">
      <c r="A129" s="1" t="str">
        <f>"ORD"&amp;"-"&amp;_xlfn.XLOOKUP(C129,Guide!$B$22:$B$26,Guide!$C$22:$C$26)&amp;"-"&amp;_xlfn.XLOOKUP(D129,Guide!$B$29:$B$33,Guide!$C$29:$C$33)&amp;"-"&amp;TEXT(H129,"yyyymmdd")</f>
        <v>ORD-CND-MDM-20131101</v>
      </c>
      <c r="B129" s="1" t="s">
        <v>172</v>
      </c>
      <c r="C129" s="1" t="s">
        <v>27</v>
      </c>
      <c r="D129" s="1" t="s">
        <v>41</v>
      </c>
      <c r="E129" s="1" t="s">
        <v>80</v>
      </c>
      <c r="F129" s="2">
        <v>1560</v>
      </c>
      <c r="G129" s="4">
        <v>0.11</v>
      </c>
      <c r="H129" s="3">
        <f t="shared" si="3"/>
        <v>41579</v>
      </c>
      <c r="I129" s="1">
        <f>_xlfn.XLOOKUP(E129,Product!$A$2:$A$7,Product!$C$2:$C$7)</f>
        <v>20</v>
      </c>
      <c r="J129" s="22">
        <f t="shared" si="4"/>
        <v>31200</v>
      </c>
      <c r="K129" s="22">
        <f t="shared" si="5"/>
        <v>27768</v>
      </c>
      <c r="L129" s="22">
        <f>K129-(_xlfn.XLOOKUP(E129,Product!$A$2:$A$7,Product!$B$2:$B$7)*F129)</f>
        <v>23088</v>
      </c>
      <c r="M129">
        <f>YEAR(Table1[[#This Row],[Order date]])</f>
        <v>2013</v>
      </c>
      <c r="N129" s="22" t="str" cm="1">
        <f t="array" ref="N129">_xlfn.IFS(G129=0,"No Discount", ROUND(G129*100,0)&lt;=4,"Low", ROUND(G129*100,0)&lt;=9,"Medium", ROUND(G129*100,0)&lt;=15,"High")</f>
        <v>High</v>
      </c>
      <c r="O129" s="22" t="str">
        <f>TEXT(Table1[[#This Row],[Order date]],"mmmm")</f>
        <v>November</v>
      </c>
    </row>
    <row r="130" spans="1:15" ht="13.5" x14ac:dyDescent="0.25">
      <c r="A130" s="1" t="str">
        <f>"ORD"&amp;"-"&amp;_xlfn.XLOOKUP(C130,Guide!$B$22:$B$26,Guide!$C$22:$C$26)&amp;"-"&amp;_xlfn.XLOOKUP(D130,Guide!$B$29:$B$33,Guide!$C$29:$C$33)&amp;"-"&amp;TEXT(H130,"yyyymmdd")</f>
        <v>ORD-MXC-GOV-20131101</v>
      </c>
      <c r="B130" s="1" t="s">
        <v>173</v>
      </c>
      <c r="C130" s="1" t="s">
        <v>33</v>
      </c>
      <c r="D130" s="1" t="s">
        <v>39</v>
      </c>
      <c r="E130" s="1" t="s">
        <v>80</v>
      </c>
      <c r="F130" s="2">
        <v>2706</v>
      </c>
      <c r="G130" s="4">
        <v>0.11</v>
      </c>
      <c r="H130" s="3">
        <f t="shared" ref="H130:H193" si="6">DATE(VALUE(_xlfn.TEXTBEFORE(_xlfn.TEXTAFTER(B130,"""year"": """),"""")),VALUE(_xlfn.TEXTBEFORE(_xlfn.TEXTAFTER(B130,"""month"": """),"""")),VALUE(_xlfn.TEXTBEFORE(_xlfn.TEXTAFTER(B130,"""date"": """),""""))
)</f>
        <v>41579</v>
      </c>
      <c r="I130" s="1">
        <f>_xlfn.XLOOKUP(E130,Product!$A$2:$A$7,Product!$C$2:$C$7)</f>
        <v>20</v>
      </c>
      <c r="J130" s="22">
        <f t="shared" ref="J130:J193" si="7">I130*F130</f>
        <v>54120</v>
      </c>
      <c r="K130" s="22">
        <f t="shared" ref="K130:K193" si="8">J130*(1-IF(G130="-",0,G130))</f>
        <v>48166.8</v>
      </c>
      <c r="L130" s="22">
        <f>K130-(_xlfn.XLOOKUP(E130,Product!$A$2:$A$7,Product!$B$2:$B$7)*F130)</f>
        <v>40048.800000000003</v>
      </c>
      <c r="M130">
        <f>YEAR(Table1[[#This Row],[Order date]])</f>
        <v>2013</v>
      </c>
      <c r="N130" s="22" t="str" cm="1">
        <f t="array" ref="N130">_xlfn.IFS(G130=0,"No Discount", ROUND(G130*100,0)&lt;=4,"Low", ROUND(G130*100,0)&lt;=9,"Medium", ROUND(G130*100,0)&lt;=15,"High")</f>
        <v>High</v>
      </c>
      <c r="O130" s="22" t="str">
        <f>TEXT(Table1[[#This Row],[Order date]],"mmmm")</f>
        <v>November</v>
      </c>
    </row>
    <row r="131" spans="1:15" ht="13.5" x14ac:dyDescent="0.25">
      <c r="A131" s="1" t="str">
        <f>"ORD"&amp;"-"&amp;_xlfn.XLOOKUP(C131,Guide!$B$22:$B$26,Guide!$C$22:$C$26)&amp;"-"&amp;_xlfn.XLOOKUP(D131,Guide!$B$29:$B$33,Guide!$C$29:$C$33)&amp;"-"&amp;TEXT(H131,"yyyymmdd")</f>
        <v>ORD-CND-GOV-20131101</v>
      </c>
      <c r="B131" s="1" t="s">
        <v>174</v>
      </c>
      <c r="C131" s="1" t="s">
        <v>27</v>
      </c>
      <c r="D131" s="1" t="s">
        <v>39</v>
      </c>
      <c r="E131" s="1" t="s">
        <v>78</v>
      </c>
      <c r="F131" s="2">
        <v>2935</v>
      </c>
      <c r="G131" s="4">
        <v>0.11</v>
      </c>
      <c r="H131" s="3">
        <f t="shared" si="6"/>
        <v>41579</v>
      </c>
      <c r="I131" s="1">
        <f>_xlfn.XLOOKUP(E131,Product!$A$2:$A$7,Product!$C$2:$C$7)</f>
        <v>300</v>
      </c>
      <c r="J131" s="22">
        <f t="shared" si="7"/>
        <v>880500</v>
      </c>
      <c r="K131" s="22">
        <f t="shared" si="8"/>
        <v>783645</v>
      </c>
      <c r="L131" s="22">
        <f>K131-(_xlfn.XLOOKUP(E131,Product!$A$2:$A$7,Product!$B$2:$B$7)*F131)</f>
        <v>49895</v>
      </c>
      <c r="M131">
        <f>YEAR(Table1[[#This Row],[Order date]])</f>
        <v>2013</v>
      </c>
      <c r="N131" s="22" t="str" cm="1">
        <f t="array" ref="N131">_xlfn.IFS(G131=0,"No Discount", ROUND(G131*100,0)&lt;=4,"Low", ROUND(G131*100,0)&lt;=9,"Medium", ROUND(G131*100,0)&lt;=15,"High")</f>
        <v>High</v>
      </c>
      <c r="O131" s="22" t="str">
        <f>TEXT(Table1[[#This Row],[Order date]],"mmmm")</f>
        <v>November</v>
      </c>
    </row>
    <row r="132" spans="1:15" ht="13.5" x14ac:dyDescent="0.25">
      <c r="A132" s="1" t="str">
        <f>"ORD"&amp;"-"&amp;_xlfn.XLOOKUP(C132,Guide!$B$22:$B$26,Guide!$C$22:$C$26)&amp;"-"&amp;_xlfn.XLOOKUP(D132,Guide!$B$29:$B$33,Guide!$C$29:$C$33)&amp;"-"&amp;TEXT(H132,"yyyymmdd")</f>
        <v>ORD-USA-MDM-20131101</v>
      </c>
      <c r="B132" s="1" t="s">
        <v>175</v>
      </c>
      <c r="C132" s="1" t="s">
        <v>35</v>
      </c>
      <c r="D132" s="1" t="s">
        <v>41</v>
      </c>
      <c r="E132" s="1" t="s">
        <v>84</v>
      </c>
      <c r="F132" s="2">
        <v>2548</v>
      </c>
      <c r="G132" s="4">
        <v>0.12</v>
      </c>
      <c r="H132" s="3">
        <f t="shared" si="6"/>
        <v>41579</v>
      </c>
      <c r="I132" s="1">
        <f>_xlfn.XLOOKUP(E132,Product!$A$2:$A$7,Product!$C$2:$C$7)</f>
        <v>350</v>
      </c>
      <c r="J132" s="22">
        <f t="shared" si="7"/>
        <v>891800</v>
      </c>
      <c r="K132" s="22">
        <f t="shared" si="8"/>
        <v>784784</v>
      </c>
      <c r="L132" s="22">
        <f>K132-(_xlfn.XLOOKUP(E132,Product!$A$2:$A$7,Product!$B$2:$B$7)*F132)</f>
        <v>275184</v>
      </c>
      <c r="M132">
        <f>YEAR(Table1[[#This Row],[Order date]])</f>
        <v>2013</v>
      </c>
      <c r="N132" s="22" t="str" cm="1">
        <f t="array" ref="N132">_xlfn.IFS(G132=0,"No Discount", ROUND(G132*100,0)&lt;=4,"Low", ROUND(G132*100,0)&lt;=9,"Medium", ROUND(G132*100,0)&lt;=15,"High")</f>
        <v>High</v>
      </c>
      <c r="O132" s="22" t="str">
        <f>TEXT(Table1[[#This Row],[Order date]],"mmmm")</f>
        <v>November</v>
      </c>
    </row>
    <row r="133" spans="1:15" ht="13.5" x14ac:dyDescent="0.25">
      <c r="A133" s="1" t="str">
        <f>"ORD"&amp;"-"&amp;_xlfn.XLOOKUP(C133,Guide!$B$22:$B$26,Guide!$C$22:$C$26)&amp;"-"&amp;_xlfn.XLOOKUP(D133,Guide!$B$29:$B$33,Guide!$C$29:$C$33)&amp;"-"&amp;TEXT(H133,"yyyymmdd")</f>
        <v>ORD-MXC-SMB-20131101</v>
      </c>
      <c r="B133" s="1" t="s">
        <v>176</v>
      </c>
      <c r="C133" s="1" t="s">
        <v>33</v>
      </c>
      <c r="D133" s="1" t="s">
        <v>47</v>
      </c>
      <c r="E133" s="1" t="s">
        <v>88</v>
      </c>
      <c r="F133" s="2">
        <v>2605</v>
      </c>
      <c r="G133" s="4">
        <v>0.13</v>
      </c>
      <c r="H133" s="3">
        <f t="shared" si="6"/>
        <v>41579</v>
      </c>
      <c r="I133" s="1">
        <f>_xlfn.XLOOKUP(E133,Product!$A$2:$A$7,Product!$C$2:$C$7)</f>
        <v>180</v>
      </c>
      <c r="J133" s="22">
        <f t="shared" si="7"/>
        <v>468900</v>
      </c>
      <c r="K133" s="22">
        <f t="shared" si="8"/>
        <v>407943</v>
      </c>
      <c r="L133" s="22">
        <f>K133-(_xlfn.XLOOKUP(E133,Product!$A$2:$A$7,Product!$B$2:$B$7)*F133)</f>
        <v>95343</v>
      </c>
      <c r="M133">
        <f>YEAR(Table1[[#This Row],[Order date]])</f>
        <v>2013</v>
      </c>
      <c r="N133" s="22" t="str" cm="1">
        <f t="array" ref="N133">_xlfn.IFS(G133=0,"No Discount", ROUND(G133*100,0)&lt;=4,"Low", ROUND(G133*100,0)&lt;=9,"Medium", ROUND(G133*100,0)&lt;=15,"High")</f>
        <v>High</v>
      </c>
      <c r="O133" s="22" t="str">
        <f>TEXT(Table1[[#This Row],[Order date]],"mmmm")</f>
        <v>November</v>
      </c>
    </row>
    <row r="134" spans="1:15" ht="13.5" x14ac:dyDescent="0.25">
      <c r="A134" s="1" t="str">
        <f>"ORD"&amp;"-"&amp;_xlfn.XLOOKUP(C134,Guide!$B$22:$B$26,Guide!$C$22:$C$26)&amp;"-"&amp;_xlfn.XLOOKUP(D134,Guide!$B$29:$B$33,Guide!$C$29:$C$33)&amp;"-"&amp;TEXT(H134,"yyyymmdd")</f>
        <v>ORD-FRA-GOV-20131101</v>
      </c>
      <c r="B134" s="1" t="s">
        <v>177</v>
      </c>
      <c r="C134" s="1" t="s">
        <v>31</v>
      </c>
      <c r="D134" s="1" t="s">
        <v>39</v>
      </c>
      <c r="E134" s="1" t="s">
        <v>75</v>
      </c>
      <c r="F134" s="2">
        <v>1922</v>
      </c>
      <c r="G134" s="4">
        <v>0.14000000000000001</v>
      </c>
      <c r="H134" s="3">
        <f t="shared" si="6"/>
        <v>41579</v>
      </c>
      <c r="I134" s="1">
        <f>_xlfn.XLOOKUP(E134,Product!$A$2:$A$7,Product!$C$2:$C$7)</f>
        <v>20</v>
      </c>
      <c r="J134" s="22">
        <f t="shared" si="7"/>
        <v>38440</v>
      </c>
      <c r="K134" s="22">
        <f t="shared" si="8"/>
        <v>33058.400000000001</v>
      </c>
      <c r="L134" s="22">
        <f>K134-(_xlfn.XLOOKUP(E134,Product!$A$2:$A$7,Product!$B$2:$B$7)*F134)</f>
        <v>13838.400000000001</v>
      </c>
      <c r="M134">
        <f>YEAR(Table1[[#This Row],[Order date]])</f>
        <v>2013</v>
      </c>
      <c r="N134" s="22" t="str" cm="1">
        <f t="array" ref="N134">_xlfn.IFS(G134=0,"No Discount", ROUND(G134*100,0)&lt;=4,"Low", ROUND(G134*100,0)&lt;=9,"Medium", ROUND(G134*100,0)&lt;=15,"High")</f>
        <v>High</v>
      </c>
      <c r="O134" s="22" t="str">
        <f>TEXT(Table1[[#This Row],[Order date]],"mmmm")</f>
        <v>November</v>
      </c>
    </row>
    <row r="135" spans="1:15" ht="13.5" x14ac:dyDescent="0.25">
      <c r="A135" s="1" t="str">
        <f>"ORD"&amp;"-"&amp;_xlfn.XLOOKUP(C135,Guide!$B$22:$B$26,Guide!$C$22:$C$26)&amp;"-"&amp;_xlfn.XLOOKUP(D135,Guide!$B$29:$B$33,Guide!$C$29:$C$33)&amp;"-"&amp;TEXT(H135,"yyyymmdd")</f>
        <v>ORD-CND-CPR-20131101</v>
      </c>
      <c r="B135" s="1" t="s">
        <v>178</v>
      </c>
      <c r="C135" s="1" t="s">
        <v>27</v>
      </c>
      <c r="D135" s="1" t="s">
        <v>43</v>
      </c>
      <c r="E135" s="1" t="s">
        <v>75</v>
      </c>
      <c r="F135" s="2">
        <v>2222</v>
      </c>
      <c r="G135" s="4">
        <v>0.14000000000000001</v>
      </c>
      <c r="H135" s="3">
        <f t="shared" si="6"/>
        <v>41579</v>
      </c>
      <c r="I135" s="1">
        <f>_xlfn.XLOOKUP(E135,Product!$A$2:$A$7,Product!$C$2:$C$7)</f>
        <v>20</v>
      </c>
      <c r="J135" s="22">
        <f t="shared" si="7"/>
        <v>44440</v>
      </c>
      <c r="K135" s="22">
        <f t="shared" si="8"/>
        <v>38218.400000000001</v>
      </c>
      <c r="L135" s="22">
        <f>K135-(_xlfn.XLOOKUP(E135,Product!$A$2:$A$7,Product!$B$2:$B$7)*F135)</f>
        <v>15998.400000000001</v>
      </c>
      <c r="M135">
        <f>YEAR(Table1[[#This Row],[Order date]])</f>
        <v>2013</v>
      </c>
      <c r="N135" s="22" t="str" cm="1">
        <f t="array" ref="N135">_xlfn.IFS(G135=0,"No Discount", ROUND(G135*100,0)&lt;=4,"Low", ROUND(G135*100,0)&lt;=9,"Medium", ROUND(G135*100,0)&lt;=15,"High")</f>
        <v>High</v>
      </c>
      <c r="O135" s="22" t="str">
        <f>TEXT(Table1[[#This Row],[Order date]],"mmmm")</f>
        <v>November</v>
      </c>
    </row>
    <row r="136" spans="1:15" ht="13.5" x14ac:dyDescent="0.25">
      <c r="A136" s="1" t="str">
        <f>"ORD"&amp;"-"&amp;_xlfn.XLOOKUP(C136,Guide!$B$22:$B$26,Guide!$C$22:$C$26)&amp;"-"&amp;_xlfn.XLOOKUP(D136,Guide!$B$29:$B$33,Guide!$C$29:$C$33)&amp;"-"&amp;TEXT(H136,"yyyymmdd")</f>
        <v>ORD-GER-SMB-20131101</v>
      </c>
      <c r="B136" s="1" t="s">
        <v>179</v>
      </c>
      <c r="C136" s="1" t="s">
        <v>29</v>
      </c>
      <c r="D136" s="1" t="s">
        <v>47</v>
      </c>
      <c r="E136" s="1" t="s">
        <v>88</v>
      </c>
      <c r="F136" s="2">
        <v>2536</v>
      </c>
      <c r="G136" s="4">
        <v>0.14000000000000001</v>
      </c>
      <c r="H136" s="3">
        <f t="shared" si="6"/>
        <v>41579</v>
      </c>
      <c r="I136" s="1">
        <f>_xlfn.XLOOKUP(E136,Product!$A$2:$A$7,Product!$C$2:$C$7)</f>
        <v>180</v>
      </c>
      <c r="J136" s="22">
        <f t="shared" si="7"/>
        <v>456480</v>
      </c>
      <c r="K136" s="22">
        <f t="shared" si="8"/>
        <v>392572.8</v>
      </c>
      <c r="L136" s="22">
        <f>K136-(_xlfn.XLOOKUP(E136,Product!$A$2:$A$7,Product!$B$2:$B$7)*F136)</f>
        <v>88252.799999999988</v>
      </c>
      <c r="M136">
        <f>YEAR(Table1[[#This Row],[Order date]])</f>
        <v>2013</v>
      </c>
      <c r="N136" s="22" t="str" cm="1">
        <f t="array" ref="N136">_xlfn.IFS(G136=0,"No Discount", ROUND(G136*100,0)&lt;=4,"Low", ROUND(G136*100,0)&lt;=9,"Medium", ROUND(G136*100,0)&lt;=15,"High")</f>
        <v>High</v>
      </c>
      <c r="O136" s="22" t="str">
        <f>TEXT(Table1[[#This Row],[Order date]],"mmmm")</f>
        <v>November</v>
      </c>
    </row>
    <row r="137" spans="1:15" ht="13.5" x14ac:dyDescent="0.25">
      <c r="A137" s="1" t="str">
        <f>"ORD"&amp;"-"&amp;_xlfn.XLOOKUP(C137,Guide!$B$22:$B$26,Guide!$C$22:$C$26)&amp;"-"&amp;_xlfn.XLOOKUP(D137,Guide!$B$29:$B$33,Guide!$C$29:$C$33)&amp;"-"&amp;TEXT(H137,"yyyymmdd")</f>
        <v>ORD-MXC-MDM-20131101</v>
      </c>
      <c r="B137" s="1" t="s">
        <v>180</v>
      </c>
      <c r="C137" s="1" t="s">
        <v>33</v>
      </c>
      <c r="D137" s="1" t="s">
        <v>41</v>
      </c>
      <c r="E137" s="1" t="s">
        <v>84</v>
      </c>
      <c r="F137" s="2">
        <v>1870</v>
      </c>
      <c r="G137" s="4">
        <v>0.14000000000000001</v>
      </c>
      <c r="H137" s="3">
        <f t="shared" si="6"/>
        <v>41579</v>
      </c>
      <c r="I137" s="1">
        <f>_xlfn.XLOOKUP(E137,Product!$A$2:$A$7,Product!$C$2:$C$7)</f>
        <v>350</v>
      </c>
      <c r="J137" s="22">
        <f t="shared" si="7"/>
        <v>654500</v>
      </c>
      <c r="K137" s="22">
        <f t="shared" si="8"/>
        <v>562870</v>
      </c>
      <c r="L137" s="22">
        <f>K137-(_xlfn.XLOOKUP(E137,Product!$A$2:$A$7,Product!$B$2:$B$7)*F137)</f>
        <v>188870</v>
      </c>
      <c r="M137">
        <f>YEAR(Table1[[#This Row],[Order date]])</f>
        <v>2013</v>
      </c>
      <c r="N137" s="22" t="str" cm="1">
        <f t="array" ref="N137">_xlfn.IFS(G137=0,"No Discount", ROUND(G137*100,0)&lt;=4,"Low", ROUND(G137*100,0)&lt;=9,"Medium", ROUND(G137*100,0)&lt;=15,"High")</f>
        <v>High</v>
      </c>
      <c r="O137" s="22" t="str">
        <f>TEXT(Table1[[#This Row],[Order date]],"mmmm")</f>
        <v>November</v>
      </c>
    </row>
    <row r="138" spans="1:15" ht="13.5" x14ac:dyDescent="0.25">
      <c r="A138" s="1" t="str">
        <f>"ORD"&amp;"-"&amp;_xlfn.XLOOKUP(C138,Guide!$B$22:$B$26,Guide!$C$22:$C$26)&amp;"-"&amp;_xlfn.XLOOKUP(D138,Guide!$B$29:$B$33,Guide!$C$29:$C$33)&amp;"-"&amp;TEXT(H138,"yyyymmdd")</f>
        <v>ORD-USA-GOV-20131101</v>
      </c>
      <c r="B138" s="1" t="s">
        <v>181</v>
      </c>
      <c r="C138" s="1" t="s">
        <v>35</v>
      </c>
      <c r="D138" s="1" t="s">
        <v>39</v>
      </c>
      <c r="E138" s="1" t="s">
        <v>75</v>
      </c>
      <c r="F138" s="2">
        <v>2007</v>
      </c>
      <c r="G138" s="4">
        <v>0.15</v>
      </c>
      <c r="H138" s="3">
        <f t="shared" si="6"/>
        <v>41579</v>
      </c>
      <c r="I138" s="1">
        <f>_xlfn.XLOOKUP(E138,Product!$A$2:$A$7,Product!$C$2:$C$7)</f>
        <v>20</v>
      </c>
      <c r="J138" s="22">
        <f t="shared" si="7"/>
        <v>40140</v>
      </c>
      <c r="K138" s="22">
        <f t="shared" si="8"/>
        <v>34119</v>
      </c>
      <c r="L138" s="22">
        <f>K138-(_xlfn.XLOOKUP(E138,Product!$A$2:$A$7,Product!$B$2:$B$7)*F138)</f>
        <v>14049</v>
      </c>
      <c r="M138">
        <f>YEAR(Table1[[#This Row],[Order date]])</f>
        <v>2013</v>
      </c>
      <c r="N138" s="22" t="str" cm="1">
        <f t="array" ref="N138">_xlfn.IFS(G138=0,"No Discount", ROUND(G138*100,0)&lt;=4,"Low", ROUND(G138*100,0)&lt;=9,"Medium", ROUND(G138*100,0)&lt;=15,"High")</f>
        <v>High</v>
      </c>
      <c r="O138" s="22" t="str">
        <f>TEXT(Table1[[#This Row],[Order date]],"mmmm")</f>
        <v>November</v>
      </c>
    </row>
    <row r="139" spans="1:15" ht="13.5" x14ac:dyDescent="0.25">
      <c r="A139" s="1" t="str">
        <f>"ORD"&amp;"-"&amp;_xlfn.XLOOKUP(C139,Guide!$B$22:$B$26,Guide!$C$22:$C$26)&amp;"-"&amp;_xlfn.XLOOKUP(D139,Guide!$B$29:$B$33,Guide!$C$29:$C$33)&amp;"-"&amp;TEXT(H139,"yyyymmdd")</f>
        <v>ORD-CND-ENT-20131101</v>
      </c>
      <c r="B139" s="1" t="s">
        <v>182</v>
      </c>
      <c r="C139" s="1" t="s">
        <v>27</v>
      </c>
      <c r="D139" s="1" t="s">
        <v>45</v>
      </c>
      <c r="E139" s="1" t="s">
        <v>78</v>
      </c>
      <c r="F139" s="2">
        <v>2954</v>
      </c>
      <c r="G139" s="4">
        <v>0.15</v>
      </c>
      <c r="H139" s="3">
        <f t="shared" si="6"/>
        <v>41579</v>
      </c>
      <c r="I139" s="1">
        <f>_xlfn.XLOOKUP(E139,Product!$A$2:$A$7,Product!$C$2:$C$7)</f>
        <v>300</v>
      </c>
      <c r="J139" s="22">
        <f t="shared" si="7"/>
        <v>886200</v>
      </c>
      <c r="K139" s="22">
        <f t="shared" si="8"/>
        <v>753270</v>
      </c>
      <c r="L139" s="22">
        <f>K139-(_xlfn.XLOOKUP(E139,Product!$A$2:$A$7,Product!$B$2:$B$7)*F139)</f>
        <v>14770</v>
      </c>
      <c r="M139">
        <f>YEAR(Table1[[#This Row],[Order date]])</f>
        <v>2013</v>
      </c>
      <c r="N139" s="22" t="str" cm="1">
        <f t="array" ref="N139">_xlfn.IFS(G139=0,"No Discount", ROUND(G139*100,0)&lt;=4,"Low", ROUND(G139*100,0)&lt;=9,"Medium", ROUND(G139*100,0)&lt;=15,"High")</f>
        <v>High</v>
      </c>
      <c r="O139" s="22" t="str">
        <f>TEXT(Table1[[#This Row],[Order date]],"mmmm")</f>
        <v>November</v>
      </c>
    </row>
    <row r="140" spans="1:15" ht="13.5" x14ac:dyDescent="0.25">
      <c r="A140" s="1" t="str">
        <f>"ORD"&amp;"-"&amp;_xlfn.XLOOKUP(C140,Guide!$B$22:$B$26,Guide!$C$22:$C$26)&amp;"-"&amp;_xlfn.XLOOKUP(D140,Guide!$B$29:$B$33,Guide!$C$29:$C$33)&amp;"-"&amp;TEXT(H140,"yyyymmdd")</f>
        <v>ORD-MXC-GOV-20131101</v>
      </c>
      <c r="B140" s="1" t="s">
        <v>183</v>
      </c>
      <c r="C140" s="1" t="s">
        <v>33</v>
      </c>
      <c r="D140" s="1" t="s">
        <v>39</v>
      </c>
      <c r="E140" s="1" t="s">
        <v>75</v>
      </c>
      <c r="F140" s="2">
        <v>2151</v>
      </c>
      <c r="G140" s="4">
        <v>0.15</v>
      </c>
      <c r="H140" s="3">
        <f t="shared" si="6"/>
        <v>41579</v>
      </c>
      <c r="I140" s="1">
        <f>_xlfn.XLOOKUP(E140,Product!$A$2:$A$7,Product!$C$2:$C$7)</f>
        <v>20</v>
      </c>
      <c r="J140" s="22">
        <f t="shared" si="7"/>
        <v>43020</v>
      </c>
      <c r="K140" s="22">
        <f t="shared" si="8"/>
        <v>36567</v>
      </c>
      <c r="L140" s="22">
        <f>K140-(_xlfn.XLOOKUP(E140,Product!$A$2:$A$7,Product!$B$2:$B$7)*F140)</f>
        <v>15057</v>
      </c>
      <c r="M140">
        <f>YEAR(Table1[[#This Row],[Order date]])</f>
        <v>2013</v>
      </c>
      <c r="N140" s="22" t="str" cm="1">
        <f t="array" ref="N140">_xlfn.IFS(G140=0,"No Discount", ROUND(G140*100,0)&lt;=4,"Low", ROUND(G140*100,0)&lt;=9,"Medium", ROUND(G140*100,0)&lt;=15,"High")</f>
        <v>High</v>
      </c>
      <c r="O140" s="22" t="str">
        <f>TEXT(Table1[[#This Row],[Order date]],"mmmm")</f>
        <v>November</v>
      </c>
    </row>
    <row r="141" spans="1:15" ht="13.5" x14ac:dyDescent="0.25">
      <c r="A141" s="1" t="str">
        <f>"ORD"&amp;"-"&amp;_xlfn.XLOOKUP(C141,Guide!$B$22:$B$26,Guide!$C$22:$C$26)&amp;"-"&amp;_xlfn.XLOOKUP(D141,Guide!$B$29:$B$33,Guide!$C$29:$C$33)&amp;"-"&amp;TEXT(H141,"yyyymmdd")</f>
        <v>ORD-USA-SMB-20131101</v>
      </c>
      <c r="B141" s="1" t="s">
        <v>184</v>
      </c>
      <c r="C141" s="1" t="s">
        <v>35</v>
      </c>
      <c r="D141" s="1" t="s">
        <v>47</v>
      </c>
      <c r="E141" s="1" t="s">
        <v>88</v>
      </c>
      <c r="F141" s="2">
        <v>2574</v>
      </c>
      <c r="G141" s="4">
        <v>0.15</v>
      </c>
      <c r="H141" s="3">
        <f t="shared" si="6"/>
        <v>41579</v>
      </c>
      <c r="I141" s="1">
        <f>_xlfn.XLOOKUP(E141,Product!$A$2:$A$7,Product!$C$2:$C$7)</f>
        <v>180</v>
      </c>
      <c r="J141" s="22">
        <f t="shared" si="7"/>
        <v>463320</v>
      </c>
      <c r="K141" s="22">
        <f t="shared" si="8"/>
        <v>393822</v>
      </c>
      <c r="L141" s="22">
        <f>K141-(_xlfn.XLOOKUP(E141,Product!$A$2:$A$7,Product!$B$2:$B$7)*F141)</f>
        <v>84942</v>
      </c>
      <c r="M141">
        <f>YEAR(Table1[[#This Row],[Order date]])</f>
        <v>2013</v>
      </c>
      <c r="N141" s="22" t="str" cm="1">
        <f t="array" ref="N141">_xlfn.IFS(G141=0,"No Discount", ROUND(G141*100,0)&lt;=4,"Low", ROUND(G141*100,0)&lt;=9,"Medium", ROUND(G141*100,0)&lt;=15,"High")</f>
        <v>High</v>
      </c>
      <c r="O141" s="22" t="str">
        <f>TEXT(Table1[[#This Row],[Order date]],"mmmm")</f>
        <v>November</v>
      </c>
    </row>
    <row r="142" spans="1:15" ht="13.5" x14ac:dyDescent="0.25">
      <c r="A142" s="1" t="str">
        <f>"ORD"&amp;"-"&amp;_xlfn.XLOOKUP(C142,Guide!$B$22:$B$26,Guide!$C$22:$C$26)&amp;"-"&amp;_xlfn.XLOOKUP(D142,Guide!$B$29:$B$33,Guide!$C$29:$C$33)&amp;"-"&amp;TEXT(H142,"yyyymmdd")</f>
        <v>ORD-CND-MDM-20131201</v>
      </c>
      <c r="B142" s="1" t="s">
        <v>185</v>
      </c>
      <c r="C142" s="1" t="s">
        <v>27</v>
      </c>
      <c r="D142" s="1" t="s">
        <v>41</v>
      </c>
      <c r="E142" s="1" t="s">
        <v>75</v>
      </c>
      <c r="F142" s="2">
        <v>2152</v>
      </c>
      <c r="G142" s="4">
        <v>0</v>
      </c>
      <c r="H142" s="3">
        <f t="shared" si="6"/>
        <v>41609</v>
      </c>
      <c r="I142" s="1">
        <f>_xlfn.XLOOKUP(E142,Product!$A$2:$A$7,Product!$C$2:$C$7)</f>
        <v>20</v>
      </c>
      <c r="J142" s="22">
        <f t="shared" si="7"/>
        <v>43040</v>
      </c>
      <c r="K142" s="22">
        <f t="shared" si="8"/>
        <v>43040</v>
      </c>
      <c r="L142" s="22">
        <f>K142-(_xlfn.XLOOKUP(E142,Product!$A$2:$A$7,Product!$B$2:$B$7)*F142)</f>
        <v>21520</v>
      </c>
      <c r="M142">
        <f>YEAR(Table1[[#This Row],[Order date]])</f>
        <v>2013</v>
      </c>
      <c r="N142" s="22" t="str" cm="1">
        <f t="array" ref="N142">_xlfn.IFS(G142=0,"No Discount", ROUND(G142*100,0)&lt;=4,"Low", ROUND(G142*100,0)&lt;=9,"Medium", ROUND(G142*100,0)&lt;=15,"High")</f>
        <v>No Discount</v>
      </c>
      <c r="O142" s="22" t="str">
        <f>TEXT(Table1[[#This Row],[Order date]],"mmmm")</f>
        <v>December</v>
      </c>
    </row>
    <row r="143" spans="1:15" ht="13.5" x14ac:dyDescent="0.25">
      <c r="A143" s="1" t="str">
        <f>"ORD"&amp;"-"&amp;_xlfn.XLOOKUP(C143,Guide!$B$22:$B$26,Guide!$C$22:$C$26)&amp;"-"&amp;_xlfn.XLOOKUP(D143,Guide!$B$29:$B$33,Guide!$C$29:$C$33)&amp;"-"&amp;TEXT(H143,"yyyymmdd")</f>
        <v>ORD-USA-GOV-20131201</v>
      </c>
      <c r="B143" s="1" t="s">
        <v>186</v>
      </c>
      <c r="C143" s="1" t="s">
        <v>35</v>
      </c>
      <c r="D143" s="1" t="s">
        <v>39</v>
      </c>
      <c r="E143" s="1" t="s">
        <v>78</v>
      </c>
      <c r="F143" s="2">
        <v>266</v>
      </c>
      <c r="G143" s="4">
        <v>0.02</v>
      </c>
      <c r="H143" s="3">
        <f t="shared" si="6"/>
        <v>41609</v>
      </c>
      <c r="I143" s="1">
        <f>_xlfn.XLOOKUP(E143,Product!$A$2:$A$7,Product!$C$2:$C$7)</f>
        <v>300</v>
      </c>
      <c r="J143" s="22">
        <f t="shared" si="7"/>
        <v>79800</v>
      </c>
      <c r="K143" s="22">
        <f t="shared" si="8"/>
        <v>78204</v>
      </c>
      <c r="L143" s="22">
        <f>K143-(_xlfn.XLOOKUP(E143,Product!$A$2:$A$7,Product!$B$2:$B$7)*F143)</f>
        <v>11704</v>
      </c>
      <c r="M143">
        <f>YEAR(Table1[[#This Row],[Order date]])</f>
        <v>2013</v>
      </c>
      <c r="N143" s="22" t="str" cm="1">
        <f t="array" ref="N143">_xlfn.IFS(G143=0,"No Discount", ROUND(G143*100,0)&lt;=4,"Low", ROUND(G143*100,0)&lt;=9,"Medium", ROUND(G143*100,0)&lt;=15,"High")</f>
        <v>Low</v>
      </c>
      <c r="O143" s="22" t="str">
        <f>TEXT(Table1[[#This Row],[Order date]],"mmmm")</f>
        <v>December</v>
      </c>
    </row>
    <row r="144" spans="1:15" ht="13.5" x14ac:dyDescent="0.25">
      <c r="A144" s="1" t="str">
        <f>"ORD"&amp;"-"&amp;_xlfn.XLOOKUP(C144,Guide!$B$22:$B$26,Guide!$C$22:$C$26)&amp;"-"&amp;_xlfn.XLOOKUP(D144,Guide!$B$29:$B$33,Guide!$C$29:$C$33)&amp;"-"&amp;TEXT(H144,"yyyymmdd")</f>
        <v>ORD-USA-MDM-20131201</v>
      </c>
      <c r="B144" s="1" t="s">
        <v>187</v>
      </c>
      <c r="C144" s="1" t="s">
        <v>35</v>
      </c>
      <c r="D144" s="1" t="s">
        <v>41</v>
      </c>
      <c r="E144" s="1" t="s">
        <v>75</v>
      </c>
      <c r="F144" s="2">
        <v>1925</v>
      </c>
      <c r="G144" s="4">
        <v>0.02</v>
      </c>
      <c r="H144" s="3">
        <f t="shared" si="6"/>
        <v>41609</v>
      </c>
      <c r="I144" s="1">
        <f>_xlfn.XLOOKUP(E144,Product!$A$2:$A$7,Product!$C$2:$C$7)</f>
        <v>20</v>
      </c>
      <c r="J144" s="22">
        <f t="shared" si="7"/>
        <v>38500</v>
      </c>
      <c r="K144" s="22">
        <f t="shared" si="8"/>
        <v>37730</v>
      </c>
      <c r="L144" s="22">
        <f>K144-(_xlfn.XLOOKUP(E144,Product!$A$2:$A$7,Product!$B$2:$B$7)*F144)</f>
        <v>18480</v>
      </c>
      <c r="M144">
        <f>YEAR(Table1[[#This Row],[Order date]])</f>
        <v>2013</v>
      </c>
      <c r="N144" s="22" t="str" cm="1">
        <f t="array" ref="N144">_xlfn.IFS(G144=0,"No Discount", ROUND(G144*100,0)&lt;=4,"Low", ROUND(G144*100,0)&lt;=9,"Medium", ROUND(G144*100,0)&lt;=15,"High")</f>
        <v>Low</v>
      </c>
      <c r="O144" s="22" t="str">
        <f>TEXT(Table1[[#This Row],[Order date]],"mmmm")</f>
        <v>December</v>
      </c>
    </row>
    <row r="145" spans="1:15" ht="13.5" x14ac:dyDescent="0.25">
      <c r="A145" s="1" t="str">
        <f>"ORD"&amp;"-"&amp;_xlfn.XLOOKUP(C145,Guide!$B$22:$B$26,Guide!$C$22:$C$26)&amp;"-"&amp;_xlfn.XLOOKUP(D145,Guide!$B$29:$B$33,Guide!$C$29:$C$33)&amp;"-"&amp;TEXT(H145,"yyyymmdd")</f>
        <v>ORD-USA-GOV-20131201</v>
      </c>
      <c r="B145" s="1" t="s">
        <v>188</v>
      </c>
      <c r="C145" s="1" t="s">
        <v>35</v>
      </c>
      <c r="D145" s="1" t="s">
        <v>39</v>
      </c>
      <c r="E145" s="1" t="s">
        <v>75</v>
      </c>
      <c r="F145" s="2">
        <v>2013</v>
      </c>
      <c r="G145" s="4">
        <v>0.02</v>
      </c>
      <c r="H145" s="3">
        <f t="shared" si="6"/>
        <v>41609</v>
      </c>
      <c r="I145" s="1">
        <f>_xlfn.XLOOKUP(E145,Product!$A$2:$A$7,Product!$C$2:$C$7)</f>
        <v>20</v>
      </c>
      <c r="J145" s="22">
        <f t="shared" si="7"/>
        <v>40260</v>
      </c>
      <c r="K145" s="22">
        <f t="shared" si="8"/>
        <v>39454.800000000003</v>
      </c>
      <c r="L145" s="22">
        <f>K145-(_xlfn.XLOOKUP(E145,Product!$A$2:$A$7,Product!$B$2:$B$7)*F145)</f>
        <v>19324.800000000003</v>
      </c>
      <c r="M145">
        <f>YEAR(Table1[[#This Row],[Order date]])</f>
        <v>2013</v>
      </c>
      <c r="N145" s="22" t="str" cm="1">
        <f t="array" ref="N145">_xlfn.IFS(G145=0,"No Discount", ROUND(G145*100,0)&lt;=4,"Low", ROUND(G145*100,0)&lt;=9,"Medium", ROUND(G145*100,0)&lt;=15,"High")</f>
        <v>Low</v>
      </c>
      <c r="O145" s="22" t="str">
        <f>TEXT(Table1[[#This Row],[Order date]],"mmmm")</f>
        <v>December</v>
      </c>
    </row>
    <row r="146" spans="1:15" ht="13.5" x14ac:dyDescent="0.25">
      <c r="A146" s="1" t="str">
        <f>"ORD"&amp;"-"&amp;_xlfn.XLOOKUP(C146,Guide!$B$22:$B$26,Guide!$C$22:$C$26)&amp;"-"&amp;_xlfn.XLOOKUP(D146,Guide!$B$29:$B$33,Guide!$C$29:$C$33)&amp;"-"&amp;TEXT(H146,"yyyymmdd")</f>
        <v>ORD-MXC-GOV-20131201</v>
      </c>
      <c r="B146" s="1" t="s">
        <v>189</v>
      </c>
      <c r="C146" s="1" t="s">
        <v>33</v>
      </c>
      <c r="D146" s="1" t="s">
        <v>39</v>
      </c>
      <c r="E146" s="1" t="s">
        <v>88</v>
      </c>
      <c r="F146" s="2">
        <v>544</v>
      </c>
      <c r="G146" s="4">
        <v>0.02</v>
      </c>
      <c r="H146" s="3">
        <f t="shared" si="6"/>
        <v>41609</v>
      </c>
      <c r="I146" s="1">
        <f>_xlfn.XLOOKUP(E146,Product!$A$2:$A$7,Product!$C$2:$C$7)</f>
        <v>180</v>
      </c>
      <c r="J146" s="22">
        <f t="shared" si="7"/>
        <v>97920</v>
      </c>
      <c r="K146" s="22">
        <f t="shared" si="8"/>
        <v>95961.599999999991</v>
      </c>
      <c r="L146" s="22">
        <f>K146-(_xlfn.XLOOKUP(E146,Product!$A$2:$A$7,Product!$B$2:$B$7)*F146)</f>
        <v>30681.599999999991</v>
      </c>
      <c r="M146">
        <f>YEAR(Table1[[#This Row],[Order date]])</f>
        <v>2013</v>
      </c>
      <c r="N146" s="22" t="str" cm="1">
        <f t="array" ref="N146">_xlfn.IFS(G146=0,"No Discount", ROUND(G146*100,0)&lt;=4,"Low", ROUND(G146*100,0)&lt;=9,"Medium", ROUND(G146*100,0)&lt;=15,"High")</f>
        <v>Low</v>
      </c>
      <c r="O146" s="22" t="str">
        <f>TEXT(Table1[[#This Row],[Order date]],"mmmm")</f>
        <v>December</v>
      </c>
    </row>
    <row r="147" spans="1:15" ht="13.5" x14ac:dyDescent="0.25">
      <c r="A147" s="1" t="str">
        <f>"ORD"&amp;"-"&amp;_xlfn.XLOOKUP(C147,Guide!$B$22:$B$26,Guide!$C$22:$C$26)&amp;"-"&amp;_xlfn.XLOOKUP(D147,Guide!$B$29:$B$33,Guide!$C$29:$C$33)&amp;"-"&amp;TEXT(H147,"yyyymmdd")</f>
        <v>ORD-MXC-GOV-20131201</v>
      </c>
      <c r="B147" s="1" t="s">
        <v>190</v>
      </c>
      <c r="C147" s="1" t="s">
        <v>33</v>
      </c>
      <c r="D147" s="1" t="s">
        <v>39</v>
      </c>
      <c r="E147" s="1" t="s">
        <v>78</v>
      </c>
      <c r="F147" s="2">
        <v>1940</v>
      </c>
      <c r="G147" s="4">
        <v>0.02</v>
      </c>
      <c r="H147" s="3">
        <f t="shared" si="6"/>
        <v>41609</v>
      </c>
      <c r="I147" s="1">
        <f>_xlfn.XLOOKUP(E147,Product!$A$2:$A$7,Product!$C$2:$C$7)</f>
        <v>300</v>
      </c>
      <c r="J147" s="22">
        <f t="shared" si="7"/>
        <v>582000</v>
      </c>
      <c r="K147" s="22">
        <f t="shared" si="8"/>
        <v>570360</v>
      </c>
      <c r="L147" s="22">
        <f>K147-(_xlfn.XLOOKUP(E147,Product!$A$2:$A$7,Product!$B$2:$B$7)*F147)</f>
        <v>85360</v>
      </c>
      <c r="M147">
        <f>YEAR(Table1[[#This Row],[Order date]])</f>
        <v>2013</v>
      </c>
      <c r="N147" s="22" t="str" cm="1">
        <f t="array" ref="N147">_xlfn.IFS(G147=0,"No Discount", ROUND(G147*100,0)&lt;=4,"Low", ROUND(G147*100,0)&lt;=9,"Medium", ROUND(G147*100,0)&lt;=15,"High")</f>
        <v>Low</v>
      </c>
      <c r="O147" s="22" t="str">
        <f>TEXT(Table1[[#This Row],[Order date]],"mmmm")</f>
        <v>December</v>
      </c>
    </row>
    <row r="148" spans="1:15" ht="13.5" x14ac:dyDescent="0.25">
      <c r="A148" s="1" t="str">
        <f>"ORD"&amp;"-"&amp;_xlfn.XLOOKUP(C148,Guide!$B$22:$B$26,Guide!$C$22:$C$26)&amp;"-"&amp;_xlfn.XLOOKUP(D148,Guide!$B$29:$B$33,Guide!$C$29:$C$33)&amp;"-"&amp;TEXT(H148,"yyyymmdd")</f>
        <v>ORD-CND-CPR-20131201</v>
      </c>
      <c r="B148" s="1" t="s">
        <v>191</v>
      </c>
      <c r="C148" s="1" t="s">
        <v>27</v>
      </c>
      <c r="D148" s="1" t="s">
        <v>43</v>
      </c>
      <c r="E148" s="1" t="s">
        <v>80</v>
      </c>
      <c r="F148" s="2">
        <v>908</v>
      </c>
      <c r="G148" s="4">
        <v>0.03</v>
      </c>
      <c r="H148" s="3">
        <f t="shared" si="6"/>
        <v>41609</v>
      </c>
      <c r="I148" s="1">
        <f>_xlfn.XLOOKUP(E148,Product!$A$2:$A$7,Product!$C$2:$C$7)</f>
        <v>20</v>
      </c>
      <c r="J148" s="22">
        <f t="shared" si="7"/>
        <v>18160</v>
      </c>
      <c r="K148" s="22">
        <f t="shared" si="8"/>
        <v>17615.2</v>
      </c>
      <c r="L148" s="22">
        <f>K148-(_xlfn.XLOOKUP(E148,Product!$A$2:$A$7,Product!$B$2:$B$7)*F148)</f>
        <v>14891.2</v>
      </c>
      <c r="M148">
        <f>YEAR(Table1[[#This Row],[Order date]])</f>
        <v>2013</v>
      </c>
      <c r="N148" s="22" t="str" cm="1">
        <f t="array" ref="N148">_xlfn.IFS(G148=0,"No Discount", ROUND(G148*100,0)&lt;=4,"Low", ROUND(G148*100,0)&lt;=9,"Medium", ROUND(G148*100,0)&lt;=15,"High")</f>
        <v>Low</v>
      </c>
      <c r="O148" s="22" t="str">
        <f>TEXT(Table1[[#This Row],[Order date]],"mmmm")</f>
        <v>December</v>
      </c>
    </row>
    <row r="149" spans="1:15" ht="13.5" x14ac:dyDescent="0.25">
      <c r="A149" s="1" t="str">
        <f>"ORD"&amp;"-"&amp;_xlfn.XLOOKUP(C149,Guide!$B$22:$B$26,Guide!$C$22:$C$26)&amp;"-"&amp;_xlfn.XLOOKUP(D149,Guide!$B$29:$B$33,Guide!$C$29:$C$33)&amp;"-"&amp;TEXT(H149,"yyyymmdd")</f>
        <v>ORD-FRA-MDM-20131201</v>
      </c>
      <c r="B149" s="1" t="s">
        <v>192</v>
      </c>
      <c r="C149" s="1" t="s">
        <v>31</v>
      </c>
      <c r="D149" s="1" t="s">
        <v>41</v>
      </c>
      <c r="E149" s="1" t="s">
        <v>75</v>
      </c>
      <c r="F149" s="2">
        <v>2261</v>
      </c>
      <c r="G149" s="4">
        <v>3.9999999999999994E-2</v>
      </c>
      <c r="H149" s="3">
        <f t="shared" si="6"/>
        <v>41609</v>
      </c>
      <c r="I149" s="1">
        <f>_xlfn.XLOOKUP(E149,Product!$A$2:$A$7,Product!$C$2:$C$7)</f>
        <v>20</v>
      </c>
      <c r="J149" s="22">
        <f t="shared" si="7"/>
        <v>45220</v>
      </c>
      <c r="K149" s="22">
        <f t="shared" si="8"/>
        <v>43411.199999999997</v>
      </c>
      <c r="L149" s="22">
        <f>K149-(_xlfn.XLOOKUP(E149,Product!$A$2:$A$7,Product!$B$2:$B$7)*F149)</f>
        <v>20801.199999999997</v>
      </c>
      <c r="M149">
        <f>YEAR(Table1[[#This Row],[Order date]])</f>
        <v>2013</v>
      </c>
      <c r="N149" s="22" t="str" cm="1">
        <f t="array" ref="N149">_xlfn.IFS(G149=0,"No Discount", ROUND(G149*100,0)&lt;=4,"Low", ROUND(G149*100,0)&lt;=9,"Medium", ROUND(G149*100,0)&lt;=15,"High")</f>
        <v>Low</v>
      </c>
      <c r="O149" s="22" t="str">
        <f>TEXT(Table1[[#This Row],[Order date]],"mmmm")</f>
        <v>December</v>
      </c>
    </row>
    <row r="150" spans="1:15" ht="13.5" x14ac:dyDescent="0.25">
      <c r="A150" s="1" t="str">
        <f>"ORD"&amp;"-"&amp;_xlfn.XLOOKUP(C150,Guide!$B$22:$B$26,Guide!$C$22:$C$26)&amp;"-"&amp;_xlfn.XLOOKUP(D150,Guide!$B$29:$B$33,Guide!$C$29:$C$33)&amp;"-"&amp;TEXT(H150,"yyyymmdd")</f>
        <v>ORD-CND-GOV-20131201</v>
      </c>
      <c r="B150" s="1" t="s">
        <v>193</v>
      </c>
      <c r="C150" s="1" t="s">
        <v>27</v>
      </c>
      <c r="D150" s="1" t="s">
        <v>39</v>
      </c>
      <c r="E150" s="1" t="s">
        <v>84</v>
      </c>
      <c r="F150" s="2">
        <v>1778</v>
      </c>
      <c r="G150" s="4">
        <v>0.04</v>
      </c>
      <c r="H150" s="3">
        <f t="shared" si="6"/>
        <v>41609</v>
      </c>
      <c r="I150" s="1">
        <f>_xlfn.XLOOKUP(E150,Product!$A$2:$A$7,Product!$C$2:$C$7)</f>
        <v>350</v>
      </c>
      <c r="J150" s="22">
        <f t="shared" si="7"/>
        <v>622300</v>
      </c>
      <c r="K150" s="22">
        <f t="shared" si="8"/>
        <v>597408</v>
      </c>
      <c r="L150" s="22">
        <f>K150-(_xlfn.XLOOKUP(E150,Product!$A$2:$A$7,Product!$B$2:$B$7)*F150)</f>
        <v>241808</v>
      </c>
      <c r="M150">
        <f>YEAR(Table1[[#This Row],[Order date]])</f>
        <v>2013</v>
      </c>
      <c r="N150" s="22" t="str" cm="1">
        <f t="array" ref="N150">_xlfn.IFS(G150=0,"No Discount", ROUND(G150*100,0)&lt;=4,"Low", ROUND(G150*100,0)&lt;=9,"Medium", ROUND(G150*100,0)&lt;=15,"High")</f>
        <v>Low</v>
      </c>
      <c r="O150" s="22" t="str">
        <f>TEXT(Table1[[#This Row],[Order date]],"mmmm")</f>
        <v>December</v>
      </c>
    </row>
    <row r="151" spans="1:15" ht="13.5" x14ac:dyDescent="0.25">
      <c r="A151" s="1" t="str">
        <f>"ORD"&amp;"-"&amp;_xlfn.XLOOKUP(C151,Guide!$B$22:$B$26,Guide!$C$22:$C$26)&amp;"-"&amp;_xlfn.XLOOKUP(D151,Guide!$B$29:$B$33,Guide!$C$29:$C$33)&amp;"-"&amp;TEXT(H151,"yyyymmdd")</f>
        <v>ORD-MXC-SMB-20131201</v>
      </c>
      <c r="B151" s="1" t="s">
        <v>194</v>
      </c>
      <c r="C151" s="1" t="s">
        <v>33</v>
      </c>
      <c r="D151" s="1" t="s">
        <v>47</v>
      </c>
      <c r="E151" s="1" t="s">
        <v>82</v>
      </c>
      <c r="F151" s="2">
        <v>1100</v>
      </c>
      <c r="G151" s="4">
        <v>0.05</v>
      </c>
      <c r="H151" s="3">
        <f t="shared" si="6"/>
        <v>41609</v>
      </c>
      <c r="I151" s="1">
        <f>_xlfn.XLOOKUP(E151,Product!$A$2:$A$7,Product!$C$2:$C$7)</f>
        <v>15</v>
      </c>
      <c r="J151" s="22">
        <f t="shared" si="7"/>
        <v>16500</v>
      </c>
      <c r="K151" s="22">
        <f t="shared" si="8"/>
        <v>15675</v>
      </c>
      <c r="L151" s="22">
        <f>K151-(_xlfn.XLOOKUP(E151,Product!$A$2:$A$7,Product!$B$2:$B$7)*F151)</f>
        <v>10175</v>
      </c>
      <c r="M151">
        <f>YEAR(Table1[[#This Row],[Order date]])</f>
        <v>2013</v>
      </c>
      <c r="N151" s="22" t="str" cm="1">
        <f t="array" ref="N151">_xlfn.IFS(G151=0,"No Discount", ROUND(G151*100,0)&lt;=4,"Low", ROUND(G151*100,0)&lt;=9,"Medium", ROUND(G151*100,0)&lt;=15,"High")</f>
        <v>Medium</v>
      </c>
      <c r="O151" s="22" t="str">
        <f>TEXT(Table1[[#This Row],[Order date]],"mmmm")</f>
        <v>December</v>
      </c>
    </row>
    <row r="152" spans="1:15" ht="13.5" x14ac:dyDescent="0.25">
      <c r="A152" s="1" t="str">
        <f>"ORD"&amp;"-"&amp;_xlfn.XLOOKUP(C152,Guide!$B$22:$B$26,Guide!$C$22:$C$26)&amp;"-"&amp;_xlfn.XLOOKUP(D152,Guide!$B$29:$B$33,Guide!$C$29:$C$33)&amp;"-"&amp;TEXT(H152,"yyyymmdd")</f>
        <v>ORD-CND-GOV-20131201</v>
      </c>
      <c r="B152" s="1" t="s">
        <v>195</v>
      </c>
      <c r="C152" s="1" t="s">
        <v>27</v>
      </c>
      <c r="D152" s="1" t="s">
        <v>39</v>
      </c>
      <c r="E152" s="1" t="s">
        <v>75</v>
      </c>
      <c r="F152" s="2">
        <v>1802</v>
      </c>
      <c r="G152" s="4">
        <v>0.05</v>
      </c>
      <c r="H152" s="3">
        <f t="shared" si="6"/>
        <v>41609</v>
      </c>
      <c r="I152" s="1">
        <f>_xlfn.XLOOKUP(E152,Product!$A$2:$A$7,Product!$C$2:$C$7)</f>
        <v>20</v>
      </c>
      <c r="J152" s="22">
        <f t="shared" si="7"/>
        <v>36040</v>
      </c>
      <c r="K152" s="22">
        <f t="shared" si="8"/>
        <v>34238</v>
      </c>
      <c r="L152" s="22">
        <f>K152-(_xlfn.XLOOKUP(E152,Product!$A$2:$A$7,Product!$B$2:$B$7)*F152)</f>
        <v>16218</v>
      </c>
      <c r="M152">
        <f>YEAR(Table1[[#This Row],[Order date]])</f>
        <v>2013</v>
      </c>
      <c r="N152" s="22" t="str" cm="1">
        <f t="array" ref="N152">_xlfn.IFS(G152=0,"No Discount", ROUND(G152*100,0)&lt;=4,"Low", ROUND(G152*100,0)&lt;=9,"Medium", ROUND(G152*100,0)&lt;=15,"High")</f>
        <v>Medium</v>
      </c>
      <c r="O152" s="22" t="str">
        <f>TEXT(Table1[[#This Row],[Order date]],"mmmm")</f>
        <v>December</v>
      </c>
    </row>
    <row r="153" spans="1:15" ht="13.5" x14ac:dyDescent="0.25">
      <c r="A153" s="1" t="str">
        <f>"ORD"&amp;"-"&amp;_xlfn.XLOOKUP(C153,Guide!$B$22:$B$26,Guide!$C$22:$C$26)&amp;"-"&amp;_xlfn.XLOOKUP(D153,Guide!$B$29:$B$33,Guide!$C$29:$C$33)&amp;"-"&amp;TEXT(H153,"yyyymmdd")</f>
        <v>ORD-GER-MDM-20131201</v>
      </c>
      <c r="B153" s="1" t="s">
        <v>196</v>
      </c>
      <c r="C153" s="1" t="s">
        <v>29</v>
      </c>
      <c r="D153" s="1" t="s">
        <v>41</v>
      </c>
      <c r="E153" s="1" t="s">
        <v>75</v>
      </c>
      <c r="F153" s="2">
        <v>2116</v>
      </c>
      <c r="G153" s="4">
        <v>0.05</v>
      </c>
      <c r="H153" s="3">
        <f t="shared" si="6"/>
        <v>41609</v>
      </c>
      <c r="I153" s="1">
        <f>_xlfn.XLOOKUP(E153,Product!$A$2:$A$7,Product!$C$2:$C$7)</f>
        <v>20</v>
      </c>
      <c r="J153" s="22">
        <f t="shared" si="7"/>
        <v>42320</v>
      </c>
      <c r="K153" s="22">
        <f t="shared" si="8"/>
        <v>40204</v>
      </c>
      <c r="L153" s="22">
        <f>K153-(_xlfn.XLOOKUP(E153,Product!$A$2:$A$7,Product!$B$2:$B$7)*F153)</f>
        <v>19044</v>
      </c>
      <c r="M153">
        <f>YEAR(Table1[[#This Row],[Order date]])</f>
        <v>2013</v>
      </c>
      <c r="N153" s="22" t="str" cm="1">
        <f t="array" ref="N153">_xlfn.IFS(G153=0,"No Discount", ROUND(G153*100,0)&lt;=4,"Low", ROUND(G153*100,0)&lt;=9,"Medium", ROUND(G153*100,0)&lt;=15,"High")</f>
        <v>Medium</v>
      </c>
      <c r="O153" s="22" t="str">
        <f>TEXT(Table1[[#This Row],[Order date]],"mmmm")</f>
        <v>December</v>
      </c>
    </row>
    <row r="154" spans="1:15" ht="13.5" x14ac:dyDescent="0.25">
      <c r="A154" s="1" t="str">
        <f>"ORD"&amp;"-"&amp;_xlfn.XLOOKUP(C154,Guide!$B$22:$B$26,Guide!$C$22:$C$26)&amp;"-"&amp;_xlfn.XLOOKUP(D154,Guide!$B$29:$B$33,Guide!$C$29:$C$33)&amp;"-"&amp;TEXT(H154,"yyyymmdd")</f>
        <v>ORD-FRA-GOV-20131201</v>
      </c>
      <c r="B154" s="1" t="s">
        <v>197</v>
      </c>
      <c r="C154" s="1" t="s">
        <v>31</v>
      </c>
      <c r="D154" s="1" t="s">
        <v>39</v>
      </c>
      <c r="E154" s="1" t="s">
        <v>75</v>
      </c>
      <c r="F154" s="2">
        <v>2136</v>
      </c>
      <c r="G154" s="4">
        <v>0.05</v>
      </c>
      <c r="H154" s="3">
        <f t="shared" si="6"/>
        <v>41609</v>
      </c>
      <c r="I154" s="1">
        <f>_xlfn.XLOOKUP(E154,Product!$A$2:$A$7,Product!$C$2:$C$7)</f>
        <v>20</v>
      </c>
      <c r="J154" s="22">
        <f t="shared" si="7"/>
        <v>42720</v>
      </c>
      <c r="K154" s="22">
        <f t="shared" si="8"/>
        <v>40584</v>
      </c>
      <c r="L154" s="22">
        <f>K154-(_xlfn.XLOOKUP(E154,Product!$A$2:$A$7,Product!$B$2:$B$7)*F154)</f>
        <v>19224</v>
      </c>
      <c r="M154">
        <f>YEAR(Table1[[#This Row],[Order date]])</f>
        <v>2013</v>
      </c>
      <c r="N154" s="22" t="str" cm="1">
        <f t="array" ref="N154">_xlfn.IFS(G154=0,"No Discount", ROUND(G154*100,0)&lt;=4,"Low", ROUND(G154*100,0)&lt;=9,"Medium", ROUND(G154*100,0)&lt;=15,"High")</f>
        <v>Medium</v>
      </c>
      <c r="O154" s="22" t="str">
        <f>TEXT(Table1[[#This Row],[Order date]],"mmmm")</f>
        <v>December</v>
      </c>
    </row>
    <row r="155" spans="1:15" ht="13.5" x14ac:dyDescent="0.25">
      <c r="A155" s="1" t="str">
        <f>"ORD"&amp;"-"&amp;_xlfn.XLOOKUP(C155,Guide!$B$22:$B$26,Guide!$C$22:$C$26)&amp;"-"&amp;_xlfn.XLOOKUP(D155,Guide!$B$29:$B$33,Guide!$C$29:$C$33)&amp;"-"&amp;TEXT(H155,"yyyymmdd")</f>
        <v>ORD-FRA-GOV-20131201</v>
      </c>
      <c r="B155" s="1" t="s">
        <v>198</v>
      </c>
      <c r="C155" s="1" t="s">
        <v>31</v>
      </c>
      <c r="D155" s="1" t="s">
        <v>39</v>
      </c>
      <c r="E155" s="1" t="s">
        <v>88</v>
      </c>
      <c r="F155" s="2">
        <v>1033</v>
      </c>
      <c r="G155" s="4">
        <v>0.05</v>
      </c>
      <c r="H155" s="3">
        <f t="shared" si="6"/>
        <v>41609</v>
      </c>
      <c r="I155" s="1">
        <f>_xlfn.XLOOKUP(E155,Product!$A$2:$A$7,Product!$C$2:$C$7)</f>
        <v>180</v>
      </c>
      <c r="J155" s="22">
        <f t="shared" si="7"/>
        <v>185940</v>
      </c>
      <c r="K155" s="22">
        <f t="shared" si="8"/>
        <v>176643</v>
      </c>
      <c r="L155" s="22">
        <f>K155-(_xlfn.XLOOKUP(E155,Product!$A$2:$A$7,Product!$B$2:$B$7)*F155)</f>
        <v>52683</v>
      </c>
      <c r="M155">
        <f>YEAR(Table1[[#This Row],[Order date]])</f>
        <v>2013</v>
      </c>
      <c r="N155" s="22" t="str" cm="1">
        <f t="array" ref="N155">_xlfn.IFS(G155=0,"No Discount", ROUND(G155*100,0)&lt;=4,"Low", ROUND(G155*100,0)&lt;=9,"Medium", ROUND(G155*100,0)&lt;=15,"High")</f>
        <v>Medium</v>
      </c>
      <c r="O155" s="22" t="str">
        <f>TEXT(Table1[[#This Row],[Order date]],"mmmm")</f>
        <v>December</v>
      </c>
    </row>
    <row r="156" spans="1:15" ht="13.5" x14ac:dyDescent="0.25">
      <c r="A156" s="1" t="str">
        <f>"ORD"&amp;"-"&amp;_xlfn.XLOOKUP(C156,Guide!$B$22:$B$26,Guide!$C$22:$C$26)&amp;"-"&amp;_xlfn.XLOOKUP(D156,Guide!$B$29:$B$33,Guide!$C$29:$C$33)&amp;"-"&amp;TEXT(H156,"yyyymmdd")</f>
        <v>ORD-GER-ENT-20131201</v>
      </c>
      <c r="B156" s="1" t="s">
        <v>199</v>
      </c>
      <c r="C156" s="1" t="s">
        <v>29</v>
      </c>
      <c r="D156" s="1" t="s">
        <v>45</v>
      </c>
      <c r="E156" s="1" t="s">
        <v>80</v>
      </c>
      <c r="F156" s="2">
        <v>887</v>
      </c>
      <c r="G156" s="4">
        <v>0.06</v>
      </c>
      <c r="H156" s="3">
        <f t="shared" si="6"/>
        <v>41609</v>
      </c>
      <c r="I156" s="1">
        <f>_xlfn.XLOOKUP(E156,Product!$A$2:$A$7,Product!$C$2:$C$7)</f>
        <v>20</v>
      </c>
      <c r="J156" s="22">
        <f t="shared" si="7"/>
        <v>17740</v>
      </c>
      <c r="K156" s="22">
        <f t="shared" si="8"/>
        <v>16675.599999999999</v>
      </c>
      <c r="L156" s="22">
        <f>K156-(_xlfn.XLOOKUP(E156,Product!$A$2:$A$7,Product!$B$2:$B$7)*F156)</f>
        <v>14014.599999999999</v>
      </c>
      <c r="M156">
        <f>YEAR(Table1[[#This Row],[Order date]])</f>
        <v>2013</v>
      </c>
      <c r="N156" s="22" t="str" cm="1">
        <f t="array" ref="N156">_xlfn.IFS(G156=0,"No Discount", ROUND(G156*100,0)&lt;=4,"Low", ROUND(G156*100,0)&lt;=9,"Medium", ROUND(G156*100,0)&lt;=15,"High")</f>
        <v>Medium</v>
      </c>
      <c r="O156" s="22" t="str">
        <f>TEXT(Table1[[#This Row],[Order date]],"mmmm")</f>
        <v>December</v>
      </c>
    </row>
    <row r="157" spans="1:15" ht="13.5" x14ac:dyDescent="0.25">
      <c r="A157" s="1" t="str">
        <f>"ORD"&amp;"-"&amp;_xlfn.XLOOKUP(C157,Guide!$B$22:$B$26,Guide!$C$22:$C$26)&amp;"-"&amp;_xlfn.XLOOKUP(D157,Guide!$B$29:$B$33,Guide!$C$29:$C$33)&amp;"-"&amp;TEXT(H157,"yyyymmdd")</f>
        <v>ORD-CND-SMB-20131201</v>
      </c>
      <c r="B157" s="1" t="s">
        <v>200</v>
      </c>
      <c r="C157" s="1" t="s">
        <v>27</v>
      </c>
      <c r="D157" s="1" t="s">
        <v>47</v>
      </c>
      <c r="E157" s="1" t="s">
        <v>78</v>
      </c>
      <c r="F157" s="2">
        <v>2436</v>
      </c>
      <c r="G157" s="4">
        <v>0.06</v>
      </c>
      <c r="H157" s="3">
        <f t="shared" si="6"/>
        <v>41609</v>
      </c>
      <c r="I157" s="1">
        <f>_xlfn.XLOOKUP(E157,Product!$A$2:$A$7,Product!$C$2:$C$7)</f>
        <v>300</v>
      </c>
      <c r="J157" s="22">
        <f t="shared" si="7"/>
        <v>730800</v>
      </c>
      <c r="K157" s="22">
        <f t="shared" si="8"/>
        <v>686952</v>
      </c>
      <c r="L157" s="22">
        <f>K157-(_xlfn.XLOOKUP(E157,Product!$A$2:$A$7,Product!$B$2:$B$7)*F157)</f>
        <v>77952</v>
      </c>
      <c r="M157">
        <f>YEAR(Table1[[#This Row],[Order date]])</f>
        <v>2013</v>
      </c>
      <c r="N157" s="22" t="str" cm="1">
        <f t="array" ref="N157">_xlfn.IFS(G157=0,"No Discount", ROUND(G157*100,0)&lt;=4,"Low", ROUND(G157*100,0)&lt;=9,"Medium", ROUND(G157*100,0)&lt;=15,"High")</f>
        <v>Medium</v>
      </c>
      <c r="O157" s="22" t="str">
        <f>TEXT(Table1[[#This Row],[Order date]],"mmmm")</f>
        <v>December</v>
      </c>
    </row>
    <row r="158" spans="1:15" ht="13.5" x14ac:dyDescent="0.25">
      <c r="A158" s="1" t="str">
        <f>"ORD"&amp;"-"&amp;_xlfn.XLOOKUP(C158,Guide!$B$22:$B$26,Guide!$C$22:$C$26)&amp;"-"&amp;_xlfn.XLOOKUP(D158,Guide!$B$29:$B$33,Guide!$C$29:$C$33)&amp;"-"&amp;TEXT(H158,"yyyymmdd")</f>
        <v>ORD-GER-GOV-20131201</v>
      </c>
      <c r="B158" s="1" t="s">
        <v>201</v>
      </c>
      <c r="C158" s="1" t="s">
        <v>29</v>
      </c>
      <c r="D158" s="1" t="s">
        <v>39</v>
      </c>
      <c r="E158" s="1" t="s">
        <v>75</v>
      </c>
      <c r="F158" s="2">
        <v>2125</v>
      </c>
      <c r="G158" s="4">
        <v>7.0000000000000007E-2</v>
      </c>
      <c r="H158" s="3">
        <f t="shared" si="6"/>
        <v>41609</v>
      </c>
      <c r="I158" s="1">
        <f>_xlfn.XLOOKUP(E158,Product!$A$2:$A$7,Product!$C$2:$C$7)</f>
        <v>20</v>
      </c>
      <c r="J158" s="22">
        <f t="shared" si="7"/>
        <v>42500</v>
      </c>
      <c r="K158" s="22">
        <f t="shared" si="8"/>
        <v>39525</v>
      </c>
      <c r="L158" s="22">
        <f>K158-(_xlfn.XLOOKUP(E158,Product!$A$2:$A$7,Product!$B$2:$B$7)*F158)</f>
        <v>18275</v>
      </c>
      <c r="M158">
        <f>YEAR(Table1[[#This Row],[Order date]])</f>
        <v>2013</v>
      </c>
      <c r="N158" s="22" t="str" cm="1">
        <f t="array" ref="N158">_xlfn.IFS(G158=0,"No Discount", ROUND(G158*100,0)&lt;=4,"Low", ROUND(G158*100,0)&lt;=9,"Medium", ROUND(G158*100,0)&lt;=15,"High")</f>
        <v>Medium</v>
      </c>
      <c r="O158" s="22" t="str">
        <f>TEXT(Table1[[#This Row],[Order date]],"mmmm")</f>
        <v>December</v>
      </c>
    </row>
    <row r="159" spans="1:15" ht="13.5" x14ac:dyDescent="0.25">
      <c r="A159" s="1" t="str">
        <f>"ORD"&amp;"-"&amp;_xlfn.XLOOKUP(C159,Guide!$B$22:$B$26,Guide!$C$22:$C$26)&amp;"-"&amp;_xlfn.XLOOKUP(D159,Guide!$B$29:$B$33,Guide!$C$29:$C$33)&amp;"-"&amp;TEXT(H159,"yyyymmdd")</f>
        <v>ORD-GER-GOV-20131201</v>
      </c>
      <c r="B159" s="1" t="s">
        <v>202</v>
      </c>
      <c r="C159" s="1" t="s">
        <v>29</v>
      </c>
      <c r="D159" s="1" t="s">
        <v>39</v>
      </c>
      <c r="E159" s="1" t="s">
        <v>88</v>
      </c>
      <c r="F159" s="2">
        <v>588</v>
      </c>
      <c r="G159" s="4">
        <v>7.0000000000000007E-2</v>
      </c>
      <c r="H159" s="3">
        <f t="shared" si="6"/>
        <v>41609</v>
      </c>
      <c r="I159" s="1">
        <f>_xlfn.XLOOKUP(E159,Product!$A$2:$A$7,Product!$C$2:$C$7)</f>
        <v>180</v>
      </c>
      <c r="J159" s="22">
        <f t="shared" si="7"/>
        <v>105840</v>
      </c>
      <c r="K159" s="22">
        <f t="shared" si="8"/>
        <v>98431.2</v>
      </c>
      <c r="L159" s="22">
        <f>K159-(_xlfn.XLOOKUP(E159,Product!$A$2:$A$7,Product!$B$2:$B$7)*F159)</f>
        <v>27871.199999999997</v>
      </c>
      <c r="M159">
        <f>YEAR(Table1[[#This Row],[Order date]])</f>
        <v>2013</v>
      </c>
      <c r="N159" s="22" t="str" cm="1">
        <f t="array" ref="N159">_xlfn.IFS(G159=0,"No Discount", ROUND(G159*100,0)&lt;=4,"Low", ROUND(G159*100,0)&lt;=9,"Medium", ROUND(G159*100,0)&lt;=15,"High")</f>
        <v>Medium</v>
      </c>
      <c r="O159" s="22" t="str">
        <f>TEXT(Table1[[#This Row],[Order date]],"mmmm")</f>
        <v>December</v>
      </c>
    </row>
    <row r="160" spans="1:15" ht="13.5" x14ac:dyDescent="0.25">
      <c r="A160" s="1" t="str">
        <f>"ORD"&amp;"-"&amp;_xlfn.XLOOKUP(C160,Guide!$B$22:$B$26,Guide!$C$22:$C$26)&amp;"-"&amp;_xlfn.XLOOKUP(D160,Guide!$B$29:$B$33,Guide!$C$29:$C$33)&amp;"-"&amp;TEXT(H160,"yyyymmdd")</f>
        <v>ORD-USA-GOV-20131201</v>
      </c>
      <c r="B160" s="1" t="s">
        <v>203</v>
      </c>
      <c r="C160" s="1" t="s">
        <v>35</v>
      </c>
      <c r="D160" s="1" t="s">
        <v>39</v>
      </c>
      <c r="E160" s="1" t="s">
        <v>88</v>
      </c>
      <c r="F160" s="2">
        <v>1421</v>
      </c>
      <c r="G160" s="4">
        <v>7.0000000000000007E-2</v>
      </c>
      <c r="H160" s="3">
        <f t="shared" si="6"/>
        <v>41609</v>
      </c>
      <c r="I160" s="1">
        <f>_xlfn.XLOOKUP(E160,Product!$A$2:$A$7,Product!$C$2:$C$7)</f>
        <v>180</v>
      </c>
      <c r="J160" s="22">
        <f t="shared" si="7"/>
        <v>255780</v>
      </c>
      <c r="K160" s="22">
        <f t="shared" si="8"/>
        <v>237875.4</v>
      </c>
      <c r="L160" s="22">
        <f>K160-(_xlfn.XLOOKUP(E160,Product!$A$2:$A$7,Product!$B$2:$B$7)*F160)</f>
        <v>67355.399999999994</v>
      </c>
      <c r="M160">
        <f>YEAR(Table1[[#This Row],[Order date]])</f>
        <v>2013</v>
      </c>
      <c r="N160" s="22" t="str" cm="1">
        <f t="array" ref="N160">_xlfn.IFS(G160=0,"No Discount", ROUND(G160*100,0)&lt;=4,"Low", ROUND(G160*100,0)&lt;=9,"Medium", ROUND(G160*100,0)&lt;=15,"High")</f>
        <v>Medium</v>
      </c>
      <c r="O160" s="22" t="str">
        <f>TEXT(Table1[[#This Row],[Order date]],"mmmm")</f>
        <v>December</v>
      </c>
    </row>
    <row r="161" spans="1:15" ht="13.5" x14ac:dyDescent="0.25">
      <c r="A161" s="1" t="str">
        <f>"ORD"&amp;"-"&amp;_xlfn.XLOOKUP(C161,Guide!$B$22:$B$26,Guide!$C$22:$C$26)&amp;"-"&amp;_xlfn.XLOOKUP(D161,Guide!$B$29:$B$33,Guide!$C$29:$C$33)&amp;"-"&amp;TEXT(H161,"yyyymmdd")</f>
        <v>ORD-MXC-GOV-20131201</v>
      </c>
      <c r="B161" s="1" t="s">
        <v>204</v>
      </c>
      <c r="C161" s="1" t="s">
        <v>33</v>
      </c>
      <c r="D161" s="1" t="s">
        <v>39</v>
      </c>
      <c r="E161" s="1" t="s">
        <v>75</v>
      </c>
      <c r="F161" s="2">
        <v>1946</v>
      </c>
      <c r="G161" s="4">
        <v>0.08</v>
      </c>
      <c r="H161" s="3">
        <f t="shared" si="6"/>
        <v>41609</v>
      </c>
      <c r="I161" s="1">
        <f>_xlfn.XLOOKUP(E161,Product!$A$2:$A$7,Product!$C$2:$C$7)</f>
        <v>20</v>
      </c>
      <c r="J161" s="22">
        <f t="shared" si="7"/>
        <v>38920</v>
      </c>
      <c r="K161" s="22">
        <f t="shared" si="8"/>
        <v>35806.400000000001</v>
      </c>
      <c r="L161" s="22">
        <f>K161-(_xlfn.XLOOKUP(E161,Product!$A$2:$A$7,Product!$B$2:$B$7)*F161)</f>
        <v>16346.400000000001</v>
      </c>
      <c r="M161">
        <f>YEAR(Table1[[#This Row],[Order date]])</f>
        <v>2013</v>
      </c>
      <c r="N161" s="22" t="str" cm="1">
        <f t="array" ref="N161">_xlfn.IFS(G161=0,"No Discount", ROUND(G161*100,0)&lt;=4,"Low", ROUND(G161*100,0)&lt;=9,"Medium", ROUND(G161*100,0)&lt;=15,"High")</f>
        <v>Medium</v>
      </c>
      <c r="O161" s="22" t="str">
        <f>TEXT(Table1[[#This Row],[Order date]],"mmmm")</f>
        <v>December</v>
      </c>
    </row>
    <row r="162" spans="1:15" ht="13.5" x14ac:dyDescent="0.25">
      <c r="A162" s="1" t="str">
        <f>"ORD"&amp;"-"&amp;_xlfn.XLOOKUP(C162,Guide!$B$22:$B$26,Guide!$C$22:$C$26)&amp;"-"&amp;_xlfn.XLOOKUP(D162,Guide!$B$29:$B$33,Guide!$C$29:$C$33)&amp;"-"&amp;TEXT(H162,"yyyymmdd")</f>
        <v>ORD-USA-SMB-20131201</v>
      </c>
      <c r="B162" s="1" t="s">
        <v>205</v>
      </c>
      <c r="C162" s="1" t="s">
        <v>35</v>
      </c>
      <c r="D162" s="1" t="s">
        <v>47</v>
      </c>
      <c r="E162" s="1" t="s">
        <v>78</v>
      </c>
      <c r="F162" s="2">
        <v>808</v>
      </c>
      <c r="G162" s="4">
        <v>0.08</v>
      </c>
      <c r="H162" s="3">
        <f t="shared" si="6"/>
        <v>41609</v>
      </c>
      <c r="I162" s="1">
        <f>_xlfn.XLOOKUP(E162,Product!$A$2:$A$7,Product!$C$2:$C$7)</f>
        <v>300</v>
      </c>
      <c r="J162" s="22">
        <f t="shared" si="7"/>
        <v>242400</v>
      </c>
      <c r="K162" s="22">
        <f t="shared" si="8"/>
        <v>223008</v>
      </c>
      <c r="L162" s="22">
        <f>K162-(_xlfn.XLOOKUP(E162,Product!$A$2:$A$7,Product!$B$2:$B$7)*F162)</f>
        <v>21008</v>
      </c>
      <c r="M162">
        <f>YEAR(Table1[[#This Row],[Order date]])</f>
        <v>2013</v>
      </c>
      <c r="N162" s="22" t="str" cm="1">
        <f t="array" ref="N162">_xlfn.IFS(G162=0,"No Discount", ROUND(G162*100,0)&lt;=4,"Low", ROUND(G162*100,0)&lt;=9,"Medium", ROUND(G162*100,0)&lt;=15,"High")</f>
        <v>Medium</v>
      </c>
      <c r="O162" s="22" t="str">
        <f>TEXT(Table1[[#This Row],[Order date]],"mmmm")</f>
        <v>December</v>
      </c>
    </row>
    <row r="163" spans="1:15" ht="13.5" x14ac:dyDescent="0.25">
      <c r="A163" s="1" t="str">
        <f>"ORD"&amp;"-"&amp;_xlfn.XLOOKUP(C163,Guide!$B$22:$B$26,Guide!$C$22:$C$26)&amp;"-"&amp;_xlfn.XLOOKUP(D163,Guide!$B$29:$B$33,Guide!$C$29:$C$33)&amp;"-"&amp;TEXT(H163,"yyyymmdd")</f>
        <v>ORD-MXC-CPR-20131201</v>
      </c>
      <c r="B163" s="1" t="s">
        <v>206</v>
      </c>
      <c r="C163" s="1" t="s">
        <v>33</v>
      </c>
      <c r="D163" s="1" t="s">
        <v>43</v>
      </c>
      <c r="E163" s="1" t="s">
        <v>84</v>
      </c>
      <c r="F163" s="2">
        <v>1375</v>
      </c>
      <c r="G163" s="4">
        <v>0.08</v>
      </c>
      <c r="H163" s="3">
        <f t="shared" si="6"/>
        <v>41609</v>
      </c>
      <c r="I163" s="1">
        <f>_xlfn.XLOOKUP(E163,Product!$A$2:$A$7,Product!$C$2:$C$7)</f>
        <v>350</v>
      </c>
      <c r="J163" s="22">
        <f t="shared" si="7"/>
        <v>481250</v>
      </c>
      <c r="K163" s="22">
        <f t="shared" si="8"/>
        <v>442750</v>
      </c>
      <c r="L163" s="22">
        <f>K163-(_xlfn.XLOOKUP(E163,Product!$A$2:$A$7,Product!$B$2:$B$7)*F163)</f>
        <v>167750</v>
      </c>
      <c r="M163">
        <f>YEAR(Table1[[#This Row],[Order date]])</f>
        <v>2013</v>
      </c>
      <c r="N163" s="22" t="str" cm="1">
        <f t="array" ref="N163">_xlfn.IFS(G163=0,"No Discount", ROUND(G163*100,0)&lt;=4,"Low", ROUND(G163*100,0)&lt;=9,"Medium", ROUND(G163*100,0)&lt;=15,"High")</f>
        <v>Medium</v>
      </c>
      <c r="O163" s="22" t="str">
        <f>TEXT(Table1[[#This Row],[Order date]],"mmmm")</f>
        <v>December</v>
      </c>
    </row>
    <row r="164" spans="1:15" ht="13.5" x14ac:dyDescent="0.25">
      <c r="A164" s="1" t="str">
        <f>"ORD"&amp;"-"&amp;_xlfn.XLOOKUP(C164,Guide!$B$22:$B$26,Guide!$C$22:$C$26)&amp;"-"&amp;_xlfn.XLOOKUP(D164,Guide!$B$29:$B$33,Guide!$C$29:$C$33)&amp;"-"&amp;TEXT(H164,"yyyymmdd")</f>
        <v>ORD-GER-SMB-20131201</v>
      </c>
      <c r="B164" s="1" t="s">
        <v>207</v>
      </c>
      <c r="C164" s="1" t="s">
        <v>29</v>
      </c>
      <c r="D164" s="1" t="s">
        <v>47</v>
      </c>
      <c r="E164" s="1" t="s">
        <v>82</v>
      </c>
      <c r="F164" s="2">
        <v>334</v>
      </c>
      <c r="G164" s="4">
        <v>0.09</v>
      </c>
      <c r="H164" s="3">
        <f t="shared" si="6"/>
        <v>41609</v>
      </c>
      <c r="I164" s="1">
        <f>_xlfn.XLOOKUP(E164,Product!$A$2:$A$7,Product!$C$2:$C$7)</f>
        <v>15</v>
      </c>
      <c r="J164" s="22">
        <f t="shared" si="7"/>
        <v>5010</v>
      </c>
      <c r="K164" s="22">
        <f t="shared" si="8"/>
        <v>4559.1000000000004</v>
      </c>
      <c r="L164" s="22">
        <f>K164-(_xlfn.XLOOKUP(E164,Product!$A$2:$A$7,Product!$B$2:$B$7)*F164)</f>
        <v>2889.1000000000004</v>
      </c>
      <c r="M164">
        <f>YEAR(Table1[[#This Row],[Order date]])</f>
        <v>2013</v>
      </c>
      <c r="N164" s="22" t="str" cm="1">
        <f t="array" ref="N164">_xlfn.IFS(G164=0,"No Discount", ROUND(G164*100,0)&lt;=4,"Low", ROUND(G164*100,0)&lt;=9,"Medium", ROUND(G164*100,0)&lt;=15,"High")</f>
        <v>Medium</v>
      </c>
      <c r="O164" s="22" t="str">
        <f>TEXT(Table1[[#This Row],[Order date]],"mmmm")</f>
        <v>December</v>
      </c>
    </row>
    <row r="165" spans="1:15" ht="13.5" x14ac:dyDescent="0.25">
      <c r="A165" s="1" t="str">
        <f>"ORD"&amp;"-"&amp;_xlfn.XLOOKUP(C165,Guide!$B$22:$B$26,Guide!$C$22:$C$26)&amp;"-"&amp;_xlfn.XLOOKUP(D165,Guide!$B$29:$B$33,Guide!$C$29:$C$33)&amp;"-"&amp;TEXT(H165,"yyyymmdd")</f>
        <v>ORD-CND-GOV-20131201</v>
      </c>
      <c r="B165" s="1" t="s">
        <v>208</v>
      </c>
      <c r="C165" s="1" t="s">
        <v>27</v>
      </c>
      <c r="D165" s="1" t="s">
        <v>39</v>
      </c>
      <c r="E165" s="1" t="s">
        <v>82</v>
      </c>
      <c r="F165" s="2">
        <v>1611</v>
      </c>
      <c r="G165" s="4">
        <v>0.09</v>
      </c>
      <c r="H165" s="3">
        <f t="shared" si="6"/>
        <v>41609</v>
      </c>
      <c r="I165" s="1">
        <f>_xlfn.XLOOKUP(E165,Product!$A$2:$A$7,Product!$C$2:$C$7)</f>
        <v>15</v>
      </c>
      <c r="J165" s="22">
        <f t="shared" si="7"/>
        <v>24165</v>
      </c>
      <c r="K165" s="22">
        <f t="shared" si="8"/>
        <v>21990.15</v>
      </c>
      <c r="L165" s="22">
        <f>K165-(_xlfn.XLOOKUP(E165,Product!$A$2:$A$7,Product!$B$2:$B$7)*F165)</f>
        <v>13935.150000000001</v>
      </c>
      <c r="M165">
        <f>YEAR(Table1[[#This Row],[Order date]])</f>
        <v>2013</v>
      </c>
      <c r="N165" s="22" t="str" cm="1">
        <f t="array" ref="N165">_xlfn.IFS(G165=0,"No Discount", ROUND(G165*100,0)&lt;=4,"Low", ROUND(G165*100,0)&lt;=9,"Medium", ROUND(G165*100,0)&lt;=15,"High")</f>
        <v>Medium</v>
      </c>
      <c r="O165" s="22" t="str">
        <f>TEXT(Table1[[#This Row],[Order date]],"mmmm")</f>
        <v>December</v>
      </c>
    </row>
    <row r="166" spans="1:15" ht="13.5" x14ac:dyDescent="0.25">
      <c r="A166" s="1" t="str">
        <f>"ORD"&amp;"-"&amp;_xlfn.XLOOKUP(C166,Guide!$B$22:$B$26,Guide!$C$22:$C$26)&amp;"-"&amp;_xlfn.XLOOKUP(D166,Guide!$B$29:$B$33,Guide!$C$29:$C$33)&amp;"-"&amp;TEXT(H166,"yyyymmdd")</f>
        <v>ORD-FRA-CPR-20131201</v>
      </c>
      <c r="B166" s="1" t="s">
        <v>209</v>
      </c>
      <c r="C166" s="1" t="s">
        <v>31</v>
      </c>
      <c r="D166" s="1" t="s">
        <v>43</v>
      </c>
      <c r="E166" s="1" t="s">
        <v>84</v>
      </c>
      <c r="F166" s="2">
        <v>306</v>
      </c>
      <c r="G166" s="4">
        <v>9.0000000000000011E-2</v>
      </c>
      <c r="H166" s="3">
        <f t="shared" si="6"/>
        <v>41609</v>
      </c>
      <c r="I166" s="1">
        <f>_xlfn.XLOOKUP(E166,Product!$A$2:$A$7,Product!$C$2:$C$7)</f>
        <v>350</v>
      </c>
      <c r="J166" s="22">
        <f t="shared" si="7"/>
        <v>107100</v>
      </c>
      <c r="K166" s="22">
        <f t="shared" si="8"/>
        <v>97461</v>
      </c>
      <c r="L166" s="22">
        <f>K166-(_xlfn.XLOOKUP(E166,Product!$A$2:$A$7,Product!$B$2:$B$7)*F166)</f>
        <v>36261</v>
      </c>
      <c r="M166">
        <f>YEAR(Table1[[#This Row],[Order date]])</f>
        <v>2013</v>
      </c>
      <c r="N166" s="22" t="str" cm="1">
        <f t="array" ref="N166">_xlfn.IFS(G166=0,"No Discount", ROUND(G166*100,0)&lt;=4,"Low", ROUND(G166*100,0)&lt;=9,"Medium", ROUND(G166*100,0)&lt;=15,"High")</f>
        <v>Medium</v>
      </c>
      <c r="O166" s="22" t="str">
        <f>TEXT(Table1[[#This Row],[Order date]],"mmmm")</f>
        <v>December</v>
      </c>
    </row>
    <row r="167" spans="1:15" ht="13.5" x14ac:dyDescent="0.25">
      <c r="A167" s="1" t="str">
        <f>"ORD"&amp;"-"&amp;_xlfn.XLOOKUP(C167,Guide!$B$22:$B$26,Guide!$C$22:$C$26)&amp;"-"&amp;_xlfn.XLOOKUP(D167,Guide!$B$29:$B$33,Guide!$C$29:$C$33)&amp;"-"&amp;TEXT(H167,"yyyymmdd")</f>
        <v>ORD-FRA-ENT-20131201</v>
      </c>
      <c r="B167" s="1" t="s">
        <v>210</v>
      </c>
      <c r="C167" s="1" t="s">
        <v>31</v>
      </c>
      <c r="D167" s="1" t="s">
        <v>45</v>
      </c>
      <c r="E167" s="1" t="s">
        <v>80</v>
      </c>
      <c r="F167" s="2">
        <v>1482</v>
      </c>
      <c r="G167" s="4">
        <v>0.1</v>
      </c>
      <c r="H167" s="3">
        <f t="shared" si="6"/>
        <v>41609</v>
      </c>
      <c r="I167" s="1">
        <f>_xlfn.XLOOKUP(E167,Product!$A$2:$A$7,Product!$C$2:$C$7)</f>
        <v>20</v>
      </c>
      <c r="J167" s="22">
        <f t="shared" si="7"/>
        <v>29640</v>
      </c>
      <c r="K167" s="22">
        <f t="shared" si="8"/>
        <v>26676</v>
      </c>
      <c r="L167" s="22">
        <f>K167-(_xlfn.XLOOKUP(E167,Product!$A$2:$A$7,Product!$B$2:$B$7)*F167)</f>
        <v>22230</v>
      </c>
      <c r="M167">
        <f>YEAR(Table1[[#This Row],[Order date]])</f>
        <v>2013</v>
      </c>
      <c r="N167" s="22" t="str" cm="1">
        <f t="array" ref="N167">_xlfn.IFS(G167=0,"No Discount", ROUND(G167*100,0)&lt;=4,"Low", ROUND(G167*100,0)&lt;=9,"Medium", ROUND(G167*100,0)&lt;=15,"High")</f>
        <v>High</v>
      </c>
      <c r="O167" s="22" t="str">
        <f>TEXT(Table1[[#This Row],[Order date]],"mmmm")</f>
        <v>December</v>
      </c>
    </row>
    <row r="168" spans="1:15" ht="13.5" x14ac:dyDescent="0.25">
      <c r="A168" s="1" t="str">
        <f>"ORD"&amp;"-"&amp;_xlfn.XLOOKUP(C168,Guide!$B$22:$B$26,Guide!$C$22:$C$26)&amp;"-"&amp;_xlfn.XLOOKUP(D168,Guide!$B$29:$B$33,Guide!$C$29:$C$33)&amp;"-"&amp;TEXT(H168,"yyyymmdd")</f>
        <v>ORD-GER-GOV-20131201</v>
      </c>
      <c r="B168" s="1" t="s">
        <v>211</v>
      </c>
      <c r="C168" s="1" t="s">
        <v>29</v>
      </c>
      <c r="D168" s="1" t="s">
        <v>39</v>
      </c>
      <c r="E168" s="1" t="s">
        <v>78</v>
      </c>
      <c r="F168" s="2">
        <v>1870</v>
      </c>
      <c r="G168" s="4">
        <v>0.1</v>
      </c>
      <c r="H168" s="3">
        <f t="shared" si="6"/>
        <v>41609</v>
      </c>
      <c r="I168" s="1">
        <f>_xlfn.XLOOKUP(E168,Product!$A$2:$A$7,Product!$C$2:$C$7)</f>
        <v>300</v>
      </c>
      <c r="J168" s="22">
        <f t="shared" si="7"/>
        <v>561000</v>
      </c>
      <c r="K168" s="22">
        <f t="shared" si="8"/>
        <v>504900</v>
      </c>
      <c r="L168" s="22">
        <f>K168-(_xlfn.XLOOKUP(E168,Product!$A$2:$A$7,Product!$B$2:$B$7)*F168)</f>
        <v>37400</v>
      </c>
      <c r="M168">
        <f>YEAR(Table1[[#This Row],[Order date]])</f>
        <v>2013</v>
      </c>
      <c r="N168" s="22" t="str" cm="1">
        <f t="array" ref="N168">_xlfn.IFS(G168=0,"No Discount", ROUND(G168*100,0)&lt;=4,"Low", ROUND(G168*100,0)&lt;=9,"Medium", ROUND(G168*100,0)&lt;=15,"High")</f>
        <v>High</v>
      </c>
      <c r="O168" s="22" t="str">
        <f>TEXT(Table1[[#This Row],[Order date]],"mmmm")</f>
        <v>December</v>
      </c>
    </row>
    <row r="169" spans="1:15" ht="13.5" x14ac:dyDescent="0.25">
      <c r="A169" s="1" t="str">
        <f>"ORD"&amp;"-"&amp;_xlfn.XLOOKUP(C169,Guide!$B$22:$B$26,Guide!$C$22:$C$26)&amp;"-"&amp;_xlfn.XLOOKUP(D169,Guide!$B$29:$B$33,Guide!$C$29:$C$33)&amp;"-"&amp;TEXT(H169,"yyyymmdd")</f>
        <v>ORD-CND-ENT-20131201</v>
      </c>
      <c r="B169" s="1" t="s">
        <v>212</v>
      </c>
      <c r="C169" s="1" t="s">
        <v>27</v>
      </c>
      <c r="D169" s="1" t="s">
        <v>45</v>
      </c>
      <c r="E169" s="1" t="s">
        <v>88</v>
      </c>
      <c r="F169" s="2">
        <v>1916</v>
      </c>
      <c r="G169" s="4">
        <v>0.1</v>
      </c>
      <c r="H169" s="3">
        <f t="shared" si="6"/>
        <v>41609</v>
      </c>
      <c r="I169" s="1">
        <f>_xlfn.XLOOKUP(E169,Product!$A$2:$A$7,Product!$C$2:$C$7)</f>
        <v>180</v>
      </c>
      <c r="J169" s="22">
        <f t="shared" si="7"/>
        <v>344880</v>
      </c>
      <c r="K169" s="22">
        <f t="shared" si="8"/>
        <v>310392</v>
      </c>
      <c r="L169" s="22">
        <f>K169-(_xlfn.XLOOKUP(E169,Product!$A$2:$A$7,Product!$B$2:$B$7)*F169)</f>
        <v>80472</v>
      </c>
      <c r="M169">
        <f>YEAR(Table1[[#This Row],[Order date]])</f>
        <v>2013</v>
      </c>
      <c r="N169" s="22" t="str" cm="1">
        <f t="array" ref="N169">_xlfn.IFS(G169=0,"No Discount", ROUND(G169*100,0)&lt;=4,"Low", ROUND(G169*100,0)&lt;=9,"Medium", ROUND(G169*100,0)&lt;=15,"High")</f>
        <v>High</v>
      </c>
      <c r="O169" s="22" t="str">
        <f>TEXT(Table1[[#This Row],[Order date]],"mmmm")</f>
        <v>December</v>
      </c>
    </row>
    <row r="170" spans="1:15" ht="13.5" x14ac:dyDescent="0.25">
      <c r="A170" s="1" t="str">
        <f>"ORD"&amp;"-"&amp;_xlfn.XLOOKUP(C170,Guide!$B$22:$B$26,Guide!$C$22:$C$26)&amp;"-"&amp;_xlfn.XLOOKUP(D170,Guide!$B$29:$B$33,Guide!$C$29:$C$33)&amp;"-"&amp;TEXT(H170,"yyyymmdd")</f>
        <v>ORD-MXC-MDM-20131201</v>
      </c>
      <c r="B170" s="1" t="s">
        <v>213</v>
      </c>
      <c r="C170" s="1" t="s">
        <v>33</v>
      </c>
      <c r="D170" s="1" t="s">
        <v>41</v>
      </c>
      <c r="E170" s="1" t="s">
        <v>75</v>
      </c>
      <c r="F170" s="2">
        <v>380</v>
      </c>
      <c r="G170" s="4">
        <v>0.12</v>
      </c>
      <c r="H170" s="3">
        <f t="shared" si="6"/>
        <v>41609</v>
      </c>
      <c r="I170" s="1">
        <f>_xlfn.XLOOKUP(E170,Product!$A$2:$A$7,Product!$C$2:$C$7)</f>
        <v>20</v>
      </c>
      <c r="J170" s="22">
        <f t="shared" si="7"/>
        <v>7600</v>
      </c>
      <c r="K170" s="22">
        <f t="shared" si="8"/>
        <v>6688</v>
      </c>
      <c r="L170" s="22">
        <f>K170-(_xlfn.XLOOKUP(E170,Product!$A$2:$A$7,Product!$B$2:$B$7)*F170)</f>
        <v>2888</v>
      </c>
      <c r="M170">
        <f>YEAR(Table1[[#This Row],[Order date]])</f>
        <v>2013</v>
      </c>
      <c r="N170" s="22" t="str" cm="1">
        <f t="array" ref="N170">_xlfn.IFS(G170=0,"No Discount", ROUND(G170*100,0)&lt;=4,"Low", ROUND(G170*100,0)&lt;=9,"Medium", ROUND(G170*100,0)&lt;=15,"High")</f>
        <v>High</v>
      </c>
      <c r="O170" s="22" t="str">
        <f>TEXT(Table1[[#This Row],[Order date]],"mmmm")</f>
        <v>December</v>
      </c>
    </row>
    <row r="171" spans="1:15" ht="13.5" x14ac:dyDescent="0.25">
      <c r="A171" s="1" t="str">
        <f>"ORD"&amp;"-"&amp;_xlfn.XLOOKUP(C171,Guide!$B$22:$B$26,Guide!$C$22:$C$26)&amp;"-"&amp;_xlfn.XLOOKUP(D171,Guide!$B$29:$B$33,Guide!$C$29:$C$33)&amp;"-"&amp;TEXT(H171,"yyyymmdd")</f>
        <v>ORD-FRA-SMB-20131201</v>
      </c>
      <c r="B171" s="1" t="s">
        <v>214</v>
      </c>
      <c r="C171" s="1" t="s">
        <v>31</v>
      </c>
      <c r="D171" s="1" t="s">
        <v>47</v>
      </c>
      <c r="E171" s="1" t="s">
        <v>82</v>
      </c>
      <c r="F171" s="2">
        <v>1186</v>
      </c>
      <c r="G171" s="4">
        <v>0.12</v>
      </c>
      <c r="H171" s="3">
        <f t="shared" si="6"/>
        <v>41609</v>
      </c>
      <c r="I171" s="1">
        <f>_xlfn.XLOOKUP(E171,Product!$A$2:$A$7,Product!$C$2:$C$7)</f>
        <v>15</v>
      </c>
      <c r="J171" s="22">
        <f t="shared" si="7"/>
        <v>17790</v>
      </c>
      <c r="K171" s="22">
        <f t="shared" si="8"/>
        <v>15655.2</v>
      </c>
      <c r="L171" s="22">
        <f>K171-(_xlfn.XLOOKUP(E171,Product!$A$2:$A$7,Product!$B$2:$B$7)*F171)</f>
        <v>9725.2000000000007</v>
      </c>
      <c r="M171">
        <f>YEAR(Table1[[#This Row],[Order date]])</f>
        <v>2013</v>
      </c>
      <c r="N171" s="22" t="str" cm="1">
        <f t="array" ref="N171">_xlfn.IFS(G171=0,"No Discount", ROUND(G171*100,0)&lt;=4,"Low", ROUND(G171*100,0)&lt;=9,"Medium", ROUND(G171*100,0)&lt;=15,"High")</f>
        <v>High</v>
      </c>
      <c r="O171" s="22" t="str">
        <f>TEXT(Table1[[#This Row],[Order date]],"mmmm")</f>
        <v>December</v>
      </c>
    </row>
    <row r="172" spans="1:15" ht="13.5" x14ac:dyDescent="0.25">
      <c r="A172" s="1" t="str">
        <f>"ORD"&amp;"-"&amp;_xlfn.XLOOKUP(C172,Guide!$B$22:$B$26,Guide!$C$22:$C$26)&amp;"-"&amp;_xlfn.XLOOKUP(D172,Guide!$B$29:$B$33,Guide!$C$29:$C$33)&amp;"-"&amp;TEXT(H172,"yyyymmdd")</f>
        <v>ORD-GER-CPR-20131201</v>
      </c>
      <c r="B172" s="1" t="s">
        <v>215</v>
      </c>
      <c r="C172" s="1" t="s">
        <v>29</v>
      </c>
      <c r="D172" s="1" t="s">
        <v>43</v>
      </c>
      <c r="E172" s="1" t="s">
        <v>84</v>
      </c>
      <c r="F172" s="2">
        <v>1770</v>
      </c>
      <c r="G172" s="4">
        <v>0.13</v>
      </c>
      <c r="H172" s="3">
        <f t="shared" si="6"/>
        <v>41609</v>
      </c>
      <c r="I172" s="1">
        <f>_xlfn.XLOOKUP(E172,Product!$A$2:$A$7,Product!$C$2:$C$7)</f>
        <v>350</v>
      </c>
      <c r="J172" s="22">
        <f t="shared" si="7"/>
        <v>619500</v>
      </c>
      <c r="K172" s="22">
        <f t="shared" si="8"/>
        <v>538965</v>
      </c>
      <c r="L172" s="22">
        <f>K172-(_xlfn.XLOOKUP(E172,Product!$A$2:$A$7,Product!$B$2:$B$7)*F172)</f>
        <v>184965</v>
      </c>
      <c r="M172">
        <f>YEAR(Table1[[#This Row],[Order date]])</f>
        <v>2013</v>
      </c>
      <c r="N172" s="22" t="str" cm="1">
        <f t="array" ref="N172">_xlfn.IFS(G172=0,"No Discount", ROUND(G172*100,0)&lt;=4,"Low", ROUND(G172*100,0)&lt;=9,"Medium", ROUND(G172*100,0)&lt;=15,"High")</f>
        <v>High</v>
      </c>
      <c r="O172" s="22" t="str">
        <f>TEXT(Table1[[#This Row],[Order date]],"mmmm")</f>
        <v>December</v>
      </c>
    </row>
    <row r="173" spans="1:15" ht="13.5" x14ac:dyDescent="0.25">
      <c r="A173" s="1" t="str">
        <f>"ORD"&amp;"-"&amp;_xlfn.XLOOKUP(C173,Guide!$B$22:$B$26,Guide!$C$22:$C$26)&amp;"-"&amp;_xlfn.XLOOKUP(D173,Guide!$B$29:$B$33,Guide!$C$29:$C$33)&amp;"-"&amp;TEXT(H173,"yyyymmdd")</f>
        <v>ORD-USA-CPR-20131201</v>
      </c>
      <c r="B173" s="1" t="s">
        <v>216</v>
      </c>
      <c r="C173" s="1" t="s">
        <v>35</v>
      </c>
      <c r="D173" s="1" t="s">
        <v>43</v>
      </c>
      <c r="E173" s="1" t="s">
        <v>84</v>
      </c>
      <c r="F173" s="2">
        <v>2015</v>
      </c>
      <c r="G173" s="4">
        <v>0.13999999999999999</v>
      </c>
      <c r="H173" s="3">
        <f t="shared" si="6"/>
        <v>41609</v>
      </c>
      <c r="I173" s="1">
        <f>_xlfn.XLOOKUP(E173,Product!$A$2:$A$7,Product!$C$2:$C$7)</f>
        <v>350</v>
      </c>
      <c r="J173" s="22">
        <f t="shared" si="7"/>
        <v>705250</v>
      </c>
      <c r="K173" s="22">
        <f t="shared" si="8"/>
        <v>606515</v>
      </c>
      <c r="L173" s="22">
        <f>K173-(_xlfn.XLOOKUP(E173,Product!$A$2:$A$7,Product!$B$2:$B$7)*F173)</f>
        <v>203515</v>
      </c>
      <c r="M173">
        <f>YEAR(Table1[[#This Row],[Order date]])</f>
        <v>2013</v>
      </c>
      <c r="N173" s="22" t="str" cm="1">
        <f t="array" ref="N173">_xlfn.IFS(G173=0,"No Discount", ROUND(G173*100,0)&lt;=4,"Low", ROUND(G173*100,0)&lt;=9,"Medium", ROUND(G173*100,0)&lt;=15,"High")</f>
        <v>High</v>
      </c>
      <c r="O173" s="22" t="str">
        <f>TEXT(Table1[[#This Row],[Order date]],"mmmm")</f>
        <v>December</v>
      </c>
    </row>
    <row r="174" spans="1:15" ht="13.5" x14ac:dyDescent="0.25">
      <c r="A174" s="1" t="str">
        <f>"ORD"&amp;"-"&amp;_xlfn.XLOOKUP(C174,Guide!$B$22:$B$26,Guide!$C$22:$C$26)&amp;"-"&amp;_xlfn.XLOOKUP(D174,Guide!$B$29:$B$33,Guide!$C$29:$C$33)&amp;"-"&amp;TEXT(H174,"yyyymmdd")</f>
        <v>ORD-FRA-GOV-20131201</v>
      </c>
      <c r="B174" s="1" t="s">
        <v>217</v>
      </c>
      <c r="C174" s="1" t="s">
        <v>31</v>
      </c>
      <c r="D174" s="1" t="s">
        <v>39</v>
      </c>
      <c r="E174" s="1" t="s">
        <v>78</v>
      </c>
      <c r="F174" s="2">
        <v>1281</v>
      </c>
      <c r="G174" s="4">
        <v>0.14000000000000001</v>
      </c>
      <c r="H174" s="3">
        <f t="shared" si="6"/>
        <v>41609</v>
      </c>
      <c r="I174" s="1">
        <f>_xlfn.XLOOKUP(E174,Product!$A$2:$A$7,Product!$C$2:$C$7)</f>
        <v>300</v>
      </c>
      <c r="J174" s="22">
        <f t="shared" si="7"/>
        <v>384300</v>
      </c>
      <c r="K174" s="22">
        <f t="shared" si="8"/>
        <v>330498</v>
      </c>
      <c r="L174" s="22">
        <f>K174-(_xlfn.XLOOKUP(E174,Product!$A$2:$A$7,Product!$B$2:$B$7)*F174)</f>
        <v>10248</v>
      </c>
      <c r="M174">
        <f>YEAR(Table1[[#This Row],[Order date]])</f>
        <v>2013</v>
      </c>
      <c r="N174" s="22" t="str" cm="1">
        <f t="array" ref="N174">_xlfn.IFS(G174=0,"No Discount", ROUND(G174*100,0)&lt;=4,"Low", ROUND(G174*100,0)&lt;=9,"Medium", ROUND(G174*100,0)&lt;=15,"High")</f>
        <v>High</v>
      </c>
      <c r="O174" s="22" t="str">
        <f>TEXT(Table1[[#This Row],[Order date]],"mmmm")</f>
        <v>December</v>
      </c>
    </row>
    <row r="175" spans="1:15" ht="13.5" x14ac:dyDescent="0.25">
      <c r="A175" s="1" t="str">
        <f>"ORD"&amp;"-"&amp;_xlfn.XLOOKUP(C175,Guide!$B$22:$B$26,Guide!$C$22:$C$26)&amp;"-"&amp;_xlfn.XLOOKUP(D175,Guide!$B$29:$B$33,Guide!$C$29:$C$33)&amp;"-"&amp;TEXT(H175,"yyyymmdd")</f>
        <v>ORD-MXC-ENT-20131201</v>
      </c>
      <c r="B175" s="1" t="s">
        <v>218</v>
      </c>
      <c r="C175" s="1" t="s">
        <v>33</v>
      </c>
      <c r="D175" s="1" t="s">
        <v>45</v>
      </c>
      <c r="E175" s="1" t="s">
        <v>80</v>
      </c>
      <c r="F175" s="2">
        <v>2821</v>
      </c>
      <c r="G175" s="4">
        <v>0.14000000000000001</v>
      </c>
      <c r="H175" s="3">
        <f t="shared" si="6"/>
        <v>41609</v>
      </c>
      <c r="I175" s="1">
        <f>_xlfn.XLOOKUP(E175,Product!$A$2:$A$7,Product!$C$2:$C$7)</f>
        <v>20</v>
      </c>
      <c r="J175" s="22">
        <f t="shared" si="7"/>
        <v>56420</v>
      </c>
      <c r="K175" s="22">
        <f t="shared" si="8"/>
        <v>48521.2</v>
      </c>
      <c r="L175" s="22">
        <f>K175-(_xlfn.XLOOKUP(E175,Product!$A$2:$A$7,Product!$B$2:$B$7)*F175)</f>
        <v>40058.199999999997</v>
      </c>
      <c r="M175">
        <f>YEAR(Table1[[#This Row],[Order date]])</f>
        <v>2013</v>
      </c>
      <c r="N175" s="22" t="str" cm="1">
        <f t="array" ref="N175">_xlfn.IFS(G175=0,"No Discount", ROUND(G175*100,0)&lt;=4,"Low", ROUND(G175*100,0)&lt;=9,"Medium", ROUND(G175*100,0)&lt;=15,"High")</f>
        <v>High</v>
      </c>
      <c r="O175" s="22" t="str">
        <f>TEXT(Table1[[#This Row],[Order date]],"mmmm")</f>
        <v>December</v>
      </c>
    </row>
    <row r="176" spans="1:15" ht="13.5" x14ac:dyDescent="0.25">
      <c r="A176" s="1" t="str">
        <f>"ORD"&amp;"-"&amp;_xlfn.XLOOKUP(C176,Guide!$B$22:$B$26,Guide!$C$22:$C$26)&amp;"-"&amp;_xlfn.XLOOKUP(D176,Guide!$B$29:$B$33,Guide!$C$29:$C$33)&amp;"-"&amp;TEXT(H176,"yyyymmdd")</f>
        <v>ORD-USA-ENT-20131201</v>
      </c>
      <c r="B176" s="1" t="s">
        <v>219</v>
      </c>
      <c r="C176" s="1" t="s">
        <v>35</v>
      </c>
      <c r="D176" s="1" t="s">
        <v>45</v>
      </c>
      <c r="E176" s="1" t="s">
        <v>88</v>
      </c>
      <c r="F176" s="2">
        <v>2438</v>
      </c>
      <c r="G176" s="4">
        <v>0.15</v>
      </c>
      <c r="H176" s="3">
        <f t="shared" si="6"/>
        <v>41609</v>
      </c>
      <c r="I176" s="1">
        <f>_xlfn.XLOOKUP(E176,Product!$A$2:$A$7,Product!$C$2:$C$7)</f>
        <v>180</v>
      </c>
      <c r="J176" s="22">
        <f t="shared" si="7"/>
        <v>438840</v>
      </c>
      <c r="K176" s="22">
        <f t="shared" si="8"/>
        <v>373014</v>
      </c>
      <c r="L176" s="22">
        <f>K176-(_xlfn.XLOOKUP(E176,Product!$A$2:$A$7,Product!$B$2:$B$7)*F176)</f>
        <v>80454</v>
      </c>
      <c r="M176">
        <f>YEAR(Table1[[#This Row],[Order date]])</f>
        <v>2013</v>
      </c>
      <c r="N176" s="22" t="str" cm="1">
        <f t="array" ref="N176">_xlfn.IFS(G176=0,"No Discount", ROUND(G176*100,0)&lt;=4,"Low", ROUND(G176*100,0)&lt;=9,"Medium", ROUND(G176*100,0)&lt;=15,"High")</f>
        <v>High</v>
      </c>
      <c r="O176" s="22" t="str">
        <f>TEXT(Table1[[#This Row],[Order date]],"mmmm")</f>
        <v>December</v>
      </c>
    </row>
    <row r="177" spans="1:15" ht="13.5" x14ac:dyDescent="0.25">
      <c r="A177" s="1" t="str">
        <f>"ORD"&amp;"-"&amp;_xlfn.XLOOKUP(C177,Guide!$B$22:$B$26,Guide!$C$22:$C$26)&amp;"-"&amp;_xlfn.XLOOKUP(D177,Guide!$B$29:$B$33,Guide!$C$29:$C$33)&amp;"-"&amp;TEXT(H177,"yyyymmdd")</f>
        <v>ORD-GER-GOV-20140101</v>
      </c>
      <c r="B177" s="1" t="s">
        <v>220</v>
      </c>
      <c r="C177" s="1" t="s">
        <v>29</v>
      </c>
      <c r="D177" s="1" t="s">
        <v>39</v>
      </c>
      <c r="E177" s="1" t="s">
        <v>80</v>
      </c>
      <c r="F177" s="2">
        <v>1321</v>
      </c>
      <c r="G177" s="4">
        <v>0</v>
      </c>
      <c r="H177" s="3">
        <f t="shared" si="6"/>
        <v>41640</v>
      </c>
      <c r="I177" s="1">
        <f>_xlfn.XLOOKUP(E177,Product!$A$2:$A$7,Product!$C$2:$C$7)</f>
        <v>20</v>
      </c>
      <c r="J177" s="22">
        <f t="shared" si="7"/>
        <v>26420</v>
      </c>
      <c r="K177" s="22">
        <f t="shared" si="8"/>
        <v>26420</v>
      </c>
      <c r="L177" s="22">
        <f>K177-(_xlfn.XLOOKUP(E177,Product!$A$2:$A$7,Product!$B$2:$B$7)*F177)</f>
        <v>22457</v>
      </c>
      <c r="M177">
        <f>YEAR(Table1[[#This Row],[Order date]])</f>
        <v>2014</v>
      </c>
      <c r="N177" s="22" t="str" cm="1">
        <f t="array" ref="N177">_xlfn.IFS(G177=0,"No Discount", ROUND(G177*100,0)&lt;=4,"Low", ROUND(G177*100,0)&lt;=9,"Medium", ROUND(G177*100,0)&lt;=15,"High")</f>
        <v>No Discount</v>
      </c>
      <c r="O177" s="22" t="str">
        <f>TEXT(Table1[[#This Row],[Order date]],"mmmm")</f>
        <v>January</v>
      </c>
    </row>
    <row r="178" spans="1:15" ht="13.5" x14ac:dyDescent="0.25">
      <c r="A178" s="1" t="str">
        <f>"ORD"&amp;"-"&amp;_xlfn.XLOOKUP(C178,Guide!$B$22:$B$26,Guide!$C$22:$C$26)&amp;"-"&amp;_xlfn.XLOOKUP(D178,Guide!$B$29:$B$33,Guide!$C$29:$C$33)&amp;"-"&amp;TEXT(H178,"yyyymmdd")</f>
        <v>ORD-CND-GOV-20140101</v>
      </c>
      <c r="B178" s="1" t="s">
        <v>221</v>
      </c>
      <c r="C178" s="1" t="s">
        <v>27</v>
      </c>
      <c r="D178" s="1" t="s">
        <v>39</v>
      </c>
      <c r="E178" s="1" t="s">
        <v>80</v>
      </c>
      <c r="F178" s="2">
        <v>1618</v>
      </c>
      <c r="G178" s="4">
        <v>0</v>
      </c>
      <c r="H178" s="3">
        <f t="shared" si="6"/>
        <v>41640</v>
      </c>
      <c r="I178" s="1">
        <f>_xlfn.XLOOKUP(E178,Product!$A$2:$A$7,Product!$C$2:$C$7)</f>
        <v>20</v>
      </c>
      <c r="J178" s="22">
        <f t="shared" si="7"/>
        <v>32360</v>
      </c>
      <c r="K178" s="22">
        <f t="shared" si="8"/>
        <v>32360</v>
      </c>
      <c r="L178" s="22">
        <f>K178-(_xlfn.XLOOKUP(E178,Product!$A$2:$A$7,Product!$B$2:$B$7)*F178)</f>
        <v>27506</v>
      </c>
      <c r="M178">
        <f>YEAR(Table1[[#This Row],[Order date]])</f>
        <v>2014</v>
      </c>
      <c r="N178" s="22" t="str" cm="1">
        <f t="array" ref="N178">_xlfn.IFS(G178=0,"No Discount", ROUND(G178*100,0)&lt;=4,"Low", ROUND(G178*100,0)&lt;=9,"Medium", ROUND(G178*100,0)&lt;=15,"High")</f>
        <v>No Discount</v>
      </c>
      <c r="O178" s="22" t="str">
        <f>TEXT(Table1[[#This Row],[Order date]],"mmmm")</f>
        <v>January</v>
      </c>
    </row>
    <row r="179" spans="1:15" ht="13.5" x14ac:dyDescent="0.25">
      <c r="A179" s="1" t="str">
        <f>"ORD"&amp;"-"&amp;_xlfn.XLOOKUP(C179,Guide!$B$22:$B$26,Guide!$C$22:$C$26)&amp;"-"&amp;_xlfn.XLOOKUP(D179,Guide!$B$29:$B$33,Guide!$C$29:$C$33)&amp;"-"&amp;TEXT(H179,"yyyymmdd")</f>
        <v>ORD-MXC-GOV-20140101</v>
      </c>
      <c r="B179" s="1" t="s">
        <v>222</v>
      </c>
      <c r="C179" s="1" t="s">
        <v>33</v>
      </c>
      <c r="D179" s="1" t="s">
        <v>39</v>
      </c>
      <c r="E179" s="1" t="s">
        <v>88</v>
      </c>
      <c r="F179" s="2">
        <v>1493</v>
      </c>
      <c r="G179" s="4">
        <v>0</v>
      </c>
      <c r="H179" s="3">
        <f t="shared" si="6"/>
        <v>41640</v>
      </c>
      <c r="I179" s="1">
        <f>_xlfn.XLOOKUP(E179,Product!$A$2:$A$7,Product!$C$2:$C$7)</f>
        <v>180</v>
      </c>
      <c r="J179" s="22">
        <f t="shared" si="7"/>
        <v>268740</v>
      </c>
      <c r="K179" s="22">
        <f t="shared" si="8"/>
        <v>268740</v>
      </c>
      <c r="L179" s="22">
        <f>K179-(_xlfn.XLOOKUP(E179,Product!$A$2:$A$7,Product!$B$2:$B$7)*F179)</f>
        <v>89580</v>
      </c>
      <c r="M179">
        <f>YEAR(Table1[[#This Row],[Order date]])</f>
        <v>2014</v>
      </c>
      <c r="N179" s="22" t="str" cm="1">
        <f t="array" ref="N179">_xlfn.IFS(G179=0,"No Discount", ROUND(G179*100,0)&lt;=4,"Low", ROUND(G179*100,0)&lt;=9,"Medium", ROUND(G179*100,0)&lt;=15,"High")</f>
        <v>No Discount</v>
      </c>
      <c r="O179" s="22" t="str">
        <f>TEXT(Table1[[#This Row],[Order date]],"mmmm")</f>
        <v>January</v>
      </c>
    </row>
    <row r="180" spans="1:15" ht="13.5" x14ac:dyDescent="0.25">
      <c r="A180" s="1" t="str">
        <f>"ORD"&amp;"-"&amp;_xlfn.XLOOKUP(C180,Guide!$B$22:$B$26,Guide!$C$22:$C$26)&amp;"-"&amp;_xlfn.XLOOKUP(D180,Guide!$B$29:$B$33,Guide!$C$29:$C$33)&amp;"-"&amp;TEXT(H180,"yyyymmdd")</f>
        <v>ORD-FRA-GOV-20140101</v>
      </c>
      <c r="B180" s="1" t="s">
        <v>223</v>
      </c>
      <c r="C180" s="1" t="s">
        <v>31</v>
      </c>
      <c r="D180" s="1" t="s">
        <v>39</v>
      </c>
      <c r="E180" s="1" t="s">
        <v>75</v>
      </c>
      <c r="F180" s="2">
        <v>3945</v>
      </c>
      <c r="G180" s="4">
        <v>9.9999999999999985E-3</v>
      </c>
      <c r="H180" s="3">
        <f t="shared" si="6"/>
        <v>41640</v>
      </c>
      <c r="I180" s="1">
        <f>_xlfn.XLOOKUP(E180,Product!$A$2:$A$7,Product!$C$2:$C$7)</f>
        <v>20</v>
      </c>
      <c r="J180" s="22">
        <f t="shared" si="7"/>
        <v>78900</v>
      </c>
      <c r="K180" s="22">
        <f t="shared" si="8"/>
        <v>78111</v>
      </c>
      <c r="L180" s="22">
        <f>K180-(_xlfn.XLOOKUP(E180,Product!$A$2:$A$7,Product!$B$2:$B$7)*F180)</f>
        <v>38661</v>
      </c>
      <c r="M180">
        <f>YEAR(Table1[[#This Row],[Order date]])</f>
        <v>2014</v>
      </c>
      <c r="N180" s="22" t="str" cm="1">
        <f t="array" ref="N180">_xlfn.IFS(G180=0,"No Discount", ROUND(G180*100,0)&lt;=4,"Low", ROUND(G180*100,0)&lt;=9,"Medium", ROUND(G180*100,0)&lt;=15,"High")</f>
        <v>Low</v>
      </c>
      <c r="O180" s="22" t="str">
        <f>TEXT(Table1[[#This Row],[Order date]],"mmmm")</f>
        <v>January</v>
      </c>
    </row>
    <row r="181" spans="1:15" ht="13.5" x14ac:dyDescent="0.25">
      <c r="A181" s="1" t="str">
        <f>"ORD"&amp;"-"&amp;_xlfn.XLOOKUP(C181,Guide!$B$22:$B$26,Guide!$C$22:$C$26)&amp;"-"&amp;_xlfn.XLOOKUP(D181,Guide!$B$29:$B$33,Guide!$C$29:$C$33)&amp;"-"&amp;TEXT(H181,"yyyymmdd")</f>
        <v>ORD-GER-CPR-20140101</v>
      </c>
      <c r="B181" s="1" t="s">
        <v>224</v>
      </c>
      <c r="C181" s="1" t="s">
        <v>29</v>
      </c>
      <c r="D181" s="1" t="s">
        <v>43</v>
      </c>
      <c r="E181" s="1" t="s">
        <v>78</v>
      </c>
      <c r="F181" s="2">
        <v>2479</v>
      </c>
      <c r="G181" s="4">
        <v>3.0000000000000002E-2</v>
      </c>
      <c r="H181" s="3">
        <f t="shared" si="6"/>
        <v>41640</v>
      </c>
      <c r="I181" s="1">
        <f>_xlfn.XLOOKUP(E181,Product!$A$2:$A$7,Product!$C$2:$C$7)</f>
        <v>300</v>
      </c>
      <c r="J181" s="22">
        <f t="shared" si="7"/>
        <v>743700</v>
      </c>
      <c r="K181" s="22">
        <f t="shared" si="8"/>
        <v>721389</v>
      </c>
      <c r="L181" s="22">
        <f>K181-(_xlfn.XLOOKUP(E181,Product!$A$2:$A$7,Product!$B$2:$B$7)*F181)</f>
        <v>101639</v>
      </c>
      <c r="M181">
        <f>YEAR(Table1[[#This Row],[Order date]])</f>
        <v>2014</v>
      </c>
      <c r="N181" s="22" t="str" cm="1">
        <f t="array" ref="N181">_xlfn.IFS(G181=0,"No Discount", ROUND(G181*100,0)&lt;=4,"Low", ROUND(G181*100,0)&lt;=9,"Medium", ROUND(G181*100,0)&lt;=15,"High")</f>
        <v>Low</v>
      </c>
      <c r="O181" s="22" t="str">
        <f>TEXT(Table1[[#This Row],[Order date]],"mmmm")</f>
        <v>January</v>
      </c>
    </row>
    <row r="182" spans="1:15" ht="13.5" x14ac:dyDescent="0.25">
      <c r="A182" s="1" t="str">
        <f>"ORD"&amp;"-"&amp;_xlfn.XLOOKUP(C182,Guide!$B$22:$B$26,Guide!$C$22:$C$26)&amp;"-"&amp;_xlfn.XLOOKUP(D182,Guide!$B$29:$B$33,Guide!$C$29:$C$33)&amp;"-"&amp;TEXT(H182,"yyyymmdd")</f>
        <v>ORD-FRA-SMB-20140101</v>
      </c>
      <c r="B182" s="1" t="s">
        <v>225</v>
      </c>
      <c r="C182" s="1" t="s">
        <v>31</v>
      </c>
      <c r="D182" s="1" t="s">
        <v>47</v>
      </c>
      <c r="E182" s="1" t="s">
        <v>75</v>
      </c>
      <c r="F182" s="2">
        <v>2434</v>
      </c>
      <c r="G182" s="4">
        <v>3.0006162695152012E-2</v>
      </c>
      <c r="H182" s="3">
        <f t="shared" si="6"/>
        <v>41640</v>
      </c>
      <c r="I182" s="1">
        <f>_xlfn.XLOOKUP(E182,Product!$A$2:$A$7,Product!$C$2:$C$7)</f>
        <v>20</v>
      </c>
      <c r="J182" s="22">
        <f t="shared" si="7"/>
        <v>48680</v>
      </c>
      <c r="K182" s="22">
        <f t="shared" si="8"/>
        <v>47219.3</v>
      </c>
      <c r="L182" s="22">
        <f>K182-(_xlfn.XLOOKUP(E182,Product!$A$2:$A$7,Product!$B$2:$B$7)*F182)</f>
        <v>22879.300000000003</v>
      </c>
      <c r="M182">
        <f>YEAR(Table1[[#This Row],[Order date]])</f>
        <v>2014</v>
      </c>
      <c r="N182" s="22" t="str" cm="1">
        <f t="array" ref="N182">_xlfn.IFS(G182=0,"No Discount", ROUND(G182*100,0)&lt;=4,"Low", ROUND(G182*100,0)&lt;=9,"Medium", ROUND(G182*100,0)&lt;=15,"High")</f>
        <v>Low</v>
      </c>
      <c r="O182" s="22" t="str">
        <f>TEXT(Table1[[#This Row],[Order date]],"mmmm")</f>
        <v>January</v>
      </c>
    </row>
    <row r="183" spans="1:15" ht="13.5" x14ac:dyDescent="0.25">
      <c r="A183" s="1" t="str">
        <f>"ORD"&amp;"-"&amp;_xlfn.XLOOKUP(C183,Guide!$B$22:$B$26,Guide!$C$22:$C$26)&amp;"-"&amp;_xlfn.XLOOKUP(D183,Guide!$B$29:$B$33,Guide!$C$29:$C$33)&amp;"-"&amp;TEXT(H183,"yyyymmdd")</f>
        <v>ORD-CND-GOV-20140101</v>
      </c>
      <c r="B183" s="1" t="s">
        <v>226</v>
      </c>
      <c r="C183" s="1" t="s">
        <v>27</v>
      </c>
      <c r="D183" s="1" t="s">
        <v>39</v>
      </c>
      <c r="E183" s="1" t="s">
        <v>75</v>
      </c>
      <c r="F183" s="2">
        <v>4251</v>
      </c>
      <c r="G183" s="4">
        <v>0.04</v>
      </c>
      <c r="H183" s="3">
        <f t="shared" si="6"/>
        <v>41640</v>
      </c>
      <c r="I183" s="1">
        <f>_xlfn.XLOOKUP(E183,Product!$A$2:$A$7,Product!$C$2:$C$7)</f>
        <v>20</v>
      </c>
      <c r="J183" s="22">
        <f t="shared" si="7"/>
        <v>85020</v>
      </c>
      <c r="K183" s="22">
        <f t="shared" si="8"/>
        <v>81619.199999999997</v>
      </c>
      <c r="L183" s="22">
        <f>K183-(_xlfn.XLOOKUP(E183,Product!$A$2:$A$7,Product!$B$2:$B$7)*F183)</f>
        <v>39109.199999999997</v>
      </c>
      <c r="M183">
        <f>YEAR(Table1[[#This Row],[Order date]])</f>
        <v>2014</v>
      </c>
      <c r="N183" s="22" t="str" cm="1">
        <f t="array" ref="N183">_xlfn.IFS(G183=0,"No Discount", ROUND(G183*100,0)&lt;=4,"Low", ROUND(G183*100,0)&lt;=9,"Medium", ROUND(G183*100,0)&lt;=15,"High")</f>
        <v>Low</v>
      </c>
      <c r="O183" s="22" t="str">
        <f>TEXT(Table1[[#This Row],[Order date]],"mmmm")</f>
        <v>January</v>
      </c>
    </row>
    <row r="184" spans="1:15" ht="13.5" x14ac:dyDescent="0.25">
      <c r="A184" s="1" t="str">
        <f>"ORD"&amp;"-"&amp;_xlfn.XLOOKUP(C184,Guide!$B$22:$B$26,Guide!$C$22:$C$26)&amp;"-"&amp;_xlfn.XLOOKUP(D184,Guide!$B$29:$B$33,Guide!$C$29:$C$33)&amp;"-"&amp;TEXT(H184,"yyyymmdd")</f>
        <v>ORD-GER-GOV-20140101</v>
      </c>
      <c r="B184" s="1" t="s">
        <v>227</v>
      </c>
      <c r="C184" s="1" t="s">
        <v>29</v>
      </c>
      <c r="D184" s="1" t="s">
        <v>39</v>
      </c>
      <c r="E184" s="1" t="s">
        <v>75</v>
      </c>
      <c r="F184" s="2">
        <v>1372</v>
      </c>
      <c r="G184" s="4">
        <v>4.9999999999999996E-2</v>
      </c>
      <c r="H184" s="3">
        <f t="shared" si="6"/>
        <v>41640</v>
      </c>
      <c r="I184" s="1">
        <f>_xlfn.XLOOKUP(E184,Product!$A$2:$A$7,Product!$C$2:$C$7)</f>
        <v>20</v>
      </c>
      <c r="J184" s="22">
        <f t="shared" si="7"/>
        <v>27440</v>
      </c>
      <c r="K184" s="22">
        <f t="shared" si="8"/>
        <v>26068</v>
      </c>
      <c r="L184" s="22">
        <f>K184-(_xlfn.XLOOKUP(E184,Product!$A$2:$A$7,Product!$B$2:$B$7)*F184)</f>
        <v>12348</v>
      </c>
      <c r="M184">
        <f>YEAR(Table1[[#This Row],[Order date]])</f>
        <v>2014</v>
      </c>
      <c r="N184" s="22" t="str" cm="1">
        <f t="array" ref="N184">_xlfn.IFS(G184=0,"No Discount", ROUND(G184*100,0)&lt;=4,"Low", ROUND(G184*100,0)&lt;=9,"Medium", ROUND(G184*100,0)&lt;=15,"High")</f>
        <v>Medium</v>
      </c>
      <c r="O184" s="22" t="str">
        <f>TEXT(Table1[[#This Row],[Order date]],"mmmm")</f>
        <v>January</v>
      </c>
    </row>
    <row r="185" spans="1:15" ht="13.5" x14ac:dyDescent="0.25">
      <c r="A185" s="1" t="str">
        <f>"ORD"&amp;"-"&amp;_xlfn.XLOOKUP(C185,Guide!$B$22:$B$26,Guide!$C$22:$C$26)&amp;"-"&amp;_xlfn.XLOOKUP(D185,Guide!$B$29:$B$33,Guide!$C$29:$C$33)&amp;"-"&amp;TEXT(H185,"yyyymmdd")</f>
        <v>ORD-USA-MDM-20140101</v>
      </c>
      <c r="B185" s="1" t="s">
        <v>228</v>
      </c>
      <c r="C185" s="1" t="s">
        <v>35</v>
      </c>
      <c r="D185" s="1" t="s">
        <v>41</v>
      </c>
      <c r="E185" s="1" t="s">
        <v>88</v>
      </c>
      <c r="F185" s="2">
        <v>555</v>
      </c>
      <c r="G185" s="4">
        <v>0.05</v>
      </c>
      <c r="H185" s="3">
        <f t="shared" si="6"/>
        <v>41640</v>
      </c>
      <c r="I185" s="1">
        <f>_xlfn.XLOOKUP(E185,Product!$A$2:$A$7,Product!$C$2:$C$7)</f>
        <v>180</v>
      </c>
      <c r="J185" s="22">
        <f t="shared" si="7"/>
        <v>99900</v>
      </c>
      <c r="K185" s="22">
        <f t="shared" si="8"/>
        <v>94905</v>
      </c>
      <c r="L185" s="22">
        <f>K185-(_xlfn.XLOOKUP(E185,Product!$A$2:$A$7,Product!$B$2:$B$7)*F185)</f>
        <v>28305</v>
      </c>
      <c r="M185">
        <f>YEAR(Table1[[#This Row],[Order date]])</f>
        <v>2014</v>
      </c>
      <c r="N185" s="22" t="str" cm="1">
        <f t="array" ref="N185">_xlfn.IFS(G185=0,"No Discount", ROUND(G185*100,0)&lt;=4,"Low", ROUND(G185*100,0)&lt;=9,"Medium", ROUND(G185*100,0)&lt;=15,"High")</f>
        <v>Medium</v>
      </c>
      <c r="O185" s="22" t="str">
        <f>TEXT(Table1[[#This Row],[Order date]],"mmmm")</f>
        <v>January</v>
      </c>
    </row>
    <row r="186" spans="1:15" ht="13.5" x14ac:dyDescent="0.25">
      <c r="A186" s="1" t="str">
        <f>"ORD"&amp;"-"&amp;_xlfn.XLOOKUP(C186,Guide!$B$22:$B$26,Guide!$C$22:$C$26)&amp;"-"&amp;_xlfn.XLOOKUP(D186,Guide!$B$29:$B$33,Guide!$C$29:$C$33)&amp;"-"&amp;TEXT(H186,"yyyymmdd")</f>
        <v>ORD-MXC-MDM-20140101</v>
      </c>
      <c r="B186" s="1" t="s">
        <v>229</v>
      </c>
      <c r="C186" s="1" t="s">
        <v>33</v>
      </c>
      <c r="D186" s="1" t="s">
        <v>41</v>
      </c>
      <c r="E186" s="1" t="s">
        <v>88</v>
      </c>
      <c r="F186" s="2">
        <v>2861</v>
      </c>
      <c r="G186" s="4">
        <v>0.05</v>
      </c>
      <c r="H186" s="3">
        <f t="shared" si="6"/>
        <v>41640</v>
      </c>
      <c r="I186" s="1">
        <f>_xlfn.XLOOKUP(E186,Product!$A$2:$A$7,Product!$C$2:$C$7)</f>
        <v>180</v>
      </c>
      <c r="J186" s="22">
        <f t="shared" si="7"/>
        <v>514980</v>
      </c>
      <c r="K186" s="22">
        <f t="shared" si="8"/>
        <v>489231</v>
      </c>
      <c r="L186" s="22">
        <f>K186-(_xlfn.XLOOKUP(E186,Product!$A$2:$A$7,Product!$B$2:$B$7)*F186)</f>
        <v>145911</v>
      </c>
      <c r="M186">
        <f>YEAR(Table1[[#This Row],[Order date]])</f>
        <v>2014</v>
      </c>
      <c r="N186" s="22" t="str" cm="1">
        <f t="array" ref="N186">_xlfn.IFS(G186=0,"No Discount", ROUND(G186*100,0)&lt;=4,"Low", ROUND(G186*100,0)&lt;=9,"Medium", ROUND(G186*100,0)&lt;=15,"High")</f>
        <v>Medium</v>
      </c>
      <c r="O186" s="22" t="str">
        <f>TEXT(Table1[[#This Row],[Order date]],"mmmm")</f>
        <v>January</v>
      </c>
    </row>
    <row r="187" spans="1:15" ht="13.5" x14ac:dyDescent="0.25">
      <c r="A187" s="1" t="str">
        <f>"ORD"&amp;"-"&amp;_xlfn.XLOOKUP(C187,Guide!$B$22:$B$26,Guide!$C$22:$C$26)&amp;"-"&amp;_xlfn.XLOOKUP(D187,Guide!$B$29:$B$33,Guide!$C$29:$C$33)&amp;"-"&amp;TEXT(H187,"yyyymmdd")</f>
        <v>ORD-FRA-GOV-20140101</v>
      </c>
      <c r="B187" s="1" t="s">
        <v>230</v>
      </c>
      <c r="C187" s="1" t="s">
        <v>31</v>
      </c>
      <c r="D187" s="1" t="s">
        <v>39</v>
      </c>
      <c r="E187" s="1" t="s">
        <v>82</v>
      </c>
      <c r="F187" s="2">
        <v>1384</v>
      </c>
      <c r="G187" s="4">
        <v>5.0018063583815026E-2</v>
      </c>
      <c r="H187" s="3">
        <f t="shared" si="6"/>
        <v>41640</v>
      </c>
      <c r="I187" s="1">
        <f>_xlfn.XLOOKUP(E187,Product!$A$2:$A$7,Product!$C$2:$C$7)</f>
        <v>15</v>
      </c>
      <c r="J187" s="22">
        <f t="shared" si="7"/>
        <v>20760</v>
      </c>
      <c r="K187" s="22">
        <f t="shared" si="8"/>
        <v>19721.625</v>
      </c>
      <c r="L187" s="22">
        <f>K187-(_xlfn.XLOOKUP(E187,Product!$A$2:$A$7,Product!$B$2:$B$7)*F187)</f>
        <v>12801.625</v>
      </c>
      <c r="M187">
        <f>YEAR(Table1[[#This Row],[Order date]])</f>
        <v>2014</v>
      </c>
      <c r="N187" s="22" t="str" cm="1">
        <f t="array" ref="N187">_xlfn.IFS(G187=0,"No Discount", ROUND(G187*100,0)&lt;=4,"Low", ROUND(G187*100,0)&lt;=9,"Medium", ROUND(G187*100,0)&lt;=15,"High")</f>
        <v>Medium</v>
      </c>
      <c r="O187" s="22" t="str">
        <f>TEXT(Table1[[#This Row],[Order date]],"mmmm")</f>
        <v>January</v>
      </c>
    </row>
    <row r="188" spans="1:15" ht="13.5" x14ac:dyDescent="0.25">
      <c r="A188" s="1" t="str">
        <f>"ORD"&amp;"-"&amp;_xlfn.XLOOKUP(C188,Guide!$B$22:$B$26,Guide!$C$22:$C$26)&amp;"-"&amp;_xlfn.XLOOKUP(D188,Guide!$B$29:$B$33,Guide!$C$29:$C$33)&amp;"-"&amp;TEXT(H188,"yyyymmdd")</f>
        <v>ORD-FRA-ENT-20140101</v>
      </c>
      <c r="B188" s="1" t="s">
        <v>231</v>
      </c>
      <c r="C188" s="1" t="s">
        <v>31</v>
      </c>
      <c r="D188" s="1" t="s">
        <v>45</v>
      </c>
      <c r="E188" s="1" t="s">
        <v>84</v>
      </c>
      <c r="F188" s="2">
        <v>1987</v>
      </c>
      <c r="G188" s="4">
        <v>6.0015098137896329E-2</v>
      </c>
      <c r="H188" s="3">
        <f t="shared" si="6"/>
        <v>41640</v>
      </c>
      <c r="I188" s="1">
        <f>_xlfn.XLOOKUP(E188,Product!$A$2:$A$7,Product!$C$2:$C$7)</f>
        <v>350</v>
      </c>
      <c r="J188" s="22">
        <f t="shared" si="7"/>
        <v>695450</v>
      </c>
      <c r="K188" s="22">
        <f t="shared" si="8"/>
        <v>653712.5</v>
      </c>
      <c r="L188" s="22">
        <f>K188-(_xlfn.XLOOKUP(E188,Product!$A$2:$A$7,Product!$B$2:$B$7)*F188)</f>
        <v>256312.5</v>
      </c>
      <c r="M188">
        <f>YEAR(Table1[[#This Row],[Order date]])</f>
        <v>2014</v>
      </c>
      <c r="N188" s="22" t="str" cm="1">
        <f t="array" ref="N188">_xlfn.IFS(G188=0,"No Discount", ROUND(G188*100,0)&lt;=4,"Low", ROUND(G188*100,0)&lt;=9,"Medium", ROUND(G188*100,0)&lt;=15,"High")</f>
        <v>Medium</v>
      </c>
      <c r="O188" s="22" t="str">
        <f>TEXT(Table1[[#This Row],[Order date]],"mmmm")</f>
        <v>January</v>
      </c>
    </row>
    <row r="189" spans="1:15" ht="13.5" x14ac:dyDescent="0.25">
      <c r="A189" s="1" t="str">
        <f>"ORD"&amp;"-"&amp;_xlfn.XLOOKUP(C189,Guide!$B$22:$B$26,Guide!$C$22:$C$26)&amp;"-"&amp;_xlfn.XLOOKUP(D189,Guide!$B$29:$B$33,Guide!$C$29:$C$33)&amp;"-"&amp;TEXT(H189,"yyyymmdd")</f>
        <v>ORD-USA-GOV-20140101</v>
      </c>
      <c r="B189" s="1" t="s">
        <v>232</v>
      </c>
      <c r="C189" s="1" t="s">
        <v>35</v>
      </c>
      <c r="D189" s="1" t="s">
        <v>39</v>
      </c>
      <c r="E189" s="1" t="s">
        <v>80</v>
      </c>
      <c r="F189" s="2">
        <v>1117</v>
      </c>
      <c r="G189" s="4">
        <v>6.0026857654431512E-2</v>
      </c>
      <c r="H189" s="3">
        <f t="shared" si="6"/>
        <v>41640</v>
      </c>
      <c r="I189" s="1">
        <f>_xlfn.XLOOKUP(E189,Product!$A$2:$A$7,Product!$C$2:$C$7)</f>
        <v>20</v>
      </c>
      <c r="J189" s="22">
        <f t="shared" si="7"/>
        <v>22340</v>
      </c>
      <c r="K189" s="22">
        <f t="shared" si="8"/>
        <v>20999</v>
      </c>
      <c r="L189" s="22">
        <f>K189-(_xlfn.XLOOKUP(E189,Product!$A$2:$A$7,Product!$B$2:$B$7)*F189)</f>
        <v>17648</v>
      </c>
      <c r="M189">
        <f>YEAR(Table1[[#This Row],[Order date]])</f>
        <v>2014</v>
      </c>
      <c r="N189" s="22" t="str" cm="1">
        <f t="array" ref="N189">_xlfn.IFS(G189=0,"No Discount", ROUND(G189*100,0)&lt;=4,"Low", ROUND(G189*100,0)&lt;=9,"Medium", ROUND(G189*100,0)&lt;=15,"High")</f>
        <v>Medium</v>
      </c>
      <c r="O189" s="22" t="str">
        <f>TEXT(Table1[[#This Row],[Order date]],"mmmm")</f>
        <v>January</v>
      </c>
    </row>
    <row r="190" spans="1:15" ht="13.5" x14ac:dyDescent="0.25">
      <c r="A190" s="1" t="str">
        <f>"ORD"&amp;"-"&amp;_xlfn.XLOOKUP(C190,Guide!$B$22:$B$26,Guide!$C$22:$C$26)&amp;"-"&amp;_xlfn.XLOOKUP(D190,Guide!$B$29:$B$33,Guide!$C$29:$C$33)&amp;"-"&amp;TEXT(H190,"yyyymmdd")</f>
        <v>ORD-MXC-CPR-20140101</v>
      </c>
      <c r="B190" s="1" t="s">
        <v>233</v>
      </c>
      <c r="C190" s="1" t="s">
        <v>33</v>
      </c>
      <c r="D190" s="1" t="s">
        <v>43</v>
      </c>
      <c r="E190" s="1" t="s">
        <v>82</v>
      </c>
      <c r="F190" s="2">
        <v>2340</v>
      </c>
      <c r="G190" s="4">
        <v>6.9999999999999993E-2</v>
      </c>
      <c r="H190" s="3">
        <f t="shared" si="6"/>
        <v>41640</v>
      </c>
      <c r="I190" s="1">
        <f>_xlfn.XLOOKUP(E190,Product!$A$2:$A$7,Product!$C$2:$C$7)</f>
        <v>15</v>
      </c>
      <c r="J190" s="22">
        <f t="shared" si="7"/>
        <v>35100</v>
      </c>
      <c r="K190" s="22">
        <f t="shared" si="8"/>
        <v>32643</v>
      </c>
      <c r="L190" s="22">
        <f>K190-(_xlfn.XLOOKUP(E190,Product!$A$2:$A$7,Product!$B$2:$B$7)*F190)</f>
        <v>20943</v>
      </c>
      <c r="M190">
        <f>YEAR(Table1[[#This Row],[Order date]])</f>
        <v>2014</v>
      </c>
      <c r="N190" s="22" t="str" cm="1">
        <f t="array" ref="N190">_xlfn.IFS(G190=0,"No Discount", ROUND(G190*100,0)&lt;=4,"Low", ROUND(G190*100,0)&lt;=9,"Medium", ROUND(G190*100,0)&lt;=15,"High")</f>
        <v>Medium</v>
      </c>
      <c r="O190" s="22" t="str">
        <f>TEXT(Table1[[#This Row],[Order date]],"mmmm")</f>
        <v>January</v>
      </c>
    </row>
    <row r="191" spans="1:15" ht="13.5" x14ac:dyDescent="0.25">
      <c r="A191" s="1" t="str">
        <f>"ORD"&amp;"-"&amp;_xlfn.XLOOKUP(C191,Guide!$B$22:$B$26,Guide!$C$22:$C$26)&amp;"-"&amp;_xlfn.XLOOKUP(D191,Guide!$B$29:$B$33,Guide!$C$29:$C$33)&amp;"-"&amp;TEXT(H191,"yyyymmdd")</f>
        <v>ORD-CND-CPR-20140101</v>
      </c>
      <c r="B191" s="1" t="s">
        <v>234</v>
      </c>
      <c r="C191" s="1" t="s">
        <v>27</v>
      </c>
      <c r="D191" s="1" t="s">
        <v>43</v>
      </c>
      <c r="E191" s="1" t="s">
        <v>78</v>
      </c>
      <c r="F191" s="2">
        <v>3244</v>
      </c>
      <c r="G191" s="4">
        <v>7.0010789149198518E-2</v>
      </c>
      <c r="H191" s="3">
        <f t="shared" si="6"/>
        <v>41640</v>
      </c>
      <c r="I191" s="1">
        <f>_xlfn.XLOOKUP(E191,Product!$A$2:$A$7,Product!$C$2:$C$7)</f>
        <v>300</v>
      </c>
      <c r="J191" s="22">
        <f t="shared" si="7"/>
        <v>973200</v>
      </c>
      <c r="K191" s="22">
        <f t="shared" si="8"/>
        <v>905065.5</v>
      </c>
      <c r="L191" s="22">
        <f>K191-(_xlfn.XLOOKUP(E191,Product!$A$2:$A$7,Product!$B$2:$B$7)*F191)</f>
        <v>94065.5</v>
      </c>
      <c r="M191">
        <f>YEAR(Table1[[#This Row],[Order date]])</f>
        <v>2014</v>
      </c>
      <c r="N191" s="22" t="str" cm="1">
        <f t="array" ref="N191">_xlfn.IFS(G191=0,"No Discount", ROUND(G191*100,0)&lt;=4,"Low", ROUND(G191*100,0)&lt;=9,"Medium", ROUND(G191*100,0)&lt;=15,"High")</f>
        <v>Medium</v>
      </c>
      <c r="O191" s="22" t="str">
        <f>TEXT(Table1[[#This Row],[Order date]],"mmmm")</f>
        <v>January</v>
      </c>
    </row>
    <row r="192" spans="1:15" ht="13.5" x14ac:dyDescent="0.25">
      <c r="A192" s="1" t="str">
        <f>"ORD"&amp;"-"&amp;_xlfn.XLOOKUP(C192,Guide!$B$22:$B$26,Guide!$C$22:$C$26)&amp;"-"&amp;_xlfn.XLOOKUP(D192,Guide!$B$29:$B$33,Guide!$C$29:$C$33)&amp;"-"&amp;TEXT(H192,"yyyymmdd")</f>
        <v>ORD-MXC-GOV-20140101</v>
      </c>
      <c r="B192" s="1" t="s">
        <v>235</v>
      </c>
      <c r="C192" s="1" t="s">
        <v>33</v>
      </c>
      <c r="D192" s="1" t="s">
        <v>39</v>
      </c>
      <c r="E192" s="1" t="s">
        <v>75</v>
      </c>
      <c r="F192" s="2">
        <v>2417</v>
      </c>
      <c r="G192" s="4">
        <v>0.09</v>
      </c>
      <c r="H192" s="3">
        <f t="shared" si="6"/>
        <v>41640</v>
      </c>
      <c r="I192" s="1">
        <f>_xlfn.XLOOKUP(E192,Product!$A$2:$A$7,Product!$C$2:$C$7)</f>
        <v>20</v>
      </c>
      <c r="J192" s="22">
        <f t="shared" si="7"/>
        <v>48340</v>
      </c>
      <c r="K192" s="22">
        <f t="shared" si="8"/>
        <v>43989.4</v>
      </c>
      <c r="L192" s="22">
        <f>K192-(_xlfn.XLOOKUP(E192,Product!$A$2:$A$7,Product!$B$2:$B$7)*F192)</f>
        <v>19819.400000000001</v>
      </c>
      <c r="M192">
        <f>YEAR(Table1[[#This Row],[Order date]])</f>
        <v>2014</v>
      </c>
      <c r="N192" s="22" t="str" cm="1">
        <f t="array" ref="N192">_xlfn.IFS(G192=0,"No Discount", ROUND(G192*100,0)&lt;=4,"Low", ROUND(G192*100,0)&lt;=9,"Medium", ROUND(G192*100,0)&lt;=15,"High")</f>
        <v>Medium</v>
      </c>
      <c r="O192" s="22" t="str">
        <f>TEXT(Table1[[#This Row],[Order date]],"mmmm")</f>
        <v>January</v>
      </c>
    </row>
    <row r="193" spans="1:15" ht="13.5" x14ac:dyDescent="0.25">
      <c r="A193" s="1" t="str">
        <f>"ORD"&amp;"-"&amp;_xlfn.XLOOKUP(C193,Guide!$B$22:$B$26,Guide!$C$22:$C$26)&amp;"-"&amp;_xlfn.XLOOKUP(D193,Guide!$B$29:$B$33,Guide!$C$29:$C$33)&amp;"-"&amp;TEXT(H193,"yyyymmdd")</f>
        <v>ORD-MXC-SMB-20140101</v>
      </c>
      <c r="B193" s="1" t="s">
        <v>236</v>
      </c>
      <c r="C193" s="1" t="s">
        <v>33</v>
      </c>
      <c r="D193" s="1" t="s">
        <v>47</v>
      </c>
      <c r="E193" s="1" t="s">
        <v>75</v>
      </c>
      <c r="F193" s="2">
        <v>2565</v>
      </c>
      <c r="G193" s="4">
        <v>0.09</v>
      </c>
      <c r="H193" s="3">
        <f t="shared" si="6"/>
        <v>41640</v>
      </c>
      <c r="I193" s="1">
        <f>_xlfn.XLOOKUP(E193,Product!$A$2:$A$7,Product!$C$2:$C$7)</f>
        <v>20</v>
      </c>
      <c r="J193" s="22">
        <f t="shared" si="7"/>
        <v>51300</v>
      </c>
      <c r="K193" s="22">
        <f t="shared" si="8"/>
        <v>46683</v>
      </c>
      <c r="L193" s="22">
        <f>K193-(_xlfn.XLOOKUP(E193,Product!$A$2:$A$7,Product!$B$2:$B$7)*F193)</f>
        <v>21033</v>
      </c>
      <c r="M193">
        <f>YEAR(Table1[[#This Row],[Order date]])</f>
        <v>2014</v>
      </c>
      <c r="N193" s="22" t="str" cm="1">
        <f t="array" ref="N193">_xlfn.IFS(G193=0,"No Discount", ROUND(G193*100,0)&lt;=4,"Low", ROUND(G193*100,0)&lt;=9,"Medium", ROUND(G193*100,0)&lt;=15,"High")</f>
        <v>Medium</v>
      </c>
      <c r="O193" s="22" t="str">
        <f>TEXT(Table1[[#This Row],[Order date]],"mmmm")</f>
        <v>January</v>
      </c>
    </row>
    <row r="194" spans="1:15" ht="13.5" x14ac:dyDescent="0.25">
      <c r="A194" s="1" t="str">
        <f>"ORD"&amp;"-"&amp;_xlfn.XLOOKUP(C194,Guide!$B$22:$B$26,Guide!$C$22:$C$26)&amp;"-"&amp;_xlfn.XLOOKUP(D194,Guide!$B$29:$B$33,Guide!$C$29:$C$33)&amp;"-"&amp;TEXT(H194,"yyyymmdd")</f>
        <v>ORD-USA-CPR-20140101</v>
      </c>
      <c r="B194" s="1" t="s">
        <v>237</v>
      </c>
      <c r="C194" s="1" t="s">
        <v>35</v>
      </c>
      <c r="D194" s="1" t="s">
        <v>43</v>
      </c>
      <c r="E194" s="1" t="s">
        <v>78</v>
      </c>
      <c r="F194" s="2">
        <v>1956</v>
      </c>
      <c r="G194" s="4">
        <v>0.09</v>
      </c>
      <c r="H194" s="3">
        <f t="shared" ref="H194:H257" si="9">DATE(VALUE(_xlfn.TEXTBEFORE(_xlfn.TEXTAFTER(B194,"""year"": """),"""")),VALUE(_xlfn.TEXTBEFORE(_xlfn.TEXTAFTER(B194,"""month"": """),"""")),VALUE(_xlfn.TEXTBEFORE(_xlfn.TEXTAFTER(B194,"""date"": """),""""))
)</f>
        <v>41640</v>
      </c>
      <c r="I194" s="1">
        <f>_xlfn.XLOOKUP(E194,Product!$A$2:$A$7,Product!$C$2:$C$7)</f>
        <v>300</v>
      </c>
      <c r="J194" s="22">
        <f t="shared" ref="J194:J257" si="10">I194*F194</f>
        <v>586800</v>
      </c>
      <c r="K194" s="22">
        <f t="shared" ref="K194:K257" si="11">J194*(1-IF(G194="-",0,G194))</f>
        <v>533988</v>
      </c>
      <c r="L194" s="22">
        <f>K194-(_xlfn.XLOOKUP(E194,Product!$A$2:$A$7,Product!$B$2:$B$7)*F194)</f>
        <v>44988</v>
      </c>
      <c r="M194">
        <f>YEAR(Table1[[#This Row],[Order date]])</f>
        <v>2014</v>
      </c>
      <c r="N194" s="22" t="str" cm="1">
        <f t="array" ref="N194">_xlfn.IFS(G194=0,"No Discount", ROUND(G194*100,0)&lt;=4,"Low", ROUND(G194*100,0)&lt;=9,"Medium", ROUND(G194*100,0)&lt;=15,"High")</f>
        <v>Medium</v>
      </c>
      <c r="O194" s="22" t="str">
        <f>TEXT(Table1[[#This Row],[Order date]],"mmmm")</f>
        <v>January</v>
      </c>
    </row>
    <row r="195" spans="1:15" ht="13.5" x14ac:dyDescent="0.25">
      <c r="A195" s="1" t="str">
        <f>"ORD"&amp;"-"&amp;_xlfn.XLOOKUP(C195,Guide!$B$22:$B$26,Guide!$C$22:$C$26)&amp;"-"&amp;_xlfn.XLOOKUP(D195,Guide!$B$29:$B$33,Guide!$C$29:$C$33)&amp;"-"&amp;TEXT(H195,"yyyymmdd")</f>
        <v>ORD-GER-MDM-20140101</v>
      </c>
      <c r="B195" s="1" t="s">
        <v>238</v>
      </c>
      <c r="C195" s="1" t="s">
        <v>29</v>
      </c>
      <c r="D195" s="1" t="s">
        <v>41</v>
      </c>
      <c r="E195" s="1" t="s">
        <v>88</v>
      </c>
      <c r="F195" s="2">
        <v>681</v>
      </c>
      <c r="G195" s="4">
        <v>0.1</v>
      </c>
      <c r="H195" s="3">
        <f t="shared" si="9"/>
        <v>41640</v>
      </c>
      <c r="I195" s="1">
        <f>_xlfn.XLOOKUP(E195,Product!$A$2:$A$7,Product!$C$2:$C$7)</f>
        <v>180</v>
      </c>
      <c r="J195" s="22">
        <f t="shared" si="10"/>
        <v>122580</v>
      </c>
      <c r="K195" s="22">
        <f t="shared" si="11"/>
        <v>110322</v>
      </c>
      <c r="L195" s="22">
        <f>K195-(_xlfn.XLOOKUP(E195,Product!$A$2:$A$7,Product!$B$2:$B$7)*F195)</f>
        <v>28602</v>
      </c>
      <c r="M195">
        <f>YEAR(Table1[[#This Row],[Order date]])</f>
        <v>2014</v>
      </c>
      <c r="N195" s="22" t="str" cm="1">
        <f t="array" ref="N195">_xlfn.IFS(G195=0,"No Discount", ROUND(G195*100,0)&lt;=4,"Low", ROUND(G195*100,0)&lt;=9,"Medium", ROUND(G195*100,0)&lt;=15,"High")</f>
        <v>High</v>
      </c>
      <c r="O195" s="22" t="str">
        <f>TEXT(Table1[[#This Row],[Order date]],"mmmm")</f>
        <v>January</v>
      </c>
    </row>
    <row r="196" spans="1:15" ht="13.5" x14ac:dyDescent="0.25">
      <c r="A196" s="1" t="str">
        <f>"ORD"&amp;"-"&amp;_xlfn.XLOOKUP(C196,Guide!$B$22:$B$26,Guide!$C$22:$C$26)&amp;"-"&amp;_xlfn.XLOOKUP(D196,Guide!$B$29:$B$33,Guide!$C$29:$C$33)&amp;"-"&amp;TEXT(H196,"yyyymmdd")</f>
        <v>ORD-USA-ENT-20140101</v>
      </c>
      <c r="B196" s="1" t="s">
        <v>239</v>
      </c>
      <c r="C196" s="1" t="s">
        <v>35</v>
      </c>
      <c r="D196" s="1" t="s">
        <v>45</v>
      </c>
      <c r="E196" s="1" t="s">
        <v>84</v>
      </c>
      <c r="F196" s="2">
        <v>579</v>
      </c>
      <c r="G196" s="4">
        <v>0.1</v>
      </c>
      <c r="H196" s="3">
        <f t="shared" si="9"/>
        <v>41640</v>
      </c>
      <c r="I196" s="1">
        <f>_xlfn.XLOOKUP(E196,Product!$A$2:$A$7,Product!$C$2:$C$7)</f>
        <v>350</v>
      </c>
      <c r="J196" s="22">
        <f t="shared" si="10"/>
        <v>202650</v>
      </c>
      <c r="K196" s="22">
        <f t="shared" si="11"/>
        <v>182385</v>
      </c>
      <c r="L196" s="22">
        <f>K196-(_xlfn.XLOOKUP(E196,Product!$A$2:$A$7,Product!$B$2:$B$7)*F196)</f>
        <v>66585</v>
      </c>
      <c r="M196">
        <f>YEAR(Table1[[#This Row],[Order date]])</f>
        <v>2014</v>
      </c>
      <c r="N196" s="22" t="str" cm="1">
        <f t="array" ref="N196">_xlfn.IFS(G196=0,"No Discount", ROUND(G196*100,0)&lt;=4,"Low", ROUND(G196*100,0)&lt;=9,"Medium", ROUND(G196*100,0)&lt;=15,"High")</f>
        <v>High</v>
      </c>
      <c r="O196" s="22" t="str">
        <f>TEXT(Table1[[#This Row],[Order date]],"mmmm")</f>
        <v>January</v>
      </c>
    </row>
    <row r="197" spans="1:15" ht="13.5" x14ac:dyDescent="0.25">
      <c r="A197" s="1" t="str">
        <f>"ORD"&amp;"-"&amp;_xlfn.XLOOKUP(C197,Guide!$B$22:$B$26,Guide!$C$22:$C$26)&amp;"-"&amp;_xlfn.XLOOKUP(D197,Guide!$B$29:$B$33,Guide!$C$29:$C$33)&amp;"-"&amp;TEXT(H197,"yyyymmdd")</f>
        <v>ORD-GER-GOV-20140101</v>
      </c>
      <c r="B197" s="1" t="s">
        <v>240</v>
      </c>
      <c r="C197" s="1" t="s">
        <v>29</v>
      </c>
      <c r="D197" s="1" t="s">
        <v>39</v>
      </c>
      <c r="E197" s="1" t="s">
        <v>82</v>
      </c>
      <c r="F197" s="2">
        <v>766</v>
      </c>
      <c r="G197" s="4">
        <v>0.11</v>
      </c>
      <c r="H197" s="3">
        <f t="shared" si="9"/>
        <v>41640</v>
      </c>
      <c r="I197" s="1">
        <f>_xlfn.XLOOKUP(E197,Product!$A$2:$A$7,Product!$C$2:$C$7)</f>
        <v>15</v>
      </c>
      <c r="J197" s="22">
        <f t="shared" si="10"/>
        <v>11490</v>
      </c>
      <c r="K197" s="22">
        <f t="shared" si="11"/>
        <v>10226.1</v>
      </c>
      <c r="L197" s="22">
        <f>K197-(_xlfn.XLOOKUP(E197,Product!$A$2:$A$7,Product!$B$2:$B$7)*F197)</f>
        <v>6396.1</v>
      </c>
      <c r="M197">
        <f>YEAR(Table1[[#This Row],[Order date]])</f>
        <v>2014</v>
      </c>
      <c r="N197" s="22" t="str" cm="1">
        <f t="array" ref="N197">_xlfn.IFS(G197=0,"No Discount", ROUND(G197*100,0)&lt;=4,"Low", ROUND(G197*100,0)&lt;=9,"Medium", ROUND(G197*100,0)&lt;=15,"High")</f>
        <v>High</v>
      </c>
      <c r="O197" s="22" t="str">
        <f>TEXT(Table1[[#This Row],[Order date]],"mmmm")</f>
        <v>January</v>
      </c>
    </row>
    <row r="198" spans="1:15" ht="13.5" x14ac:dyDescent="0.25">
      <c r="A198" s="1" t="str">
        <f>"ORD"&amp;"-"&amp;_xlfn.XLOOKUP(C198,Guide!$B$22:$B$26,Guide!$C$22:$C$26)&amp;"-"&amp;_xlfn.XLOOKUP(D198,Guide!$B$29:$B$33,Guide!$C$29:$C$33)&amp;"-"&amp;TEXT(H198,"yyyymmdd")</f>
        <v>ORD-CND-SMB-20140101</v>
      </c>
      <c r="B198" s="1" t="s">
        <v>241</v>
      </c>
      <c r="C198" s="1" t="s">
        <v>27</v>
      </c>
      <c r="D198" s="1" t="s">
        <v>47</v>
      </c>
      <c r="E198" s="1" t="s">
        <v>75</v>
      </c>
      <c r="F198" s="2">
        <v>873</v>
      </c>
      <c r="G198" s="4">
        <v>0.11</v>
      </c>
      <c r="H198" s="3">
        <f t="shared" si="9"/>
        <v>41640</v>
      </c>
      <c r="I198" s="1">
        <f>_xlfn.XLOOKUP(E198,Product!$A$2:$A$7,Product!$C$2:$C$7)</f>
        <v>20</v>
      </c>
      <c r="J198" s="22">
        <f t="shared" si="10"/>
        <v>17460</v>
      </c>
      <c r="K198" s="22">
        <f t="shared" si="11"/>
        <v>15539.4</v>
      </c>
      <c r="L198" s="22">
        <f>K198-(_xlfn.XLOOKUP(E198,Product!$A$2:$A$7,Product!$B$2:$B$7)*F198)</f>
        <v>6809.4</v>
      </c>
      <c r="M198">
        <f>YEAR(Table1[[#This Row],[Order date]])</f>
        <v>2014</v>
      </c>
      <c r="N198" s="22" t="str" cm="1">
        <f t="array" ref="N198">_xlfn.IFS(G198=0,"No Discount", ROUND(G198*100,0)&lt;=4,"Low", ROUND(G198*100,0)&lt;=9,"Medium", ROUND(G198*100,0)&lt;=15,"High")</f>
        <v>High</v>
      </c>
      <c r="O198" s="22" t="str">
        <f>TEXT(Table1[[#This Row],[Order date]],"mmmm")</f>
        <v>January</v>
      </c>
    </row>
    <row r="199" spans="1:15" ht="13.5" x14ac:dyDescent="0.25">
      <c r="A199" s="1" t="str">
        <f>"ORD"&amp;"-"&amp;_xlfn.XLOOKUP(C199,Guide!$B$22:$B$26,Guide!$C$22:$C$26)&amp;"-"&amp;_xlfn.XLOOKUP(D199,Guide!$B$29:$B$33,Guide!$C$29:$C$33)&amp;"-"&amp;TEXT(H199,"yyyymmdd")</f>
        <v>ORD-MXC-ENT-20140101</v>
      </c>
      <c r="B199" s="1" t="s">
        <v>242</v>
      </c>
      <c r="C199" s="1" t="s">
        <v>33</v>
      </c>
      <c r="D199" s="1" t="s">
        <v>45</v>
      </c>
      <c r="E199" s="1" t="s">
        <v>78</v>
      </c>
      <c r="F199" s="2">
        <v>554</v>
      </c>
      <c r="G199" s="4">
        <v>0.11</v>
      </c>
      <c r="H199" s="3">
        <f t="shared" si="9"/>
        <v>41640</v>
      </c>
      <c r="I199" s="1">
        <f>_xlfn.XLOOKUP(E199,Product!$A$2:$A$7,Product!$C$2:$C$7)</f>
        <v>300</v>
      </c>
      <c r="J199" s="22">
        <f t="shared" si="10"/>
        <v>166200</v>
      </c>
      <c r="K199" s="22">
        <f t="shared" si="11"/>
        <v>147918</v>
      </c>
      <c r="L199" s="22">
        <f>K199-(_xlfn.XLOOKUP(E199,Product!$A$2:$A$7,Product!$B$2:$B$7)*F199)</f>
        <v>9418</v>
      </c>
      <c r="M199">
        <f>YEAR(Table1[[#This Row],[Order date]])</f>
        <v>2014</v>
      </c>
      <c r="N199" s="22" t="str" cm="1">
        <f t="array" ref="N199">_xlfn.IFS(G199=0,"No Discount", ROUND(G199*100,0)&lt;=4,"Low", ROUND(G199*100,0)&lt;=9,"Medium", ROUND(G199*100,0)&lt;=15,"High")</f>
        <v>High</v>
      </c>
      <c r="O199" s="22" t="str">
        <f>TEXT(Table1[[#This Row],[Order date]],"mmmm")</f>
        <v>January</v>
      </c>
    </row>
    <row r="200" spans="1:15" ht="13.5" x14ac:dyDescent="0.25">
      <c r="A200" s="1" t="str">
        <f>"ORD"&amp;"-"&amp;_xlfn.XLOOKUP(C200,Guide!$B$22:$B$26,Guide!$C$22:$C$26)&amp;"-"&amp;_xlfn.XLOOKUP(D200,Guide!$B$29:$B$33,Guide!$C$29:$C$33)&amp;"-"&amp;TEXT(H200,"yyyymmdd")</f>
        <v>ORD-CND-MDM-20140101</v>
      </c>
      <c r="B200" s="1" t="s">
        <v>243</v>
      </c>
      <c r="C200" s="1" t="s">
        <v>27</v>
      </c>
      <c r="D200" s="1" t="s">
        <v>41</v>
      </c>
      <c r="E200" s="1" t="s">
        <v>88</v>
      </c>
      <c r="F200" s="2">
        <v>384</v>
      </c>
      <c r="G200" s="4">
        <v>0.11</v>
      </c>
      <c r="H200" s="3">
        <f t="shared" si="9"/>
        <v>41640</v>
      </c>
      <c r="I200" s="1">
        <f>_xlfn.XLOOKUP(E200,Product!$A$2:$A$7,Product!$C$2:$C$7)</f>
        <v>180</v>
      </c>
      <c r="J200" s="22">
        <f t="shared" si="10"/>
        <v>69120</v>
      </c>
      <c r="K200" s="22">
        <f t="shared" si="11"/>
        <v>61516.800000000003</v>
      </c>
      <c r="L200" s="22">
        <f>K200-(_xlfn.XLOOKUP(E200,Product!$A$2:$A$7,Product!$B$2:$B$7)*F200)</f>
        <v>15436.800000000003</v>
      </c>
      <c r="M200">
        <f>YEAR(Table1[[#This Row],[Order date]])</f>
        <v>2014</v>
      </c>
      <c r="N200" s="22" t="str" cm="1">
        <f t="array" ref="N200">_xlfn.IFS(G200=0,"No Discount", ROUND(G200*100,0)&lt;=4,"Low", ROUND(G200*100,0)&lt;=9,"Medium", ROUND(G200*100,0)&lt;=15,"High")</f>
        <v>High</v>
      </c>
      <c r="O200" s="22" t="str">
        <f>TEXT(Table1[[#This Row],[Order date]],"mmmm")</f>
        <v>January</v>
      </c>
    </row>
    <row r="201" spans="1:15" ht="13.5" x14ac:dyDescent="0.25">
      <c r="A201" s="1" t="str">
        <f>"ORD"&amp;"-"&amp;_xlfn.XLOOKUP(C201,Guide!$B$22:$B$26,Guide!$C$22:$C$26)&amp;"-"&amp;_xlfn.XLOOKUP(D201,Guide!$B$29:$B$33,Guide!$C$29:$C$33)&amp;"-"&amp;TEXT(H201,"yyyymmdd")</f>
        <v>ORD-FRA-CPR-20140101</v>
      </c>
      <c r="B201" s="1" t="s">
        <v>244</v>
      </c>
      <c r="C201" s="1" t="s">
        <v>31</v>
      </c>
      <c r="D201" s="1" t="s">
        <v>43</v>
      </c>
      <c r="E201" s="1" t="s">
        <v>78</v>
      </c>
      <c r="F201" s="2">
        <v>1734</v>
      </c>
      <c r="G201" s="4">
        <v>0.11</v>
      </c>
      <c r="H201" s="3">
        <f t="shared" si="9"/>
        <v>41640</v>
      </c>
      <c r="I201" s="1">
        <f>_xlfn.XLOOKUP(E201,Product!$A$2:$A$7,Product!$C$2:$C$7)</f>
        <v>300</v>
      </c>
      <c r="J201" s="22">
        <f t="shared" si="10"/>
        <v>520200</v>
      </c>
      <c r="K201" s="22">
        <f t="shared" si="11"/>
        <v>462978</v>
      </c>
      <c r="L201" s="22">
        <f>K201-(_xlfn.XLOOKUP(E201,Product!$A$2:$A$7,Product!$B$2:$B$7)*F201)</f>
        <v>29478</v>
      </c>
      <c r="M201">
        <f>YEAR(Table1[[#This Row],[Order date]])</f>
        <v>2014</v>
      </c>
      <c r="N201" s="22" t="str" cm="1">
        <f t="array" ref="N201">_xlfn.IFS(G201=0,"No Discount", ROUND(G201*100,0)&lt;=4,"Low", ROUND(G201*100,0)&lt;=9,"Medium", ROUND(G201*100,0)&lt;=15,"High")</f>
        <v>High</v>
      </c>
      <c r="O201" s="22" t="str">
        <f>TEXT(Table1[[#This Row],[Order date]],"mmmm")</f>
        <v>January</v>
      </c>
    </row>
    <row r="202" spans="1:15" ht="13.5" x14ac:dyDescent="0.25">
      <c r="A202" s="1" t="str">
        <f>"ORD"&amp;"-"&amp;_xlfn.XLOOKUP(C202,Guide!$B$22:$B$26,Guide!$C$22:$C$26)&amp;"-"&amp;_xlfn.XLOOKUP(D202,Guide!$B$29:$B$33,Guide!$C$29:$C$33)&amp;"-"&amp;TEXT(H202,"yyyymmdd")</f>
        <v>ORD-MXC-GOV-20140101</v>
      </c>
      <c r="B202" s="1" t="s">
        <v>245</v>
      </c>
      <c r="C202" s="1" t="s">
        <v>33</v>
      </c>
      <c r="D202" s="1" t="s">
        <v>39</v>
      </c>
      <c r="E202" s="1" t="s">
        <v>84</v>
      </c>
      <c r="F202" s="2">
        <v>2629</v>
      </c>
      <c r="G202" s="4">
        <v>0.11</v>
      </c>
      <c r="H202" s="3">
        <f t="shared" si="9"/>
        <v>41640</v>
      </c>
      <c r="I202" s="1">
        <f>_xlfn.XLOOKUP(E202,Product!$A$2:$A$7,Product!$C$2:$C$7)</f>
        <v>350</v>
      </c>
      <c r="J202" s="22">
        <f t="shared" si="10"/>
        <v>920150</v>
      </c>
      <c r="K202" s="22">
        <f t="shared" si="11"/>
        <v>818933.5</v>
      </c>
      <c r="L202" s="22">
        <f>K202-(_xlfn.XLOOKUP(E202,Product!$A$2:$A$7,Product!$B$2:$B$7)*F202)</f>
        <v>293133.5</v>
      </c>
      <c r="M202">
        <f>YEAR(Table1[[#This Row],[Order date]])</f>
        <v>2014</v>
      </c>
      <c r="N202" s="22" t="str" cm="1">
        <f t="array" ref="N202">_xlfn.IFS(G202=0,"No Discount", ROUND(G202*100,0)&lt;=4,"Low", ROUND(G202*100,0)&lt;=9,"Medium", ROUND(G202*100,0)&lt;=15,"High")</f>
        <v>High</v>
      </c>
      <c r="O202" s="22" t="str">
        <f>TEXT(Table1[[#This Row],[Order date]],"mmmm")</f>
        <v>January</v>
      </c>
    </row>
    <row r="203" spans="1:15" ht="13.5" x14ac:dyDescent="0.25">
      <c r="A203" s="1" t="str">
        <f>"ORD"&amp;"-"&amp;_xlfn.XLOOKUP(C203,Guide!$B$22:$B$26,Guide!$C$22:$C$26)&amp;"-"&amp;_xlfn.XLOOKUP(D203,Guide!$B$29:$B$33,Guide!$C$29:$C$33)&amp;"-"&amp;TEXT(H203,"yyyymmdd")</f>
        <v>ORD-GER-ENT-20140101</v>
      </c>
      <c r="B203" s="1" t="s">
        <v>246</v>
      </c>
      <c r="C203" s="1" t="s">
        <v>29</v>
      </c>
      <c r="D203" s="1" t="s">
        <v>45</v>
      </c>
      <c r="E203" s="1" t="s">
        <v>84</v>
      </c>
      <c r="F203" s="2">
        <v>3165</v>
      </c>
      <c r="G203" s="4">
        <v>0.11</v>
      </c>
      <c r="H203" s="3">
        <f t="shared" si="9"/>
        <v>41640</v>
      </c>
      <c r="I203" s="1">
        <f>_xlfn.XLOOKUP(E203,Product!$A$2:$A$7,Product!$C$2:$C$7)</f>
        <v>350</v>
      </c>
      <c r="J203" s="22">
        <f t="shared" si="10"/>
        <v>1107750</v>
      </c>
      <c r="K203" s="22">
        <f t="shared" si="11"/>
        <v>985897.5</v>
      </c>
      <c r="L203" s="22">
        <f>K203-(_xlfn.XLOOKUP(E203,Product!$A$2:$A$7,Product!$B$2:$B$7)*F203)</f>
        <v>352897.5</v>
      </c>
      <c r="M203">
        <f>YEAR(Table1[[#This Row],[Order date]])</f>
        <v>2014</v>
      </c>
      <c r="N203" s="22" t="str" cm="1">
        <f t="array" ref="N203">_xlfn.IFS(G203=0,"No Discount", ROUND(G203*100,0)&lt;=4,"Low", ROUND(G203*100,0)&lt;=9,"Medium", ROUND(G203*100,0)&lt;=15,"High")</f>
        <v>High</v>
      </c>
      <c r="O203" s="22" t="str">
        <f>TEXT(Table1[[#This Row],[Order date]],"mmmm")</f>
        <v>January</v>
      </c>
    </row>
    <row r="204" spans="1:15" ht="13.5" x14ac:dyDescent="0.25">
      <c r="A204" s="1" t="str">
        <f>"ORD"&amp;"-"&amp;_xlfn.XLOOKUP(C204,Guide!$B$22:$B$26,Guide!$C$22:$C$26)&amp;"-"&amp;_xlfn.XLOOKUP(D204,Guide!$B$29:$B$33,Guide!$C$29:$C$33)&amp;"-"&amp;TEXT(H204,"yyyymmdd")</f>
        <v>ORD-USA-SMB-20140101</v>
      </c>
      <c r="B204" s="1" t="s">
        <v>247</v>
      </c>
      <c r="C204" s="1" t="s">
        <v>35</v>
      </c>
      <c r="D204" s="1" t="s">
        <v>47</v>
      </c>
      <c r="E204" s="1" t="s">
        <v>75</v>
      </c>
      <c r="F204" s="2">
        <v>3495</v>
      </c>
      <c r="G204" s="4">
        <v>0.12</v>
      </c>
      <c r="H204" s="3">
        <f t="shared" si="9"/>
        <v>41640</v>
      </c>
      <c r="I204" s="1">
        <f>_xlfn.XLOOKUP(E204,Product!$A$2:$A$7,Product!$C$2:$C$7)</f>
        <v>20</v>
      </c>
      <c r="J204" s="22">
        <f t="shared" si="10"/>
        <v>69900</v>
      </c>
      <c r="K204" s="22">
        <f t="shared" si="11"/>
        <v>61512</v>
      </c>
      <c r="L204" s="22">
        <f>K204-(_xlfn.XLOOKUP(E204,Product!$A$2:$A$7,Product!$B$2:$B$7)*F204)</f>
        <v>26562</v>
      </c>
      <c r="M204">
        <f>YEAR(Table1[[#This Row],[Order date]])</f>
        <v>2014</v>
      </c>
      <c r="N204" s="22" t="str" cm="1">
        <f t="array" ref="N204">_xlfn.IFS(G204=0,"No Discount", ROUND(G204*100,0)&lt;=4,"Low", ROUND(G204*100,0)&lt;=9,"Medium", ROUND(G204*100,0)&lt;=15,"High")</f>
        <v>High</v>
      </c>
      <c r="O204" s="22" t="str">
        <f>TEXT(Table1[[#This Row],[Order date]],"mmmm")</f>
        <v>January</v>
      </c>
    </row>
    <row r="205" spans="1:15" ht="13.5" x14ac:dyDescent="0.25">
      <c r="A205" s="1" t="str">
        <f>"ORD"&amp;"-"&amp;_xlfn.XLOOKUP(C205,Guide!$B$22:$B$26,Guide!$C$22:$C$26)&amp;"-"&amp;_xlfn.XLOOKUP(D205,Guide!$B$29:$B$33,Guide!$C$29:$C$33)&amp;"-"&amp;TEXT(H205,"yyyymmdd")</f>
        <v>ORD-FRA-GOV-20140101</v>
      </c>
      <c r="B205" s="1" t="s">
        <v>248</v>
      </c>
      <c r="C205" s="1" t="s">
        <v>31</v>
      </c>
      <c r="D205" s="1" t="s">
        <v>39</v>
      </c>
      <c r="E205" s="1" t="s">
        <v>80</v>
      </c>
      <c r="F205" s="2">
        <v>2521</v>
      </c>
      <c r="G205" s="4">
        <v>0.12002380007933361</v>
      </c>
      <c r="H205" s="3">
        <f t="shared" si="9"/>
        <v>41640</v>
      </c>
      <c r="I205" s="1">
        <f>_xlfn.XLOOKUP(E205,Product!$A$2:$A$7,Product!$C$2:$C$7)</f>
        <v>20</v>
      </c>
      <c r="J205" s="22">
        <f t="shared" si="10"/>
        <v>50420</v>
      </c>
      <c r="K205" s="22">
        <f t="shared" si="11"/>
        <v>44368.399999999994</v>
      </c>
      <c r="L205" s="22">
        <f>K205-(_xlfn.XLOOKUP(E205,Product!$A$2:$A$7,Product!$B$2:$B$7)*F205)</f>
        <v>36805.399999999994</v>
      </c>
      <c r="M205">
        <f>YEAR(Table1[[#This Row],[Order date]])</f>
        <v>2014</v>
      </c>
      <c r="N205" s="22" t="str" cm="1">
        <f t="array" ref="N205">_xlfn.IFS(G205=0,"No Discount", ROUND(G205*100,0)&lt;=4,"Low", ROUND(G205*100,0)&lt;=9,"Medium", ROUND(G205*100,0)&lt;=15,"High")</f>
        <v>High</v>
      </c>
      <c r="O205" s="22" t="str">
        <f>TEXT(Table1[[#This Row],[Order date]],"mmmm")</f>
        <v>January</v>
      </c>
    </row>
    <row r="206" spans="1:15" ht="13.5" x14ac:dyDescent="0.25">
      <c r="A206" s="1" t="str">
        <f>"ORD"&amp;"-"&amp;_xlfn.XLOOKUP(C206,Guide!$B$22:$B$26,Guide!$C$22:$C$26)&amp;"-"&amp;_xlfn.XLOOKUP(D206,Guide!$B$29:$B$33,Guide!$C$29:$C$33)&amp;"-"&amp;TEXT(H206,"yyyymmdd")</f>
        <v>ORD-GER-SMB-20140101</v>
      </c>
      <c r="B206" s="1" t="s">
        <v>249</v>
      </c>
      <c r="C206" s="1" t="s">
        <v>29</v>
      </c>
      <c r="D206" s="1" t="s">
        <v>47</v>
      </c>
      <c r="E206" s="1" t="s">
        <v>75</v>
      </c>
      <c r="F206" s="2">
        <v>807</v>
      </c>
      <c r="G206" s="4">
        <v>0.13</v>
      </c>
      <c r="H206" s="3">
        <f t="shared" si="9"/>
        <v>41640</v>
      </c>
      <c r="I206" s="1">
        <f>_xlfn.XLOOKUP(E206,Product!$A$2:$A$7,Product!$C$2:$C$7)</f>
        <v>20</v>
      </c>
      <c r="J206" s="22">
        <f t="shared" si="10"/>
        <v>16140</v>
      </c>
      <c r="K206" s="22">
        <f t="shared" si="11"/>
        <v>14041.8</v>
      </c>
      <c r="L206" s="22">
        <f>K206-(_xlfn.XLOOKUP(E206,Product!$A$2:$A$7,Product!$B$2:$B$7)*F206)</f>
        <v>5971.7999999999993</v>
      </c>
      <c r="M206">
        <f>YEAR(Table1[[#This Row],[Order date]])</f>
        <v>2014</v>
      </c>
      <c r="N206" s="22" t="str" cm="1">
        <f t="array" ref="N206">_xlfn.IFS(G206=0,"No Discount", ROUND(G206*100,0)&lt;=4,"Low", ROUND(G206*100,0)&lt;=9,"Medium", ROUND(G206*100,0)&lt;=15,"High")</f>
        <v>High</v>
      </c>
      <c r="O206" s="22" t="str">
        <f>TEXT(Table1[[#This Row],[Order date]],"mmmm")</f>
        <v>January</v>
      </c>
    </row>
    <row r="207" spans="1:15" ht="13.5" x14ac:dyDescent="0.25">
      <c r="A207" s="1" t="str">
        <f>"ORD"&amp;"-"&amp;_xlfn.XLOOKUP(C207,Guide!$B$22:$B$26,Guide!$C$22:$C$26)&amp;"-"&amp;_xlfn.XLOOKUP(D207,Guide!$B$29:$B$33,Guide!$C$29:$C$33)&amp;"-"&amp;TEXT(H207,"yyyymmdd")</f>
        <v>ORD-CND-ENT-20140101</v>
      </c>
      <c r="B207" s="1" t="s">
        <v>250</v>
      </c>
      <c r="C207" s="1" t="s">
        <v>27</v>
      </c>
      <c r="D207" s="1" t="s">
        <v>45</v>
      </c>
      <c r="E207" s="1" t="s">
        <v>84</v>
      </c>
      <c r="F207" s="2">
        <v>1659</v>
      </c>
      <c r="G207" s="4">
        <v>0.13</v>
      </c>
      <c r="H207" s="3">
        <f t="shared" si="9"/>
        <v>41640</v>
      </c>
      <c r="I207" s="1">
        <f>_xlfn.XLOOKUP(E207,Product!$A$2:$A$7,Product!$C$2:$C$7)</f>
        <v>350</v>
      </c>
      <c r="J207" s="22">
        <f t="shared" si="10"/>
        <v>580650</v>
      </c>
      <c r="K207" s="22">
        <f t="shared" si="11"/>
        <v>505165.5</v>
      </c>
      <c r="L207" s="22">
        <f>K207-(_xlfn.XLOOKUP(E207,Product!$A$2:$A$7,Product!$B$2:$B$7)*F207)</f>
        <v>173365.5</v>
      </c>
      <c r="M207">
        <f>YEAR(Table1[[#This Row],[Order date]])</f>
        <v>2014</v>
      </c>
      <c r="N207" s="22" t="str" cm="1">
        <f t="array" ref="N207">_xlfn.IFS(G207=0,"No Discount", ROUND(G207*100,0)&lt;=4,"Low", ROUND(G207*100,0)&lt;=9,"Medium", ROUND(G207*100,0)&lt;=15,"High")</f>
        <v>High</v>
      </c>
      <c r="O207" s="22" t="str">
        <f>TEXT(Table1[[#This Row],[Order date]],"mmmm")</f>
        <v>January</v>
      </c>
    </row>
    <row r="208" spans="1:15" ht="13.5" x14ac:dyDescent="0.25">
      <c r="A208" s="1" t="str">
        <f>"ORD"&amp;"-"&amp;_xlfn.XLOOKUP(C208,Guide!$B$22:$B$26,Guide!$C$22:$C$26)&amp;"-"&amp;_xlfn.XLOOKUP(D208,Guide!$B$29:$B$33,Guide!$C$29:$C$33)&amp;"-"&amp;TEXT(H208,"yyyymmdd")</f>
        <v>ORD-FRA-MDM-20140101</v>
      </c>
      <c r="B208" s="1" t="s">
        <v>251</v>
      </c>
      <c r="C208" s="1" t="s">
        <v>31</v>
      </c>
      <c r="D208" s="1" t="s">
        <v>41</v>
      </c>
      <c r="E208" s="1" t="s">
        <v>88</v>
      </c>
      <c r="F208" s="2">
        <v>3997</v>
      </c>
      <c r="G208" s="4">
        <v>0.13001634559252773</v>
      </c>
      <c r="H208" s="3">
        <f t="shared" si="9"/>
        <v>41640</v>
      </c>
      <c r="I208" s="1">
        <f>_xlfn.XLOOKUP(E208,Product!$A$2:$A$7,Product!$C$2:$C$7)</f>
        <v>180</v>
      </c>
      <c r="J208" s="22">
        <f t="shared" si="10"/>
        <v>719460</v>
      </c>
      <c r="K208" s="22">
        <f t="shared" si="11"/>
        <v>625918.43999999994</v>
      </c>
      <c r="L208" s="22">
        <f>K208-(_xlfn.XLOOKUP(E208,Product!$A$2:$A$7,Product!$B$2:$B$7)*F208)</f>
        <v>146278.43999999994</v>
      </c>
      <c r="M208">
        <f>YEAR(Table1[[#This Row],[Order date]])</f>
        <v>2014</v>
      </c>
      <c r="N208" s="22" t="str" cm="1">
        <f t="array" ref="N208">_xlfn.IFS(G208=0,"No Discount", ROUND(G208*100,0)&lt;=4,"Low", ROUND(G208*100,0)&lt;=9,"Medium", ROUND(G208*100,0)&lt;=15,"High")</f>
        <v>High</v>
      </c>
      <c r="O208" s="22" t="str">
        <f>TEXT(Table1[[#This Row],[Order date]],"mmmm")</f>
        <v>January</v>
      </c>
    </row>
    <row r="209" spans="1:15" ht="13.5" x14ac:dyDescent="0.25">
      <c r="A209" s="1" t="str">
        <f>"ORD"&amp;"-"&amp;_xlfn.XLOOKUP(C209,Guide!$B$22:$B$26,Guide!$C$22:$C$26)&amp;"-"&amp;_xlfn.XLOOKUP(D209,Guide!$B$29:$B$33,Guide!$C$29:$C$33)&amp;"-"&amp;TEXT(H209,"yyyymmdd")</f>
        <v>ORD-USA-GOV-20140101</v>
      </c>
      <c r="B209" s="1" t="s">
        <v>252</v>
      </c>
      <c r="C209" s="1" t="s">
        <v>35</v>
      </c>
      <c r="D209" s="1" t="s">
        <v>39</v>
      </c>
      <c r="E209" s="1" t="s">
        <v>75</v>
      </c>
      <c r="F209" s="2">
        <v>1438</v>
      </c>
      <c r="G209" s="4">
        <v>0.13004569839062188</v>
      </c>
      <c r="H209" s="3">
        <f t="shared" si="9"/>
        <v>41640</v>
      </c>
      <c r="I209" s="1">
        <f>_xlfn.XLOOKUP(E209,Product!$A$2:$A$7,Product!$C$2:$C$7)</f>
        <v>20</v>
      </c>
      <c r="J209" s="22">
        <f t="shared" si="10"/>
        <v>28760</v>
      </c>
      <c r="K209" s="22">
        <f t="shared" si="11"/>
        <v>25019.885714285716</v>
      </c>
      <c r="L209" s="22">
        <f>K209-(_xlfn.XLOOKUP(E209,Product!$A$2:$A$7,Product!$B$2:$B$7)*F209)</f>
        <v>10639.885714285716</v>
      </c>
      <c r="M209">
        <f>YEAR(Table1[[#This Row],[Order date]])</f>
        <v>2014</v>
      </c>
      <c r="N209" s="22" t="str" cm="1">
        <f t="array" ref="N209">_xlfn.IFS(G209=0,"No Discount", ROUND(G209*100,0)&lt;=4,"Low", ROUND(G209*100,0)&lt;=9,"Medium", ROUND(G209*100,0)&lt;=15,"High")</f>
        <v>High</v>
      </c>
      <c r="O209" s="22" t="str">
        <f>TEXT(Table1[[#This Row],[Order date]],"mmmm")</f>
        <v>January</v>
      </c>
    </row>
    <row r="210" spans="1:15" ht="13.5" x14ac:dyDescent="0.25">
      <c r="A210" s="1" t="str">
        <f>"ORD"&amp;"-"&amp;_xlfn.XLOOKUP(C210,Guide!$B$22:$B$26,Guide!$C$22:$C$26)&amp;"-"&amp;_xlfn.XLOOKUP(D210,Guide!$B$29:$B$33,Guide!$C$29:$C$33)&amp;"-"&amp;TEXT(H210,"yyyymmdd")</f>
        <v>ORD-USA-GOV-20140101</v>
      </c>
      <c r="B210" s="1" t="s">
        <v>253</v>
      </c>
      <c r="C210" s="1" t="s">
        <v>35</v>
      </c>
      <c r="D210" s="1" t="s">
        <v>39</v>
      </c>
      <c r="E210" s="1" t="s">
        <v>82</v>
      </c>
      <c r="F210" s="2">
        <v>982</v>
      </c>
      <c r="G210" s="4">
        <v>0.13006619144602852</v>
      </c>
      <c r="H210" s="3">
        <f t="shared" si="9"/>
        <v>41640</v>
      </c>
      <c r="I210" s="1">
        <f>_xlfn.XLOOKUP(E210,Product!$A$2:$A$7,Product!$C$2:$C$7)</f>
        <v>15</v>
      </c>
      <c r="J210" s="22">
        <f t="shared" si="10"/>
        <v>14730</v>
      </c>
      <c r="K210" s="22">
        <f t="shared" si="11"/>
        <v>12814.125</v>
      </c>
      <c r="L210" s="22">
        <f>K210-(_xlfn.XLOOKUP(E210,Product!$A$2:$A$7,Product!$B$2:$B$7)*F210)</f>
        <v>7904.125</v>
      </c>
      <c r="M210">
        <f>YEAR(Table1[[#This Row],[Order date]])</f>
        <v>2014</v>
      </c>
      <c r="N210" s="22" t="str" cm="1">
        <f t="array" ref="N210">_xlfn.IFS(G210=0,"No Discount", ROUND(G210*100,0)&lt;=4,"Low", ROUND(G210*100,0)&lt;=9,"Medium", ROUND(G210*100,0)&lt;=15,"High")</f>
        <v>High</v>
      </c>
      <c r="O210" s="22" t="str">
        <f>TEXT(Table1[[#This Row],[Order date]],"mmmm")</f>
        <v>January</v>
      </c>
    </row>
    <row r="211" spans="1:15" ht="13.5" x14ac:dyDescent="0.25">
      <c r="A211" s="1" t="str">
        <f>"ORD"&amp;"-"&amp;_xlfn.XLOOKUP(C211,Guide!$B$22:$B$26,Guide!$C$22:$C$26)&amp;"-"&amp;_xlfn.XLOOKUP(D211,Guide!$B$29:$B$33,Guide!$C$29:$C$33)&amp;"-"&amp;TEXT(H211,"yyyymmdd")</f>
        <v>ORD-CND-GOV-20140101</v>
      </c>
      <c r="B211" s="1" t="s">
        <v>254</v>
      </c>
      <c r="C211" s="1" t="s">
        <v>27</v>
      </c>
      <c r="D211" s="1" t="s">
        <v>39</v>
      </c>
      <c r="E211" s="1" t="s">
        <v>82</v>
      </c>
      <c r="F211" s="2">
        <v>2227</v>
      </c>
      <c r="G211" s="4">
        <v>0.14003143242029636</v>
      </c>
      <c r="H211" s="3">
        <f t="shared" si="9"/>
        <v>41640</v>
      </c>
      <c r="I211" s="1">
        <f>_xlfn.XLOOKUP(E211,Product!$A$2:$A$7,Product!$C$2:$C$7)</f>
        <v>15</v>
      </c>
      <c r="J211" s="22">
        <f t="shared" si="10"/>
        <v>33405</v>
      </c>
      <c r="K211" s="22">
        <f t="shared" si="11"/>
        <v>28727.25</v>
      </c>
      <c r="L211" s="22">
        <f>K211-(_xlfn.XLOOKUP(E211,Product!$A$2:$A$7,Product!$B$2:$B$7)*F211)</f>
        <v>17592.25</v>
      </c>
      <c r="M211">
        <f>YEAR(Table1[[#This Row],[Order date]])</f>
        <v>2014</v>
      </c>
      <c r="N211" s="22" t="str" cm="1">
        <f t="array" ref="N211">_xlfn.IFS(G211=0,"No Discount", ROUND(G211*100,0)&lt;=4,"Low", ROUND(G211*100,0)&lt;=9,"Medium", ROUND(G211*100,0)&lt;=15,"High")</f>
        <v>High</v>
      </c>
      <c r="O211" s="22" t="str">
        <f>TEXT(Table1[[#This Row],[Order date]],"mmmm")</f>
        <v>January</v>
      </c>
    </row>
    <row r="212" spans="1:15" ht="13.5" x14ac:dyDescent="0.25">
      <c r="A212" s="1" t="str">
        <f>"ORD"&amp;"-"&amp;_xlfn.XLOOKUP(C212,Guide!$B$22:$B$26,Guide!$C$22:$C$26)&amp;"-"&amp;_xlfn.XLOOKUP(D212,Guide!$B$29:$B$33,Guide!$C$29:$C$33)&amp;"-"&amp;TEXT(H212,"yyyymmdd")</f>
        <v>ORD-CND-GOV-20140201</v>
      </c>
      <c r="B212" s="1" t="s">
        <v>255</v>
      </c>
      <c r="C212" s="1" t="s">
        <v>27</v>
      </c>
      <c r="D212" s="1" t="s">
        <v>39</v>
      </c>
      <c r="E212" s="1" t="s">
        <v>75</v>
      </c>
      <c r="F212" s="2">
        <v>292</v>
      </c>
      <c r="G212" s="4">
        <v>0</v>
      </c>
      <c r="H212" s="3">
        <f t="shared" si="9"/>
        <v>41671</v>
      </c>
      <c r="I212" s="1">
        <f>_xlfn.XLOOKUP(E212,Product!$A$2:$A$7,Product!$C$2:$C$7)</f>
        <v>20</v>
      </c>
      <c r="J212" s="22">
        <f t="shared" si="10"/>
        <v>5840</v>
      </c>
      <c r="K212" s="22">
        <f t="shared" si="11"/>
        <v>5840</v>
      </c>
      <c r="L212" s="22">
        <f>K212-(_xlfn.XLOOKUP(E212,Product!$A$2:$A$7,Product!$B$2:$B$7)*F212)</f>
        <v>2920</v>
      </c>
      <c r="M212">
        <f>YEAR(Table1[[#This Row],[Order date]])</f>
        <v>2014</v>
      </c>
      <c r="N212" s="22" t="str" cm="1">
        <f t="array" ref="N212">_xlfn.IFS(G212=0,"No Discount", ROUND(G212*100,0)&lt;=4,"Low", ROUND(G212*100,0)&lt;=9,"Medium", ROUND(G212*100,0)&lt;=15,"High")</f>
        <v>No Discount</v>
      </c>
      <c r="O212" s="22" t="str">
        <f>TEXT(Table1[[#This Row],[Order date]],"mmmm")</f>
        <v>February</v>
      </c>
    </row>
    <row r="213" spans="1:15" ht="13.5" x14ac:dyDescent="0.25">
      <c r="A213" s="1" t="str">
        <f>"ORD"&amp;"-"&amp;_xlfn.XLOOKUP(C213,Guide!$B$22:$B$26,Guide!$C$22:$C$26)&amp;"-"&amp;_xlfn.XLOOKUP(D213,Guide!$B$29:$B$33,Guide!$C$29:$C$33)&amp;"-"&amp;TEXT(H213,"yyyymmdd")</f>
        <v>ORD-MXC-MDM-20140201</v>
      </c>
      <c r="B213" s="1" t="s">
        <v>256</v>
      </c>
      <c r="C213" s="1" t="s">
        <v>33</v>
      </c>
      <c r="D213" s="1" t="s">
        <v>41</v>
      </c>
      <c r="E213" s="1" t="s">
        <v>75</v>
      </c>
      <c r="F213" s="2">
        <v>974</v>
      </c>
      <c r="G213" s="4">
        <v>0</v>
      </c>
      <c r="H213" s="3">
        <f t="shared" si="9"/>
        <v>41671</v>
      </c>
      <c r="I213" s="1">
        <f>_xlfn.XLOOKUP(E213,Product!$A$2:$A$7,Product!$C$2:$C$7)</f>
        <v>20</v>
      </c>
      <c r="J213" s="22">
        <f t="shared" si="10"/>
        <v>19480</v>
      </c>
      <c r="K213" s="22">
        <f t="shared" si="11"/>
        <v>19480</v>
      </c>
      <c r="L213" s="22">
        <f>K213-(_xlfn.XLOOKUP(E213,Product!$A$2:$A$7,Product!$B$2:$B$7)*F213)</f>
        <v>9740</v>
      </c>
      <c r="M213">
        <f>YEAR(Table1[[#This Row],[Order date]])</f>
        <v>2014</v>
      </c>
      <c r="N213" s="22" t="str" cm="1">
        <f t="array" ref="N213">_xlfn.IFS(G213=0,"No Discount", ROUND(G213*100,0)&lt;=4,"Low", ROUND(G213*100,0)&lt;=9,"Medium", ROUND(G213*100,0)&lt;=15,"High")</f>
        <v>No Discount</v>
      </c>
      <c r="O213" s="22" t="str">
        <f>TEXT(Table1[[#This Row],[Order date]],"mmmm")</f>
        <v>February</v>
      </c>
    </row>
    <row r="214" spans="1:15" ht="13.5" x14ac:dyDescent="0.25">
      <c r="A214" s="1" t="str">
        <f>"ORD"&amp;"-"&amp;_xlfn.XLOOKUP(C214,Guide!$B$22:$B$26,Guide!$C$22:$C$26)&amp;"-"&amp;_xlfn.XLOOKUP(D214,Guide!$B$29:$B$33,Guide!$C$29:$C$33)&amp;"-"&amp;TEXT(H214,"yyyymmdd")</f>
        <v>ORD-CND-SMB-20140201</v>
      </c>
      <c r="B214" s="1" t="s">
        <v>257</v>
      </c>
      <c r="C214" s="1" t="s">
        <v>27</v>
      </c>
      <c r="D214" s="1" t="s">
        <v>47</v>
      </c>
      <c r="E214" s="1" t="s">
        <v>78</v>
      </c>
      <c r="F214" s="2">
        <v>2001</v>
      </c>
      <c r="G214" s="4">
        <v>0</v>
      </c>
      <c r="H214" s="3">
        <f t="shared" si="9"/>
        <v>41671</v>
      </c>
      <c r="I214" s="1">
        <f>_xlfn.XLOOKUP(E214,Product!$A$2:$A$7,Product!$C$2:$C$7)</f>
        <v>300</v>
      </c>
      <c r="J214" s="22">
        <f t="shared" si="10"/>
        <v>600300</v>
      </c>
      <c r="K214" s="22">
        <f t="shared" si="11"/>
        <v>600300</v>
      </c>
      <c r="L214" s="22">
        <f>K214-(_xlfn.XLOOKUP(E214,Product!$A$2:$A$7,Product!$B$2:$B$7)*F214)</f>
        <v>100050</v>
      </c>
      <c r="M214">
        <f>YEAR(Table1[[#This Row],[Order date]])</f>
        <v>2014</v>
      </c>
      <c r="N214" s="22" t="str" cm="1">
        <f t="array" ref="N214">_xlfn.IFS(G214=0,"No Discount", ROUND(G214*100,0)&lt;=4,"Low", ROUND(G214*100,0)&lt;=9,"Medium", ROUND(G214*100,0)&lt;=15,"High")</f>
        <v>No Discount</v>
      </c>
      <c r="O214" s="22" t="str">
        <f>TEXT(Table1[[#This Row],[Order date]],"mmmm")</f>
        <v>February</v>
      </c>
    </row>
    <row r="215" spans="1:15" ht="13.5" x14ac:dyDescent="0.25">
      <c r="A215" s="1" t="str">
        <f>"ORD"&amp;"-"&amp;_xlfn.XLOOKUP(C215,Guide!$B$22:$B$26,Guide!$C$22:$C$26)&amp;"-"&amp;_xlfn.XLOOKUP(D215,Guide!$B$29:$B$33,Guide!$C$29:$C$33)&amp;"-"&amp;TEXT(H215,"yyyymmdd")</f>
        <v>ORD-FRA-ENT-20140201</v>
      </c>
      <c r="B215" s="1" t="s">
        <v>258</v>
      </c>
      <c r="C215" s="1" t="s">
        <v>31</v>
      </c>
      <c r="D215" s="1" t="s">
        <v>45</v>
      </c>
      <c r="E215" s="1" t="s">
        <v>88</v>
      </c>
      <c r="F215" s="2">
        <v>1804</v>
      </c>
      <c r="G215" s="4">
        <v>0</v>
      </c>
      <c r="H215" s="3">
        <f t="shared" si="9"/>
        <v>41671</v>
      </c>
      <c r="I215" s="1">
        <f>_xlfn.XLOOKUP(E215,Product!$A$2:$A$7,Product!$C$2:$C$7)</f>
        <v>180</v>
      </c>
      <c r="J215" s="22">
        <f t="shared" si="10"/>
        <v>324720</v>
      </c>
      <c r="K215" s="22">
        <f t="shared" si="11"/>
        <v>324720</v>
      </c>
      <c r="L215" s="22">
        <f>K215-(_xlfn.XLOOKUP(E215,Product!$A$2:$A$7,Product!$B$2:$B$7)*F215)</f>
        <v>108240</v>
      </c>
      <c r="M215">
        <f>YEAR(Table1[[#This Row],[Order date]])</f>
        <v>2014</v>
      </c>
      <c r="N215" s="22" t="str" cm="1">
        <f t="array" ref="N215">_xlfn.IFS(G215=0,"No Discount", ROUND(G215*100,0)&lt;=4,"Low", ROUND(G215*100,0)&lt;=9,"Medium", ROUND(G215*100,0)&lt;=15,"High")</f>
        <v>No Discount</v>
      </c>
      <c r="O215" s="22" t="str">
        <f>TEXT(Table1[[#This Row],[Order date]],"mmmm")</f>
        <v>February</v>
      </c>
    </row>
    <row r="216" spans="1:15" ht="13.5" x14ac:dyDescent="0.25">
      <c r="A216" s="1" t="str">
        <f>"ORD"&amp;"-"&amp;_xlfn.XLOOKUP(C216,Guide!$B$22:$B$26,Guide!$C$22:$C$26)&amp;"-"&amp;_xlfn.XLOOKUP(D216,Guide!$B$29:$B$33,Guide!$C$29:$C$33)&amp;"-"&amp;TEXT(H216,"yyyymmdd")</f>
        <v>ORD-FRA-GOV-20140201</v>
      </c>
      <c r="B216" s="1" t="s">
        <v>259</v>
      </c>
      <c r="C216" s="1" t="s">
        <v>31</v>
      </c>
      <c r="D216" s="1" t="s">
        <v>39</v>
      </c>
      <c r="E216" s="1" t="s">
        <v>84</v>
      </c>
      <c r="F216" s="2">
        <v>2750</v>
      </c>
      <c r="G216" s="4">
        <v>0</v>
      </c>
      <c r="H216" s="3">
        <f t="shared" si="9"/>
        <v>41671</v>
      </c>
      <c r="I216" s="1">
        <f>_xlfn.XLOOKUP(E216,Product!$A$2:$A$7,Product!$C$2:$C$7)</f>
        <v>350</v>
      </c>
      <c r="J216" s="22">
        <f t="shared" si="10"/>
        <v>962500</v>
      </c>
      <c r="K216" s="22">
        <f t="shared" si="11"/>
        <v>962500</v>
      </c>
      <c r="L216" s="22">
        <f>K216-(_xlfn.XLOOKUP(E216,Product!$A$2:$A$7,Product!$B$2:$B$7)*F216)</f>
        <v>412500</v>
      </c>
      <c r="M216">
        <f>YEAR(Table1[[#This Row],[Order date]])</f>
        <v>2014</v>
      </c>
      <c r="N216" s="22" t="str" cm="1">
        <f t="array" ref="N216">_xlfn.IFS(G216=0,"No Discount", ROUND(G216*100,0)&lt;=4,"Low", ROUND(G216*100,0)&lt;=9,"Medium", ROUND(G216*100,0)&lt;=15,"High")</f>
        <v>No Discount</v>
      </c>
      <c r="O216" s="22" t="str">
        <f>TEXT(Table1[[#This Row],[Order date]],"mmmm")</f>
        <v>February</v>
      </c>
    </row>
    <row r="217" spans="1:15" ht="13.5" x14ac:dyDescent="0.25">
      <c r="A217" s="1" t="str">
        <f>"ORD"&amp;"-"&amp;_xlfn.XLOOKUP(C217,Guide!$B$22:$B$26,Guide!$C$22:$C$26)&amp;"-"&amp;_xlfn.XLOOKUP(D217,Guide!$B$29:$B$33,Guide!$C$29:$C$33)&amp;"-"&amp;TEXT(H217,"yyyymmdd")</f>
        <v>ORD-FRA-MDM-20140201</v>
      </c>
      <c r="B217" s="1" t="s">
        <v>260</v>
      </c>
      <c r="C217" s="1" t="s">
        <v>31</v>
      </c>
      <c r="D217" s="1" t="s">
        <v>41</v>
      </c>
      <c r="E217" s="1" t="s">
        <v>75</v>
      </c>
      <c r="F217" s="2">
        <v>2296</v>
      </c>
      <c r="G217" s="4">
        <v>9.9999999999999985E-3</v>
      </c>
      <c r="H217" s="3">
        <f t="shared" si="9"/>
        <v>41671</v>
      </c>
      <c r="I217" s="1">
        <f>_xlfn.XLOOKUP(E217,Product!$A$2:$A$7,Product!$C$2:$C$7)</f>
        <v>20</v>
      </c>
      <c r="J217" s="22">
        <f t="shared" si="10"/>
        <v>45920</v>
      </c>
      <c r="K217" s="22">
        <f t="shared" si="11"/>
        <v>45460.800000000003</v>
      </c>
      <c r="L217" s="22">
        <f>K217-(_xlfn.XLOOKUP(E217,Product!$A$2:$A$7,Product!$B$2:$B$7)*F217)</f>
        <v>22500.800000000003</v>
      </c>
      <c r="M217">
        <f>YEAR(Table1[[#This Row],[Order date]])</f>
        <v>2014</v>
      </c>
      <c r="N217" s="22" t="str" cm="1">
        <f t="array" ref="N217">_xlfn.IFS(G217=0,"No Discount", ROUND(G217*100,0)&lt;=4,"Low", ROUND(G217*100,0)&lt;=9,"Medium", ROUND(G217*100,0)&lt;=15,"High")</f>
        <v>Low</v>
      </c>
      <c r="O217" s="22" t="str">
        <f>TEXT(Table1[[#This Row],[Order date]],"mmmm")</f>
        <v>February</v>
      </c>
    </row>
    <row r="218" spans="1:15" ht="13.5" x14ac:dyDescent="0.25">
      <c r="A218" s="1" t="str">
        <f>"ORD"&amp;"-"&amp;_xlfn.XLOOKUP(C218,Guide!$B$22:$B$26,Guide!$C$22:$C$26)&amp;"-"&amp;_xlfn.XLOOKUP(D218,Guide!$B$29:$B$33,Guide!$C$29:$C$33)&amp;"-"&amp;TEXT(H218,"yyyymmdd")</f>
        <v>ORD-USA-MDM-20140201</v>
      </c>
      <c r="B218" s="1" t="s">
        <v>261</v>
      </c>
      <c r="C218" s="1" t="s">
        <v>35</v>
      </c>
      <c r="D218" s="1" t="s">
        <v>41</v>
      </c>
      <c r="E218" s="1" t="s">
        <v>75</v>
      </c>
      <c r="F218" s="2">
        <v>1514</v>
      </c>
      <c r="G218" s="4">
        <v>0.01</v>
      </c>
      <c r="H218" s="3">
        <f t="shared" si="9"/>
        <v>41671</v>
      </c>
      <c r="I218" s="1">
        <f>_xlfn.XLOOKUP(E218,Product!$A$2:$A$7,Product!$C$2:$C$7)</f>
        <v>20</v>
      </c>
      <c r="J218" s="22">
        <f t="shared" si="10"/>
        <v>30280</v>
      </c>
      <c r="K218" s="22">
        <f t="shared" si="11"/>
        <v>29977.200000000001</v>
      </c>
      <c r="L218" s="22">
        <f>K218-(_xlfn.XLOOKUP(E218,Product!$A$2:$A$7,Product!$B$2:$B$7)*F218)</f>
        <v>14837.2</v>
      </c>
      <c r="M218">
        <f>YEAR(Table1[[#This Row],[Order date]])</f>
        <v>2014</v>
      </c>
      <c r="N218" s="22" t="str" cm="1">
        <f t="array" ref="N218">_xlfn.IFS(G218=0,"No Discount", ROUND(G218*100,0)&lt;=4,"Low", ROUND(G218*100,0)&lt;=9,"Medium", ROUND(G218*100,0)&lt;=15,"High")</f>
        <v>Low</v>
      </c>
      <c r="O218" s="22" t="str">
        <f>TEXT(Table1[[#This Row],[Order date]],"mmmm")</f>
        <v>February</v>
      </c>
    </row>
    <row r="219" spans="1:15" ht="13.5" x14ac:dyDescent="0.25">
      <c r="A219" s="1" t="str">
        <f>"ORD"&amp;"-"&amp;_xlfn.XLOOKUP(C219,Guide!$B$22:$B$26,Guide!$C$22:$C$26)&amp;"-"&amp;_xlfn.XLOOKUP(D219,Guide!$B$29:$B$33,Guide!$C$29:$C$33)&amp;"-"&amp;TEXT(H219,"yyyymmdd")</f>
        <v>ORD-USA-CPR-20140201</v>
      </c>
      <c r="B219" s="1" t="s">
        <v>262</v>
      </c>
      <c r="C219" s="1" t="s">
        <v>35</v>
      </c>
      <c r="D219" s="1" t="s">
        <v>43</v>
      </c>
      <c r="E219" s="1" t="s">
        <v>80</v>
      </c>
      <c r="F219" s="2">
        <v>1858</v>
      </c>
      <c r="G219" s="4">
        <v>0.01</v>
      </c>
      <c r="H219" s="3">
        <f t="shared" si="9"/>
        <v>41671</v>
      </c>
      <c r="I219" s="1">
        <f>_xlfn.XLOOKUP(E219,Product!$A$2:$A$7,Product!$C$2:$C$7)</f>
        <v>20</v>
      </c>
      <c r="J219" s="22">
        <f t="shared" si="10"/>
        <v>37160</v>
      </c>
      <c r="K219" s="22">
        <f t="shared" si="11"/>
        <v>36788.400000000001</v>
      </c>
      <c r="L219" s="22">
        <f>K219-(_xlfn.XLOOKUP(E219,Product!$A$2:$A$7,Product!$B$2:$B$7)*F219)</f>
        <v>31214.400000000001</v>
      </c>
      <c r="M219">
        <f>YEAR(Table1[[#This Row],[Order date]])</f>
        <v>2014</v>
      </c>
      <c r="N219" s="22" t="str" cm="1">
        <f t="array" ref="N219">_xlfn.IFS(G219=0,"No Discount", ROUND(G219*100,0)&lt;=4,"Low", ROUND(G219*100,0)&lt;=9,"Medium", ROUND(G219*100,0)&lt;=15,"High")</f>
        <v>Low</v>
      </c>
      <c r="O219" s="22" t="str">
        <f>TEXT(Table1[[#This Row],[Order date]],"mmmm")</f>
        <v>February</v>
      </c>
    </row>
    <row r="220" spans="1:15" ht="13.5" x14ac:dyDescent="0.25">
      <c r="A220" s="1" t="str">
        <f>"ORD"&amp;"-"&amp;_xlfn.XLOOKUP(C220,Guide!$B$22:$B$26,Guide!$C$22:$C$26)&amp;"-"&amp;_xlfn.XLOOKUP(D220,Guide!$B$29:$B$33,Guide!$C$29:$C$33)&amp;"-"&amp;TEXT(H220,"yyyymmdd")</f>
        <v>ORD-CND-MDM-20140201</v>
      </c>
      <c r="B220" s="1" t="s">
        <v>263</v>
      </c>
      <c r="C220" s="1" t="s">
        <v>27</v>
      </c>
      <c r="D220" s="1" t="s">
        <v>41</v>
      </c>
      <c r="E220" s="1" t="s">
        <v>75</v>
      </c>
      <c r="F220" s="2">
        <v>2363</v>
      </c>
      <c r="G220" s="4">
        <v>0.02</v>
      </c>
      <c r="H220" s="3">
        <f t="shared" si="9"/>
        <v>41671</v>
      </c>
      <c r="I220" s="1">
        <f>_xlfn.XLOOKUP(E220,Product!$A$2:$A$7,Product!$C$2:$C$7)</f>
        <v>20</v>
      </c>
      <c r="J220" s="22">
        <f t="shared" si="10"/>
        <v>47260</v>
      </c>
      <c r="K220" s="22">
        <f t="shared" si="11"/>
        <v>46314.799999999996</v>
      </c>
      <c r="L220" s="22">
        <f>K220-(_xlfn.XLOOKUP(E220,Product!$A$2:$A$7,Product!$B$2:$B$7)*F220)</f>
        <v>22684.799999999996</v>
      </c>
      <c r="M220">
        <f>YEAR(Table1[[#This Row],[Order date]])</f>
        <v>2014</v>
      </c>
      <c r="N220" s="22" t="str" cm="1">
        <f t="array" ref="N220">_xlfn.IFS(G220=0,"No Discount", ROUND(G220*100,0)&lt;=4,"Low", ROUND(G220*100,0)&lt;=9,"Medium", ROUND(G220*100,0)&lt;=15,"High")</f>
        <v>Low</v>
      </c>
      <c r="O220" s="22" t="str">
        <f>TEXT(Table1[[#This Row],[Order date]],"mmmm")</f>
        <v>February</v>
      </c>
    </row>
    <row r="221" spans="1:15" ht="13.5" x14ac:dyDescent="0.25">
      <c r="A221" s="1" t="str">
        <f>"ORD"&amp;"-"&amp;_xlfn.XLOOKUP(C221,Guide!$B$22:$B$26,Guide!$C$22:$C$26)&amp;"-"&amp;_xlfn.XLOOKUP(D221,Guide!$B$29:$B$33,Guide!$C$29:$C$33)&amp;"-"&amp;TEXT(H221,"yyyymmdd")</f>
        <v>ORD-GER-GOV-20140201</v>
      </c>
      <c r="B221" s="1" t="s">
        <v>264</v>
      </c>
      <c r="C221" s="1" t="s">
        <v>29</v>
      </c>
      <c r="D221" s="1" t="s">
        <v>39</v>
      </c>
      <c r="E221" s="1" t="s">
        <v>82</v>
      </c>
      <c r="F221" s="2">
        <v>1958</v>
      </c>
      <c r="G221" s="4">
        <v>0.03</v>
      </c>
      <c r="H221" s="3">
        <f t="shared" si="9"/>
        <v>41671</v>
      </c>
      <c r="I221" s="1">
        <f>_xlfn.XLOOKUP(E221,Product!$A$2:$A$7,Product!$C$2:$C$7)</f>
        <v>15</v>
      </c>
      <c r="J221" s="22">
        <f t="shared" si="10"/>
        <v>29370</v>
      </c>
      <c r="K221" s="22">
        <f t="shared" si="11"/>
        <v>28488.899999999998</v>
      </c>
      <c r="L221" s="22">
        <f>K221-(_xlfn.XLOOKUP(E221,Product!$A$2:$A$7,Product!$B$2:$B$7)*F221)</f>
        <v>18698.899999999998</v>
      </c>
      <c r="M221">
        <f>YEAR(Table1[[#This Row],[Order date]])</f>
        <v>2014</v>
      </c>
      <c r="N221" s="22" t="str" cm="1">
        <f t="array" ref="N221">_xlfn.IFS(G221=0,"No Discount", ROUND(G221*100,0)&lt;=4,"Low", ROUND(G221*100,0)&lt;=9,"Medium", ROUND(G221*100,0)&lt;=15,"High")</f>
        <v>Low</v>
      </c>
      <c r="O221" s="22" t="str">
        <f>TEXT(Table1[[#This Row],[Order date]],"mmmm")</f>
        <v>February</v>
      </c>
    </row>
    <row r="222" spans="1:15" ht="13.5" x14ac:dyDescent="0.25">
      <c r="A222" s="1" t="str">
        <f>"ORD"&amp;"-"&amp;_xlfn.XLOOKUP(C222,Guide!$B$22:$B$26,Guide!$C$22:$C$26)&amp;"-"&amp;_xlfn.XLOOKUP(D222,Guide!$B$29:$B$33,Guide!$C$29:$C$33)&amp;"-"&amp;TEXT(H222,"yyyymmdd")</f>
        <v>ORD-USA-SMB-20140201</v>
      </c>
      <c r="B222" s="1" t="s">
        <v>265</v>
      </c>
      <c r="C222" s="1" t="s">
        <v>35</v>
      </c>
      <c r="D222" s="1" t="s">
        <v>47</v>
      </c>
      <c r="E222" s="1" t="s">
        <v>78</v>
      </c>
      <c r="F222" s="2">
        <v>2844</v>
      </c>
      <c r="G222" s="4">
        <v>0.03</v>
      </c>
      <c r="H222" s="3">
        <f t="shared" si="9"/>
        <v>41671</v>
      </c>
      <c r="I222" s="1">
        <f>_xlfn.XLOOKUP(E222,Product!$A$2:$A$7,Product!$C$2:$C$7)</f>
        <v>300</v>
      </c>
      <c r="J222" s="22">
        <f t="shared" si="10"/>
        <v>853200</v>
      </c>
      <c r="K222" s="22">
        <f t="shared" si="11"/>
        <v>827604</v>
      </c>
      <c r="L222" s="22">
        <f>K222-(_xlfn.XLOOKUP(E222,Product!$A$2:$A$7,Product!$B$2:$B$7)*F222)</f>
        <v>116604</v>
      </c>
      <c r="M222">
        <f>YEAR(Table1[[#This Row],[Order date]])</f>
        <v>2014</v>
      </c>
      <c r="N222" s="22" t="str" cm="1">
        <f t="array" ref="N222">_xlfn.IFS(G222=0,"No Discount", ROUND(G222*100,0)&lt;=4,"Low", ROUND(G222*100,0)&lt;=9,"Medium", ROUND(G222*100,0)&lt;=15,"High")</f>
        <v>Low</v>
      </c>
      <c r="O222" s="22" t="str">
        <f>TEXT(Table1[[#This Row],[Order date]],"mmmm")</f>
        <v>February</v>
      </c>
    </row>
    <row r="223" spans="1:15" ht="13.5" x14ac:dyDescent="0.25">
      <c r="A223" s="1" t="str">
        <f>"ORD"&amp;"-"&amp;_xlfn.XLOOKUP(C223,Guide!$B$22:$B$26,Guide!$C$22:$C$26)&amp;"-"&amp;_xlfn.XLOOKUP(D223,Guide!$B$29:$B$33,Guide!$C$29:$C$33)&amp;"-"&amp;TEXT(H223,"yyyymmdd")</f>
        <v>ORD-MXC-GOV-20140201</v>
      </c>
      <c r="B223" s="1" t="s">
        <v>266</v>
      </c>
      <c r="C223" s="1" t="s">
        <v>33</v>
      </c>
      <c r="D223" s="1" t="s">
        <v>39</v>
      </c>
      <c r="E223" s="1" t="s">
        <v>84</v>
      </c>
      <c r="F223" s="2">
        <v>1865</v>
      </c>
      <c r="G223" s="4">
        <v>0.04</v>
      </c>
      <c r="H223" s="3">
        <f t="shared" si="9"/>
        <v>41671</v>
      </c>
      <c r="I223" s="1">
        <f>_xlfn.XLOOKUP(E223,Product!$A$2:$A$7,Product!$C$2:$C$7)</f>
        <v>350</v>
      </c>
      <c r="J223" s="22">
        <f t="shared" si="10"/>
        <v>652750</v>
      </c>
      <c r="K223" s="22">
        <f t="shared" si="11"/>
        <v>626640</v>
      </c>
      <c r="L223" s="22">
        <f>K223-(_xlfn.XLOOKUP(E223,Product!$A$2:$A$7,Product!$B$2:$B$7)*F223)</f>
        <v>253640</v>
      </c>
      <c r="M223">
        <f>YEAR(Table1[[#This Row],[Order date]])</f>
        <v>2014</v>
      </c>
      <c r="N223" s="22" t="str" cm="1">
        <f t="array" ref="N223">_xlfn.IFS(G223=0,"No Discount", ROUND(G223*100,0)&lt;=4,"Low", ROUND(G223*100,0)&lt;=9,"Medium", ROUND(G223*100,0)&lt;=15,"High")</f>
        <v>Low</v>
      </c>
      <c r="O223" s="22" t="str">
        <f>TEXT(Table1[[#This Row],[Order date]],"mmmm")</f>
        <v>February</v>
      </c>
    </row>
    <row r="224" spans="1:15" ht="13.5" x14ac:dyDescent="0.25">
      <c r="A224" s="1" t="str">
        <f>"ORD"&amp;"-"&amp;_xlfn.XLOOKUP(C224,Guide!$B$22:$B$26,Guide!$C$22:$C$26)&amp;"-"&amp;_xlfn.XLOOKUP(D224,Guide!$B$29:$B$33,Guide!$C$29:$C$33)&amp;"-"&amp;TEXT(H224,"yyyymmdd")</f>
        <v>ORD-FRA-GOV-20140201</v>
      </c>
      <c r="B224" s="1" t="s">
        <v>267</v>
      </c>
      <c r="C224" s="1" t="s">
        <v>31</v>
      </c>
      <c r="D224" s="1" t="s">
        <v>39</v>
      </c>
      <c r="E224" s="1" t="s">
        <v>75</v>
      </c>
      <c r="F224" s="2">
        <v>1303</v>
      </c>
      <c r="G224" s="4">
        <v>0.05</v>
      </c>
      <c r="H224" s="3">
        <f t="shared" si="9"/>
        <v>41671</v>
      </c>
      <c r="I224" s="1">
        <f>_xlfn.XLOOKUP(E224,Product!$A$2:$A$7,Product!$C$2:$C$7)</f>
        <v>20</v>
      </c>
      <c r="J224" s="22">
        <f t="shared" si="10"/>
        <v>26060</v>
      </c>
      <c r="K224" s="22">
        <f t="shared" si="11"/>
        <v>24757</v>
      </c>
      <c r="L224" s="22">
        <f>K224-(_xlfn.XLOOKUP(E224,Product!$A$2:$A$7,Product!$B$2:$B$7)*F224)</f>
        <v>11727</v>
      </c>
      <c r="M224">
        <f>YEAR(Table1[[#This Row],[Order date]])</f>
        <v>2014</v>
      </c>
      <c r="N224" s="22" t="str" cm="1">
        <f t="array" ref="N224">_xlfn.IFS(G224=0,"No Discount", ROUND(G224*100,0)&lt;=4,"Low", ROUND(G224*100,0)&lt;=9,"Medium", ROUND(G224*100,0)&lt;=15,"High")</f>
        <v>Medium</v>
      </c>
      <c r="O224" s="22" t="str">
        <f>TEXT(Table1[[#This Row],[Order date]],"mmmm")</f>
        <v>February</v>
      </c>
    </row>
    <row r="225" spans="1:15" ht="13.5" x14ac:dyDescent="0.25">
      <c r="A225" s="1" t="str">
        <f>"ORD"&amp;"-"&amp;_xlfn.XLOOKUP(C225,Guide!$B$22:$B$26,Guide!$C$22:$C$26)&amp;"-"&amp;_xlfn.XLOOKUP(D225,Guide!$B$29:$B$33,Guide!$C$29:$C$33)&amp;"-"&amp;TEXT(H225,"yyyymmdd")</f>
        <v>ORD-GER-CPR-20140201</v>
      </c>
      <c r="B225" s="1" t="s">
        <v>268</v>
      </c>
      <c r="C225" s="1" t="s">
        <v>29</v>
      </c>
      <c r="D225" s="1" t="s">
        <v>43</v>
      </c>
      <c r="E225" s="1" t="s">
        <v>80</v>
      </c>
      <c r="F225" s="2">
        <v>1116</v>
      </c>
      <c r="G225" s="4">
        <v>0.05</v>
      </c>
      <c r="H225" s="3">
        <f t="shared" si="9"/>
        <v>41671</v>
      </c>
      <c r="I225" s="1">
        <f>_xlfn.XLOOKUP(E225,Product!$A$2:$A$7,Product!$C$2:$C$7)</f>
        <v>20</v>
      </c>
      <c r="J225" s="22">
        <f t="shared" si="10"/>
        <v>22320</v>
      </c>
      <c r="K225" s="22">
        <f t="shared" si="11"/>
        <v>21204</v>
      </c>
      <c r="L225" s="22">
        <f>K225-(_xlfn.XLOOKUP(E225,Product!$A$2:$A$7,Product!$B$2:$B$7)*F225)</f>
        <v>17856</v>
      </c>
      <c r="M225">
        <f>YEAR(Table1[[#This Row],[Order date]])</f>
        <v>2014</v>
      </c>
      <c r="N225" s="22" t="str" cm="1">
        <f t="array" ref="N225">_xlfn.IFS(G225=0,"No Discount", ROUND(G225*100,0)&lt;=4,"Low", ROUND(G225*100,0)&lt;=9,"Medium", ROUND(G225*100,0)&lt;=15,"High")</f>
        <v>Medium</v>
      </c>
      <c r="O225" s="22" t="str">
        <f>TEXT(Table1[[#This Row],[Order date]],"mmmm")</f>
        <v>February</v>
      </c>
    </row>
    <row r="226" spans="1:15" ht="13.5" x14ac:dyDescent="0.25">
      <c r="A226" s="1" t="str">
        <f>"ORD"&amp;"-"&amp;_xlfn.XLOOKUP(C226,Guide!$B$22:$B$26,Guide!$C$22:$C$26)&amp;"-"&amp;_xlfn.XLOOKUP(D226,Guide!$B$29:$B$33,Guide!$C$29:$C$33)&amp;"-"&amp;TEXT(H226,"yyyymmdd")</f>
        <v>ORD-FRA-CPR-20140201</v>
      </c>
      <c r="B226" s="1" t="s">
        <v>269</v>
      </c>
      <c r="C226" s="1" t="s">
        <v>31</v>
      </c>
      <c r="D226" s="1" t="s">
        <v>43</v>
      </c>
      <c r="E226" s="1" t="s">
        <v>80</v>
      </c>
      <c r="F226" s="2">
        <v>1865</v>
      </c>
      <c r="G226" s="4">
        <v>0.05</v>
      </c>
      <c r="H226" s="3">
        <f t="shared" si="9"/>
        <v>41671</v>
      </c>
      <c r="I226" s="1">
        <f>_xlfn.XLOOKUP(E226,Product!$A$2:$A$7,Product!$C$2:$C$7)</f>
        <v>20</v>
      </c>
      <c r="J226" s="22">
        <f t="shared" si="10"/>
        <v>37300</v>
      </c>
      <c r="K226" s="22">
        <f t="shared" si="11"/>
        <v>35435</v>
      </c>
      <c r="L226" s="22">
        <f>K226-(_xlfn.XLOOKUP(E226,Product!$A$2:$A$7,Product!$B$2:$B$7)*F226)</f>
        <v>29840</v>
      </c>
      <c r="M226">
        <f>YEAR(Table1[[#This Row],[Order date]])</f>
        <v>2014</v>
      </c>
      <c r="N226" s="22" t="str" cm="1">
        <f t="array" ref="N226">_xlfn.IFS(G226=0,"No Discount", ROUND(G226*100,0)&lt;=4,"Low", ROUND(G226*100,0)&lt;=9,"Medium", ROUND(G226*100,0)&lt;=15,"High")</f>
        <v>Medium</v>
      </c>
      <c r="O226" s="22" t="str">
        <f>TEXT(Table1[[#This Row],[Order date]],"mmmm")</f>
        <v>February</v>
      </c>
    </row>
    <row r="227" spans="1:15" ht="13.5" x14ac:dyDescent="0.25">
      <c r="A227" s="1" t="str">
        <f>"ORD"&amp;"-"&amp;_xlfn.XLOOKUP(C227,Guide!$B$22:$B$26,Guide!$C$22:$C$26)&amp;"-"&amp;_xlfn.XLOOKUP(D227,Guide!$B$29:$B$33,Guide!$C$29:$C$33)&amp;"-"&amp;TEXT(H227,"yyyymmdd")</f>
        <v>ORD-GER-ENT-20140201</v>
      </c>
      <c r="B227" s="1" t="s">
        <v>270</v>
      </c>
      <c r="C227" s="1" t="s">
        <v>29</v>
      </c>
      <c r="D227" s="1" t="s">
        <v>45</v>
      </c>
      <c r="E227" s="1" t="s">
        <v>88</v>
      </c>
      <c r="F227" s="2">
        <v>807</v>
      </c>
      <c r="G227" s="4">
        <v>0.05</v>
      </c>
      <c r="H227" s="3">
        <f t="shared" si="9"/>
        <v>41671</v>
      </c>
      <c r="I227" s="1">
        <f>_xlfn.XLOOKUP(E227,Product!$A$2:$A$7,Product!$C$2:$C$7)</f>
        <v>180</v>
      </c>
      <c r="J227" s="22">
        <f t="shared" si="10"/>
        <v>145260</v>
      </c>
      <c r="K227" s="22">
        <f t="shared" si="11"/>
        <v>137997</v>
      </c>
      <c r="L227" s="22">
        <f>K227-(_xlfn.XLOOKUP(E227,Product!$A$2:$A$7,Product!$B$2:$B$7)*F227)</f>
        <v>41157</v>
      </c>
      <c r="M227">
        <f>YEAR(Table1[[#This Row],[Order date]])</f>
        <v>2014</v>
      </c>
      <c r="N227" s="22" t="str" cm="1">
        <f t="array" ref="N227">_xlfn.IFS(G227=0,"No Discount", ROUND(G227*100,0)&lt;=4,"Low", ROUND(G227*100,0)&lt;=9,"Medium", ROUND(G227*100,0)&lt;=15,"High")</f>
        <v>Medium</v>
      </c>
      <c r="O227" s="22" t="str">
        <f>TEXT(Table1[[#This Row],[Order date]],"mmmm")</f>
        <v>February</v>
      </c>
    </row>
    <row r="228" spans="1:15" ht="13.5" x14ac:dyDescent="0.25">
      <c r="A228" s="1" t="str">
        <f>"ORD"&amp;"-"&amp;_xlfn.XLOOKUP(C228,Guide!$B$22:$B$26,Guide!$C$22:$C$26)&amp;"-"&amp;_xlfn.XLOOKUP(D228,Guide!$B$29:$B$33,Guide!$C$29:$C$33)&amp;"-"&amp;TEXT(H228,"yyyymmdd")</f>
        <v>ORD-GER-GOV-20140201</v>
      </c>
      <c r="B228" s="1" t="s">
        <v>271</v>
      </c>
      <c r="C228" s="1" t="s">
        <v>29</v>
      </c>
      <c r="D228" s="1" t="s">
        <v>39</v>
      </c>
      <c r="E228" s="1" t="s">
        <v>84</v>
      </c>
      <c r="F228" s="2">
        <v>1350</v>
      </c>
      <c r="G228" s="4">
        <v>0.05</v>
      </c>
      <c r="H228" s="3">
        <f t="shared" si="9"/>
        <v>41671</v>
      </c>
      <c r="I228" s="1">
        <f>_xlfn.XLOOKUP(E228,Product!$A$2:$A$7,Product!$C$2:$C$7)</f>
        <v>350</v>
      </c>
      <c r="J228" s="22">
        <f t="shared" si="10"/>
        <v>472500</v>
      </c>
      <c r="K228" s="22">
        <f t="shared" si="11"/>
        <v>448875</v>
      </c>
      <c r="L228" s="22">
        <f>K228-(_xlfn.XLOOKUP(E228,Product!$A$2:$A$7,Product!$B$2:$B$7)*F228)</f>
        <v>178875</v>
      </c>
      <c r="M228">
        <f>YEAR(Table1[[#This Row],[Order date]])</f>
        <v>2014</v>
      </c>
      <c r="N228" s="22" t="str" cm="1">
        <f t="array" ref="N228">_xlfn.IFS(G228=0,"No Discount", ROUND(G228*100,0)&lt;=4,"Low", ROUND(G228*100,0)&lt;=9,"Medium", ROUND(G228*100,0)&lt;=15,"High")</f>
        <v>Medium</v>
      </c>
      <c r="O228" s="22" t="str">
        <f>TEXT(Table1[[#This Row],[Order date]],"mmmm")</f>
        <v>February</v>
      </c>
    </row>
    <row r="229" spans="1:15" ht="13.5" x14ac:dyDescent="0.25">
      <c r="A229" s="1" t="str">
        <f>"ORD"&amp;"-"&amp;_xlfn.XLOOKUP(C229,Guide!$B$22:$B$26,Guide!$C$22:$C$26)&amp;"-"&amp;_xlfn.XLOOKUP(D229,Guide!$B$29:$B$33,Guide!$C$29:$C$33)&amp;"-"&amp;TEXT(H229,"yyyymmdd")</f>
        <v>ORD-CND-ENT-20140201</v>
      </c>
      <c r="B229" s="1" t="s">
        <v>272</v>
      </c>
      <c r="C229" s="1" t="s">
        <v>27</v>
      </c>
      <c r="D229" s="1" t="s">
        <v>45</v>
      </c>
      <c r="E229" s="1" t="s">
        <v>88</v>
      </c>
      <c r="F229" s="2">
        <v>952</v>
      </c>
      <c r="G229" s="4">
        <v>0.06</v>
      </c>
      <c r="H229" s="3">
        <f t="shared" si="9"/>
        <v>41671</v>
      </c>
      <c r="I229" s="1">
        <f>_xlfn.XLOOKUP(E229,Product!$A$2:$A$7,Product!$C$2:$C$7)</f>
        <v>180</v>
      </c>
      <c r="J229" s="22">
        <f t="shared" si="10"/>
        <v>171360</v>
      </c>
      <c r="K229" s="22">
        <f t="shared" si="11"/>
        <v>161078.39999999999</v>
      </c>
      <c r="L229" s="22">
        <f>K229-(_xlfn.XLOOKUP(E229,Product!$A$2:$A$7,Product!$B$2:$B$7)*F229)</f>
        <v>46838.399999999994</v>
      </c>
      <c r="M229">
        <f>YEAR(Table1[[#This Row],[Order date]])</f>
        <v>2014</v>
      </c>
      <c r="N229" s="22" t="str" cm="1">
        <f t="array" ref="N229">_xlfn.IFS(G229=0,"No Discount", ROUND(G229*100,0)&lt;=4,"Low", ROUND(G229*100,0)&lt;=9,"Medium", ROUND(G229*100,0)&lt;=15,"High")</f>
        <v>Medium</v>
      </c>
      <c r="O229" s="22" t="str">
        <f>TEXT(Table1[[#This Row],[Order date]],"mmmm")</f>
        <v>February</v>
      </c>
    </row>
    <row r="230" spans="1:15" ht="13.5" x14ac:dyDescent="0.25">
      <c r="A230" s="1" t="str">
        <f>"ORD"&amp;"-"&amp;_xlfn.XLOOKUP(C230,Guide!$B$22:$B$26,Guide!$C$22:$C$26)&amp;"-"&amp;_xlfn.XLOOKUP(D230,Guide!$B$29:$B$33,Guide!$C$29:$C$33)&amp;"-"&amp;TEXT(H230,"yyyymmdd")</f>
        <v>ORD-USA-ENT-20140201</v>
      </c>
      <c r="B230" s="1" t="s">
        <v>273</v>
      </c>
      <c r="C230" s="1" t="s">
        <v>35</v>
      </c>
      <c r="D230" s="1" t="s">
        <v>45</v>
      </c>
      <c r="E230" s="1" t="s">
        <v>88</v>
      </c>
      <c r="F230" s="2">
        <v>2755</v>
      </c>
      <c r="G230" s="4">
        <v>0.06</v>
      </c>
      <c r="H230" s="3">
        <f t="shared" si="9"/>
        <v>41671</v>
      </c>
      <c r="I230" s="1">
        <f>_xlfn.XLOOKUP(E230,Product!$A$2:$A$7,Product!$C$2:$C$7)</f>
        <v>180</v>
      </c>
      <c r="J230" s="22">
        <f t="shared" si="10"/>
        <v>495900</v>
      </c>
      <c r="K230" s="22">
        <f t="shared" si="11"/>
        <v>466146</v>
      </c>
      <c r="L230" s="22">
        <f>K230-(_xlfn.XLOOKUP(E230,Product!$A$2:$A$7,Product!$B$2:$B$7)*F230)</f>
        <v>135546</v>
      </c>
      <c r="M230">
        <f>YEAR(Table1[[#This Row],[Order date]])</f>
        <v>2014</v>
      </c>
      <c r="N230" s="22" t="str" cm="1">
        <f t="array" ref="N230">_xlfn.IFS(G230=0,"No Discount", ROUND(G230*100,0)&lt;=4,"Low", ROUND(G230*100,0)&lt;=9,"Medium", ROUND(G230*100,0)&lt;=15,"High")</f>
        <v>Medium</v>
      </c>
      <c r="O230" s="22" t="str">
        <f>TEXT(Table1[[#This Row],[Order date]],"mmmm")</f>
        <v>February</v>
      </c>
    </row>
    <row r="231" spans="1:15" ht="13.5" x14ac:dyDescent="0.25">
      <c r="A231" s="1" t="str">
        <f>"ORD"&amp;"-"&amp;_xlfn.XLOOKUP(C231,Guide!$B$22:$B$26,Guide!$C$22:$C$26)&amp;"-"&amp;_xlfn.XLOOKUP(D231,Guide!$B$29:$B$33,Guide!$C$29:$C$33)&amp;"-"&amp;TEXT(H231,"yyyymmdd")</f>
        <v>ORD-MXC-CPR-20140201</v>
      </c>
      <c r="B231" s="1" t="s">
        <v>274</v>
      </c>
      <c r="C231" s="1" t="s">
        <v>33</v>
      </c>
      <c r="D231" s="1" t="s">
        <v>43</v>
      </c>
      <c r="E231" s="1" t="s">
        <v>80</v>
      </c>
      <c r="F231" s="2">
        <v>727</v>
      </c>
      <c r="G231" s="4">
        <v>6.9999999999999993E-2</v>
      </c>
      <c r="H231" s="3">
        <f t="shared" si="9"/>
        <v>41671</v>
      </c>
      <c r="I231" s="1">
        <f>_xlfn.XLOOKUP(E231,Product!$A$2:$A$7,Product!$C$2:$C$7)</f>
        <v>20</v>
      </c>
      <c r="J231" s="22">
        <f t="shared" si="10"/>
        <v>14540</v>
      </c>
      <c r="K231" s="22">
        <f t="shared" si="11"/>
        <v>13522.2</v>
      </c>
      <c r="L231" s="22">
        <f>K231-(_xlfn.XLOOKUP(E231,Product!$A$2:$A$7,Product!$B$2:$B$7)*F231)</f>
        <v>11341.2</v>
      </c>
      <c r="M231">
        <f>YEAR(Table1[[#This Row],[Order date]])</f>
        <v>2014</v>
      </c>
      <c r="N231" s="22" t="str" cm="1">
        <f t="array" ref="N231">_xlfn.IFS(G231=0,"No Discount", ROUND(G231*100,0)&lt;=4,"Low", ROUND(G231*100,0)&lt;=9,"Medium", ROUND(G231*100,0)&lt;=15,"High")</f>
        <v>Medium</v>
      </c>
      <c r="O231" s="22" t="str">
        <f>TEXT(Table1[[#This Row],[Order date]],"mmmm")</f>
        <v>February</v>
      </c>
    </row>
    <row r="232" spans="1:15" ht="13.5" x14ac:dyDescent="0.25">
      <c r="A232" s="1" t="str">
        <f>"ORD"&amp;"-"&amp;_xlfn.XLOOKUP(C232,Guide!$B$22:$B$26,Guide!$C$22:$C$26)&amp;"-"&amp;_xlfn.XLOOKUP(D232,Guide!$B$29:$B$33,Guide!$C$29:$C$33)&amp;"-"&amp;TEXT(H232,"yyyymmdd")</f>
        <v>ORD-FRA-SMB-20140201</v>
      </c>
      <c r="B232" s="1" t="s">
        <v>275</v>
      </c>
      <c r="C232" s="1" t="s">
        <v>31</v>
      </c>
      <c r="D232" s="1" t="s">
        <v>47</v>
      </c>
      <c r="E232" s="1" t="s">
        <v>78</v>
      </c>
      <c r="F232" s="2">
        <v>959</v>
      </c>
      <c r="G232" s="4">
        <v>7.0000000000000007E-2</v>
      </c>
      <c r="H232" s="3">
        <f t="shared" si="9"/>
        <v>41671</v>
      </c>
      <c r="I232" s="1">
        <f>_xlfn.XLOOKUP(E232,Product!$A$2:$A$7,Product!$C$2:$C$7)</f>
        <v>300</v>
      </c>
      <c r="J232" s="22">
        <f t="shared" si="10"/>
        <v>287700</v>
      </c>
      <c r="K232" s="22">
        <f t="shared" si="11"/>
        <v>267561</v>
      </c>
      <c r="L232" s="22">
        <f>K232-(_xlfn.XLOOKUP(E232,Product!$A$2:$A$7,Product!$B$2:$B$7)*F232)</f>
        <v>27811</v>
      </c>
      <c r="M232">
        <f>YEAR(Table1[[#This Row],[Order date]])</f>
        <v>2014</v>
      </c>
      <c r="N232" s="22" t="str" cm="1">
        <f t="array" ref="N232">_xlfn.IFS(G232=0,"No Discount", ROUND(G232*100,0)&lt;=4,"Low", ROUND(G232*100,0)&lt;=9,"Medium", ROUND(G232*100,0)&lt;=15,"High")</f>
        <v>Medium</v>
      </c>
      <c r="O232" s="22" t="str">
        <f>TEXT(Table1[[#This Row],[Order date]],"mmmm")</f>
        <v>February</v>
      </c>
    </row>
    <row r="233" spans="1:15" ht="13.5" x14ac:dyDescent="0.25">
      <c r="A233" s="1" t="str">
        <f>"ORD"&amp;"-"&amp;_xlfn.XLOOKUP(C233,Guide!$B$22:$B$26,Guide!$C$22:$C$26)&amp;"-"&amp;_xlfn.XLOOKUP(D233,Guide!$B$29:$B$33,Guide!$C$29:$C$33)&amp;"-"&amp;TEXT(H233,"yyyymmdd")</f>
        <v>ORD-MXC-SMB-20140201</v>
      </c>
      <c r="B233" s="1" t="s">
        <v>276</v>
      </c>
      <c r="C233" s="1" t="s">
        <v>33</v>
      </c>
      <c r="D233" s="1" t="s">
        <v>47</v>
      </c>
      <c r="E233" s="1" t="s">
        <v>78</v>
      </c>
      <c r="F233" s="2">
        <v>2747</v>
      </c>
      <c r="G233" s="4">
        <v>7.0000000000000007E-2</v>
      </c>
      <c r="H233" s="3">
        <f t="shared" si="9"/>
        <v>41671</v>
      </c>
      <c r="I233" s="1">
        <f>_xlfn.XLOOKUP(E233,Product!$A$2:$A$7,Product!$C$2:$C$7)</f>
        <v>300</v>
      </c>
      <c r="J233" s="22">
        <f t="shared" si="10"/>
        <v>824100</v>
      </c>
      <c r="K233" s="22">
        <f t="shared" si="11"/>
        <v>766413</v>
      </c>
      <c r="L233" s="22">
        <f>K233-(_xlfn.XLOOKUP(E233,Product!$A$2:$A$7,Product!$B$2:$B$7)*F233)</f>
        <v>79663</v>
      </c>
      <c r="M233">
        <f>YEAR(Table1[[#This Row],[Order date]])</f>
        <v>2014</v>
      </c>
      <c r="N233" s="22" t="str" cm="1">
        <f t="array" ref="N233">_xlfn.IFS(G233=0,"No Discount", ROUND(G233*100,0)&lt;=4,"Low", ROUND(G233*100,0)&lt;=9,"Medium", ROUND(G233*100,0)&lt;=15,"High")</f>
        <v>Medium</v>
      </c>
      <c r="O233" s="22" t="str">
        <f>TEXT(Table1[[#This Row],[Order date]],"mmmm")</f>
        <v>February</v>
      </c>
    </row>
    <row r="234" spans="1:15" ht="13.5" x14ac:dyDescent="0.25">
      <c r="A234" s="1" t="str">
        <f>"ORD"&amp;"-"&amp;_xlfn.XLOOKUP(C234,Guide!$B$22:$B$26,Guide!$C$22:$C$26)&amp;"-"&amp;_xlfn.XLOOKUP(D234,Guide!$B$29:$B$33,Guide!$C$29:$C$33)&amp;"-"&amp;TEXT(H234,"yyyymmdd")</f>
        <v>ORD-CND-GOV-20140201</v>
      </c>
      <c r="B234" s="1" t="s">
        <v>277</v>
      </c>
      <c r="C234" s="1" t="s">
        <v>27</v>
      </c>
      <c r="D234" s="1" t="s">
        <v>39</v>
      </c>
      <c r="E234" s="1" t="s">
        <v>82</v>
      </c>
      <c r="F234" s="2">
        <v>488</v>
      </c>
      <c r="G234" s="4">
        <v>7.9999999999999988E-2</v>
      </c>
      <c r="H234" s="3">
        <f t="shared" si="9"/>
        <v>41671</v>
      </c>
      <c r="I234" s="1">
        <f>_xlfn.XLOOKUP(E234,Product!$A$2:$A$7,Product!$C$2:$C$7)</f>
        <v>15</v>
      </c>
      <c r="J234" s="22">
        <f t="shared" si="10"/>
        <v>7320</v>
      </c>
      <c r="K234" s="22">
        <f t="shared" si="11"/>
        <v>6734.4000000000005</v>
      </c>
      <c r="L234" s="22">
        <f>K234-(_xlfn.XLOOKUP(E234,Product!$A$2:$A$7,Product!$B$2:$B$7)*F234)</f>
        <v>4294.4000000000005</v>
      </c>
      <c r="M234">
        <f>YEAR(Table1[[#This Row],[Order date]])</f>
        <v>2014</v>
      </c>
      <c r="N234" s="22" t="str" cm="1">
        <f t="array" ref="N234">_xlfn.IFS(G234=0,"No Discount", ROUND(G234*100,0)&lt;=4,"Low", ROUND(G234*100,0)&lt;=9,"Medium", ROUND(G234*100,0)&lt;=15,"High")</f>
        <v>Medium</v>
      </c>
      <c r="O234" s="22" t="str">
        <f>TEXT(Table1[[#This Row],[Order date]],"mmmm")</f>
        <v>February</v>
      </c>
    </row>
    <row r="235" spans="1:15" ht="13.5" x14ac:dyDescent="0.25">
      <c r="A235" s="1" t="str">
        <f>"ORD"&amp;"-"&amp;_xlfn.XLOOKUP(C235,Guide!$B$22:$B$26,Guide!$C$22:$C$26)&amp;"-"&amp;_xlfn.XLOOKUP(D235,Guide!$B$29:$B$33,Guide!$C$29:$C$33)&amp;"-"&amp;TEXT(H235,"yyyymmdd")</f>
        <v>ORD-GER-SMB-20140201</v>
      </c>
      <c r="B235" s="1" t="s">
        <v>278</v>
      </c>
      <c r="C235" s="1" t="s">
        <v>29</v>
      </c>
      <c r="D235" s="1" t="s">
        <v>47</v>
      </c>
      <c r="E235" s="1" t="s">
        <v>78</v>
      </c>
      <c r="F235" s="2">
        <v>2659</v>
      </c>
      <c r="G235" s="4">
        <v>0.09</v>
      </c>
      <c r="H235" s="3">
        <f t="shared" si="9"/>
        <v>41671</v>
      </c>
      <c r="I235" s="1">
        <f>_xlfn.XLOOKUP(E235,Product!$A$2:$A$7,Product!$C$2:$C$7)</f>
        <v>300</v>
      </c>
      <c r="J235" s="22">
        <f t="shared" si="10"/>
        <v>797700</v>
      </c>
      <c r="K235" s="22">
        <f t="shared" si="11"/>
        <v>725907</v>
      </c>
      <c r="L235" s="22">
        <f>K235-(_xlfn.XLOOKUP(E235,Product!$A$2:$A$7,Product!$B$2:$B$7)*F235)</f>
        <v>61157</v>
      </c>
      <c r="M235">
        <f>YEAR(Table1[[#This Row],[Order date]])</f>
        <v>2014</v>
      </c>
      <c r="N235" s="22" t="str" cm="1">
        <f t="array" ref="N235">_xlfn.IFS(G235=0,"No Discount", ROUND(G235*100,0)&lt;=4,"Low", ROUND(G235*100,0)&lt;=9,"Medium", ROUND(G235*100,0)&lt;=15,"High")</f>
        <v>Medium</v>
      </c>
      <c r="O235" s="22" t="str">
        <f>TEXT(Table1[[#This Row],[Order date]],"mmmm")</f>
        <v>February</v>
      </c>
    </row>
    <row r="236" spans="1:15" ht="13.5" x14ac:dyDescent="0.25">
      <c r="A236" s="1" t="str">
        <f>"ORD"&amp;"-"&amp;_xlfn.XLOOKUP(C236,Guide!$B$22:$B$26,Guide!$C$22:$C$26)&amp;"-"&amp;_xlfn.XLOOKUP(D236,Guide!$B$29:$B$33,Guide!$C$29:$C$33)&amp;"-"&amp;TEXT(H236,"yyyymmdd")</f>
        <v>ORD-CND-GOV-20140201</v>
      </c>
      <c r="B236" s="1" t="s">
        <v>279</v>
      </c>
      <c r="C236" s="1" t="s">
        <v>27</v>
      </c>
      <c r="D236" s="1" t="s">
        <v>39</v>
      </c>
      <c r="E236" s="1" t="s">
        <v>84</v>
      </c>
      <c r="F236" s="2">
        <v>2240</v>
      </c>
      <c r="G236" s="4">
        <v>0.1</v>
      </c>
      <c r="H236" s="3">
        <f t="shared" si="9"/>
        <v>41671</v>
      </c>
      <c r="I236" s="1">
        <f>_xlfn.XLOOKUP(E236,Product!$A$2:$A$7,Product!$C$2:$C$7)</f>
        <v>350</v>
      </c>
      <c r="J236" s="22">
        <f t="shared" si="10"/>
        <v>784000</v>
      </c>
      <c r="K236" s="22">
        <f t="shared" si="11"/>
        <v>705600</v>
      </c>
      <c r="L236" s="22">
        <f>K236-(_xlfn.XLOOKUP(E236,Product!$A$2:$A$7,Product!$B$2:$B$7)*F236)</f>
        <v>257600</v>
      </c>
      <c r="M236">
        <f>YEAR(Table1[[#This Row],[Order date]])</f>
        <v>2014</v>
      </c>
      <c r="N236" s="22" t="str" cm="1">
        <f t="array" ref="N236">_xlfn.IFS(G236=0,"No Discount", ROUND(G236*100,0)&lt;=4,"Low", ROUND(G236*100,0)&lt;=9,"Medium", ROUND(G236*100,0)&lt;=15,"High")</f>
        <v>High</v>
      </c>
      <c r="O236" s="22" t="str">
        <f>TEXT(Table1[[#This Row],[Order date]],"mmmm")</f>
        <v>February</v>
      </c>
    </row>
    <row r="237" spans="1:15" ht="13.5" x14ac:dyDescent="0.25">
      <c r="A237" s="1" t="str">
        <f>"ORD"&amp;"-"&amp;_xlfn.XLOOKUP(C237,Guide!$B$22:$B$26,Guide!$C$22:$C$26)&amp;"-"&amp;_xlfn.XLOOKUP(D237,Guide!$B$29:$B$33,Guide!$C$29:$C$33)&amp;"-"&amp;TEXT(H237,"yyyymmdd")</f>
        <v>ORD-CND-CPR-20140201</v>
      </c>
      <c r="B237" s="1" t="s">
        <v>280</v>
      </c>
      <c r="C237" s="1" t="s">
        <v>27</v>
      </c>
      <c r="D237" s="1" t="s">
        <v>43</v>
      </c>
      <c r="E237" s="1" t="s">
        <v>80</v>
      </c>
      <c r="F237" s="2">
        <v>1937</v>
      </c>
      <c r="G237" s="4">
        <v>0.11</v>
      </c>
      <c r="H237" s="3">
        <f t="shared" si="9"/>
        <v>41671</v>
      </c>
      <c r="I237" s="1">
        <f>_xlfn.XLOOKUP(E237,Product!$A$2:$A$7,Product!$C$2:$C$7)</f>
        <v>20</v>
      </c>
      <c r="J237" s="22">
        <f t="shared" si="10"/>
        <v>38740</v>
      </c>
      <c r="K237" s="22">
        <f t="shared" si="11"/>
        <v>34478.6</v>
      </c>
      <c r="L237" s="22">
        <f>K237-(_xlfn.XLOOKUP(E237,Product!$A$2:$A$7,Product!$B$2:$B$7)*F237)</f>
        <v>28667.599999999999</v>
      </c>
      <c r="M237">
        <f>YEAR(Table1[[#This Row],[Order date]])</f>
        <v>2014</v>
      </c>
      <c r="N237" s="22" t="str" cm="1">
        <f t="array" ref="N237">_xlfn.IFS(G237=0,"No Discount", ROUND(G237*100,0)&lt;=4,"Low", ROUND(G237*100,0)&lt;=9,"Medium", ROUND(G237*100,0)&lt;=15,"High")</f>
        <v>High</v>
      </c>
      <c r="O237" s="22" t="str">
        <f>TEXT(Table1[[#This Row],[Order date]],"mmmm")</f>
        <v>February</v>
      </c>
    </row>
    <row r="238" spans="1:15" ht="13.5" x14ac:dyDescent="0.25">
      <c r="A238" s="1" t="str">
        <f>"ORD"&amp;"-"&amp;_xlfn.XLOOKUP(C238,Guide!$B$22:$B$26,Guide!$C$22:$C$26)&amp;"-"&amp;_xlfn.XLOOKUP(D238,Guide!$B$29:$B$33,Guide!$C$29:$C$33)&amp;"-"&amp;TEXT(H238,"yyyymmdd")</f>
        <v>ORD-USA-GOV-20140201</v>
      </c>
      <c r="B238" s="1" t="s">
        <v>281</v>
      </c>
      <c r="C238" s="1" t="s">
        <v>35</v>
      </c>
      <c r="D238" s="1" t="s">
        <v>39</v>
      </c>
      <c r="E238" s="1" t="s">
        <v>84</v>
      </c>
      <c r="F238" s="2">
        <v>270</v>
      </c>
      <c r="G238" s="4">
        <v>0.12</v>
      </c>
      <c r="H238" s="3">
        <f t="shared" si="9"/>
        <v>41671</v>
      </c>
      <c r="I238" s="1">
        <f>_xlfn.XLOOKUP(E238,Product!$A$2:$A$7,Product!$C$2:$C$7)</f>
        <v>350</v>
      </c>
      <c r="J238" s="22">
        <f t="shared" si="10"/>
        <v>94500</v>
      </c>
      <c r="K238" s="22">
        <f t="shared" si="11"/>
        <v>83160</v>
      </c>
      <c r="L238" s="22">
        <f>K238-(_xlfn.XLOOKUP(E238,Product!$A$2:$A$7,Product!$B$2:$B$7)*F238)</f>
        <v>29160</v>
      </c>
      <c r="M238">
        <f>YEAR(Table1[[#This Row],[Order date]])</f>
        <v>2014</v>
      </c>
      <c r="N238" s="22" t="str" cm="1">
        <f t="array" ref="N238">_xlfn.IFS(G238=0,"No Discount", ROUND(G238*100,0)&lt;=4,"Low", ROUND(G238*100,0)&lt;=9,"Medium", ROUND(G238*100,0)&lt;=15,"High")</f>
        <v>High</v>
      </c>
      <c r="O238" s="22" t="str">
        <f>TEXT(Table1[[#This Row],[Order date]],"mmmm")</f>
        <v>February</v>
      </c>
    </row>
    <row r="239" spans="1:15" ht="13.5" x14ac:dyDescent="0.25">
      <c r="A239" s="1" t="str">
        <f>"ORD"&amp;"-"&amp;_xlfn.XLOOKUP(C239,Guide!$B$22:$B$26,Guide!$C$22:$C$26)&amp;"-"&amp;_xlfn.XLOOKUP(D239,Guide!$B$29:$B$33,Guide!$C$29:$C$33)&amp;"-"&amp;TEXT(H239,"yyyymmdd")</f>
        <v>ORD-USA-GOV-20140201</v>
      </c>
      <c r="B239" s="1" t="s">
        <v>282</v>
      </c>
      <c r="C239" s="1" t="s">
        <v>35</v>
      </c>
      <c r="D239" s="1" t="s">
        <v>39</v>
      </c>
      <c r="E239" s="1" t="s">
        <v>82</v>
      </c>
      <c r="F239" s="2">
        <v>1298</v>
      </c>
      <c r="G239" s="4">
        <v>0.13</v>
      </c>
      <c r="H239" s="3">
        <f t="shared" si="9"/>
        <v>41671</v>
      </c>
      <c r="I239" s="1">
        <f>_xlfn.XLOOKUP(E239,Product!$A$2:$A$7,Product!$C$2:$C$7)</f>
        <v>15</v>
      </c>
      <c r="J239" s="22">
        <f t="shared" si="10"/>
        <v>19470</v>
      </c>
      <c r="K239" s="22">
        <f t="shared" si="11"/>
        <v>16938.900000000001</v>
      </c>
      <c r="L239" s="22">
        <f>K239-(_xlfn.XLOOKUP(E239,Product!$A$2:$A$7,Product!$B$2:$B$7)*F239)</f>
        <v>10448.900000000001</v>
      </c>
      <c r="M239">
        <f>YEAR(Table1[[#This Row],[Order date]])</f>
        <v>2014</v>
      </c>
      <c r="N239" s="22" t="str" cm="1">
        <f t="array" ref="N239">_xlfn.IFS(G239=0,"No Discount", ROUND(G239*100,0)&lt;=4,"Low", ROUND(G239*100,0)&lt;=9,"Medium", ROUND(G239*100,0)&lt;=15,"High")</f>
        <v>High</v>
      </c>
      <c r="O239" s="22" t="str">
        <f>TEXT(Table1[[#This Row],[Order date]],"mmmm")</f>
        <v>February</v>
      </c>
    </row>
    <row r="240" spans="1:15" ht="13.5" x14ac:dyDescent="0.25">
      <c r="A240" s="1" t="str">
        <f>"ORD"&amp;"-"&amp;_xlfn.XLOOKUP(C240,Guide!$B$22:$B$26,Guide!$C$22:$C$26)&amp;"-"&amp;_xlfn.XLOOKUP(D240,Guide!$B$29:$B$33,Guide!$C$29:$C$33)&amp;"-"&amp;TEXT(H240,"yyyymmdd")</f>
        <v>ORD-USA-GOV-20140201</v>
      </c>
      <c r="B240" s="1" t="s">
        <v>283</v>
      </c>
      <c r="C240" s="1" t="s">
        <v>35</v>
      </c>
      <c r="D240" s="1" t="s">
        <v>39</v>
      </c>
      <c r="E240" s="1" t="s">
        <v>75</v>
      </c>
      <c r="F240" s="2">
        <v>2641</v>
      </c>
      <c r="G240" s="4">
        <v>0.13</v>
      </c>
      <c r="H240" s="3">
        <f t="shared" si="9"/>
        <v>41671</v>
      </c>
      <c r="I240" s="1">
        <f>_xlfn.XLOOKUP(E240,Product!$A$2:$A$7,Product!$C$2:$C$7)</f>
        <v>20</v>
      </c>
      <c r="J240" s="22">
        <f t="shared" si="10"/>
        <v>52820</v>
      </c>
      <c r="K240" s="22">
        <f t="shared" si="11"/>
        <v>45953.4</v>
      </c>
      <c r="L240" s="22">
        <f>K240-(_xlfn.XLOOKUP(E240,Product!$A$2:$A$7,Product!$B$2:$B$7)*F240)</f>
        <v>19543.400000000001</v>
      </c>
      <c r="M240">
        <f>YEAR(Table1[[#This Row],[Order date]])</f>
        <v>2014</v>
      </c>
      <c r="N240" s="22" t="str" cm="1">
        <f t="array" ref="N240">_xlfn.IFS(G240=0,"No Discount", ROUND(G240*100,0)&lt;=4,"Low", ROUND(G240*100,0)&lt;=9,"Medium", ROUND(G240*100,0)&lt;=15,"High")</f>
        <v>High</v>
      </c>
      <c r="O240" s="22" t="str">
        <f>TEXT(Table1[[#This Row],[Order date]],"mmmm")</f>
        <v>February</v>
      </c>
    </row>
    <row r="241" spans="1:15" ht="13.5" x14ac:dyDescent="0.25">
      <c r="A241" s="1" t="str">
        <f>"ORD"&amp;"-"&amp;_xlfn.XLOOKUP(C241,Guide!$B$22:$B$26,Guide!$C$22:$C$26)&amp;"-"&amp;_xlfn.XLOOKUP(D241,Guide!$B$29:$B$33,Guide!$C$29:$C$33)&amp;"-"&amp;TEXT(H241,"yyyymmdd")</f>
        <v>ORD-GER-GOV-20140201</v>
      </c>
      <c r="B241" s="1" t="s">
        <v>284</v>
      </c>
      <c r="C241" s="1" t="s">
        <v>29</v>
      </c>
      <c r="D241" s="1" t="s">
        <v>39</v>
      </c>
      <c r="E241" s="1" t="s">
        <v>75</v>
      </c>
      <c r="F241" s="2">
        <v>2708</v>
      </c>
      <c r="G241" s="4">
        <v>0.13</v>
      </c>
      <c r="H241" s="3">
        <f t="shared" si="9"/>
        <v>41671</v>
      </c>
      <c r="I241" s="1">
        <f>_xlfn.XLOOKUP(E241,Product!$A$2:$A$7,Product!$C$2:$C$7)</f>
        <v>20</v>
      </c>
      <c r="J241" s="22">
        <f t="shared" si="10"/>
        <v>54160</v>
      </c>
      <c r="K241" s="22">
        <f t="shared" si="11"/>
        <v>47119.199999999997</v>
      </c>
      <c r="L241" s="22">
        <f>K241-(_xlfn.XLOOKUP(E241,Product!$A$2:$A$7,Product!$B$2:$B$7)*F241)</f>
        <v>20039.199999999997</v>
      </c>
      <c r="M241">
        <f>YEAR(Table1[[#This Row],[Order date]])</f>
        <v>2014</v>
      </c>
      <c r="N241" s="22" t="str" cm="1">
        <f t="array" ref="N241">_xlfn.IFS(G241=0,"No Discount", ROUND(G241*100,0)&lt;=4,"Low", ROUND(G241*100,0)&lt;=9,"Medium", ROUND(G241*100,0)&lt;=15,"High")</f>
        <v>High</v>
      </c>
      <c r="O241" s="22" t="str">
        <f>TEXT(Table1[[#This Row],[Order date]],"mmmm")</f>
        <v>February</v>
      </c>
    </row>
    <row r="242" spans="1:15" ht="13.5" x14ac:dyDescent="0.25">
      <c r="A242" s="1" t="str">
        <f>"ORD"&amp;"-"&amp;_xlfn.XLOOKUP(C242,Guide!$B$22:$B$26,Guide!$C$22:$C$26)&amp;"-"&amp;_xlfn.XLOOKUP(D242,Guide!$B$29:$B$33,Guide!$C$29:$C$33)&amp;"-"&amp;TEXT(H242,"yyyymmdd")</f>
        <v>ORD-GER-MDM-20140201</v>
      </c>
      <c r="B242" s="1" t="s">
        <v>285</v>
      </c>
      <c r="C242" s="1" t="s">
        <v>29</v>
      </c>
      <c r="D242" s="1" t="s">
        <v>41</v>
      </c>
      <c r="E242" s="1" t="s">
        <v>75</v>
      </c>
      <c r="F242" s="2">
        <v>278</v>
      </c>
      <c r="G242" s="4">
        <v>0.13999999999999999</v>
      </c>
      <c r="H242" s="3">
        <f t="shared" si="9"/>
        <v>41671</v>
      </c>
      <c r="I242" s="1">
        <f>_xlfn.XLOOKUP(E242,Product!$A$2:$A$7,Product!$C$2:$C$7)</f>
        <v>20</v>
      </c>
      <c r="J242" s="22">
        <f t="shared" si="10"/>
        <v>5560</v>
      </c>
      <c r="K242" s="22">
        <f t="shared" si="11"/>
        <v>4781.6000000000004</v>
      </c>
      <c r="L242" s="22">
        <f>K242-(_xlfn.XLOOKUP(E242,Product!$A$2:$A$7,Product!$B$2:$B$7)*F242)</f>
        <v>2001.6000000000004</v>
      </c>
      <c r="M242">
        <f>YEAR(Table1[[#This Row],[Order date]])</f>
        <v>2014</v>
      </c>
      <c r="N242" s="22" t="str" cm="1">
        <f t="array" ref="N242">_xlfn.IFS(G242=0,"No Discount", ROUND(G242*100,0)&lt;=4,"Low", ROUND(G242*100,0)&lt;=9,"Medium", ROUND(G242*100,0)&lt;=15,"High")</f>
        <v>High</v>
      </c>
      <c r="O242" s="22" t="str">
        <f>TEXT(Table1[[#This Row],[Order date]],"mmmm")</f>
        <v>February</v>
      </c>
    </row>
    <row r="243" spans="1:15" ht="13.5" x14ac:dyDescent="0.25">
      <c r="A243" s="1" t="str">
        <f>"ORD"&amp;"-"&amp;_xlfn.XLOOKUP(C243,Guide!$B$22:$B$26,Guide!$C$22:$C$26)&amp;"-"&amp;_xlfn.XLOOKUP(D243,Guide!$B$29:$B$33,Guide!$C$29:$C$33)&amp;"-"&amp;TEXT(H243,"yyyymmdd")</f>
        <v>ORD-FRA-GOV-20140201</v>
      </c>
      <c r="B243" s="1" t="s">
        <v>286</v>
      </c>
      <c r="C243" s="1" t="s">
        <v>31</v>
      </c>
      <c r="D243" s="1" t="s">
        <v>39</v>
      </c>
      <c r="E243" s="1" t="s">
        <v>82</v>
      </c>
      <c r="F243" s="2">
        <v>293</v>
      </c>
      <c r="G243" s="4">
        <v>0.13999999999999999</v>
      </c>
      <c r="H243" s="3">
        <f t="shared" si="9"/>
        <v>41671</v>
      </c>
      <c r="I243" s="1">
        <f>_xlfn.XLOOKUP(E243,Product!$A$2:$A$7,Product!$C$2:$C$7)</f>
        <v>15</v>
      </c>
      <c r="J243" s="22">
        <f t="shared" si="10"/>
        <v>4395</v>
      </c>
      <c r="K243" s="22">
        <f t="shared" si="11"/>
        <v>3779.7</v>
      </c>
      <c r="L243" s="22">
        <f>K243-(_xlfn.XLOOKUP(E243,Product!$A$2:$A$7,Product!$B$2:$B$7)*F243)</f>
        <v>2314.6999999999998</v>
      </c>
      <c r="M243">
        <f>YEAR(Table1[[#This Row],[Order date]])</f>
        <v>2014</v>
      </c>
      <c r="N243" s="22" t="str" cm="1">
        <f t="array" ref="N243">_xlfn.IFS(G243=0,"No Discount", ROUND(G243*100,0)&lt;=4,"Low", ROUND(G243*100,0)&lt;=9,"Medium", ROUND(G243*100,0)&lt;=15,"High")</f>
        <v>High</v>
      </c>
      <c r="O243" s="22" t="str">
        <f>TEXT(Table1[[#This Row],[Order date]],"mmmm")</f>
        <v>February</v>
      </c>
    </row>
    <row r="244" spans="1:15" ht="13.5" x14ac:dyDescent="0.25">
      <c r="A244" s="1" t="str">
        <f>"ORD"&amp;"-"&amp;_xlfn.XLOOKUP(C244,Guide!$B$22:$B$26,Guide!$C$22:$C$26)&amp;"-"&amp;_xlfn.XLOOKUP(D244,Guide!$B$29:$B$33,Guide!$C$29:$C$33)&amp;"-"&amp;TEXT(H244,"yyyymmdd")</f>
        <v>ORD-MXC-GOV-20140201</v>
      </c>
      <c r="B244" s="1" t="s">
        <v>287</v>
      </c>
      <c r="C244" s="1" t="s">
        <v>33</v>
      </c>
      <c r="D244" s="1" t="s">
        <v>39</v>
      </c>
      <c r="E244" s="1" t="s">
        <v>75</v>
      </c>
      <c r="F244" s="2">
        <v>260</v>
      </c>
      <c r="G244" s="4">
        <v>0.14000000000000001</v>
      </c>
      <c r="H244" s="3">
        <f t="shared" si="9"/>
        <v>41671</v>
      </c>
      <c r="I244" s="1">
        <f>_xlfn.XLOOKUP(E244,Product!$A$2:$A$7,Product!$C$2:$C$7)</f>
        <v>20</v>
      </c>
      <c r="J244" s="22">
        <f t="shared" si="10"/>
        <v>5200</v>
      </c>
      <c r="K244" s="22">
        <f t="shared" si="11"/>
        <v>4472</v>
      </c>
      <c r="L244" s="22">
        <f>K244-(_xlfn.XLOOKUP(E244,Product!$A$2:$A$7,Product!$B$2:$B$7)*F244)</f>
        <v>1872</v>
      </c>
      <c r="M244">
        <f>YEAR(Table1[[#This Row],[Order date]])</f>
        <v>2014</v>
      </c>
      <c r="N244" s="22" t="str" cm="1">
        <f t="array" ref="N244">_xlfn.IFS(G244=0,"No Discount", ROUND(G244*100,0)&lt;=4,"Low", ROUND(G244*100,0)&lt;=9,"Medium", ROUND(G244*100,0)&lt;=15,"High")</f>
        <v>High</v>
      </c>
      <c r="O244" s="22" t="str">
        <f>TEXT(Table1[[#This Row],[Order date]],"mmmm")</f>
        <v>February</v>
      </c>
    </row>
    <row r="245" spans="1:15" ht="13.5" x14ac:dyDescent="0.25">
      <c r="A245" s="1" t="str">
        <f>"ORD"&amp;"-"&amp;_xlfn.XLOOKUP(C245,Guide!$B$22:$B$26,Guide!$C$22:$C$26)&amp;"-"&amp;_xlfn.XLOOKUP(D245,Guide!$B$29:$B$33,Guide!$C$29:$C$33)&amp;"-"&amp;TEXT(H245,"yyyymmdd")</f>
        <v>ORD-MXC-ENT-20140201</v>
      </c>
      <c r="B245" s="1" t="s">
        <v>288</v>
      </c>
      <c r="C245" s="1" t="s">
        <v>33</v>
      </c>
      <c r="D245" s="1" t="s">
        <v>45</v>
      </c>
      <c r="E245" s="1" t="s">
        <v>88</v>
      </c>
      <c r="F245" s="2">
        <v>1575</v>
      </c>
      <c r="G245" s="4">
        <v>0.14000000000000001</v>
      </c>
      <c r="H245" s="3">
        <f t="shared" si="9"/>
        <v>41671</v>
      </c>
      <c r="I245" s="1">
        <f>_xlfn.XLOOKUP(E245,Product!$A$2:$A$7,Product!$C$2:$C$7)</f>
        <v>180</v>
      </c>
      <c r="J245" s="22">
        <f t="shared" si="10"/>
        <v>283500</v>
      </c>
      <c r="K245" s="22">
        <f t="shared" si="11"/>
        <v>243810</v>
      </c>
      <c r="L245" s="22">
        <f>K245-(_xlfn.XLOOKUP(E245,Product!$A$2:$A$7,Product!$B$2:$B$7)*F245)</f>
        <v>54810</v>
      </c>
      <c r="M245">
        <f>YEAR(Table1[[#This Row],[Order date]])</f>
        <v>2014</v>
      </c>
      <c r="N245" s="22" t="str" cm="1">
        <f t="array" ref="N245">_xlfn.IFS(G245=0,"No Discount", ROUND(G245*100,0)&lt;=4,"Low", ROUND(G245*100,0)&lt;=9,"Medium", ROUND(G245*100,0)&lt;=15,"High")</f>
        <v>High</v>
      </c>
      <c r="O245" s="22" t="str">
        <f>TEXT(Table1[[#This Row],[Order date]],"mmmm")</f>
        <v>February</v>
      </c>
    </row>
    <row r="246" spans="1:15" ht="13.5" x14ac:dyDescent="0.25">
      <c r="A246" s="1" t="str">
        <f>"ORD"&amp;"-"&amp;_xlfn.XLOOKUP(C246,Guide!$B$22:$B$26,Guide!$C$22:$C$26)&amp;"-"&amp;_xlfn.XLOOKUP(D246,Guide!$B$29:$B$33,Guide!$C$29:$C$33)&amp;"-"&amp;TEXT(H246,"yyyymmdd")</f>
        <v>ORD-MXC-GOV-20140201</v>
      </c>
      <c r="B246" s="1" t="s">
        <v>289</v>
      </c>
      <c r="C246" s="1" t="s">
        <v>33</v>
      </c>
      <c r="D246" s="1" t="s">
        <v>39</v>
      </c>
      <c r="E246" s="1" t="s">
        <v>82</v>
      </c>
      <c r="F246" s="2">
        <v>1368</v>
      </c>
      <c r="G246" s="4">
        <v>0.15000000000000002</v>
      </c>
      <c r="H246" s="3">
        <f t="shared" si="9"/>
        <v>41671</v>
      </c>
      <c r="I246" s="1">
        <f>_xlfn.XLOOKUP(E246,Product!$A$2:$A$7,Product!$C$2:$C$7)</f>
        <v>15</v>
      </c>
      <c r="J246" s="22">
        <f t="shared" si="10"/>
        <v>20520</v>
      </c>
      <c r="K246" s="22">
        <f t="shared" si="11"/>
        <v>17442</v>
      </c>
      <c r="L246" s="22">
        <f>K246-(_xlfn.XLOOKUP(E246,Product!$A$2:$A$7,Product!$B$2:$B$7)*F246)</f>
        <v>10602</v>
      </c>
      <c r="M246">
        <f>YEAR(Table1[[#This Row],[Order date]])</f>
        <v>2014</v>
      </c>
      <c r="N246" s="22" t="str" cm="1">
        <f t="array" ref="N246">_xlfn.IFS(G246=0,"No Discount", ROUND(G246*100,0)&lt;=4,"Low", ROUND(G246*100,0)&lt;=9,"Medium", ROUND(G246*100,0)&lt;=15,"High")</f>
        <v>High</v>
      </c>
      <c r="O246" s="22" t="str">
        <f>TEXT(Table1[[#This Row],[Order date]],"mmmm")</f>
        <v>February</v>
      </c>
    </row>
    <row r="247" spans="1:15" ht="13.5" x14ac:dyDescent="0.25">
      <c r="A247" s="1" t="str">
        <f>"ORD"&amp;"-"&amp;_xlfn.XLOOKUP(C247,Guide!$B$22:$B$26,Guide!$C$22:$C$26)&amp;"-"&amp;_xlfn.XLOOKUP(D247,Guide!$B$29:$B$33,Guide!$C$29:$C$33)&amp;"-"&amp;TEXT(H247,"yyyymmdd")</f>
        <v>ORD-GER-MDM-20140301</v>
      </c>
      <c r="B247" s="1" t="s">
        <v>290</v>
      </c>
      <c r="C247" s="1" t="s">
        <v>29</v>
      </c>
      <c r="D247" s="1" t="s">
        <v>41</v>
      </c>
      <c r="E247" s="1" t="s">
        <v>82</v>
      </c>
      <c r="F247" s="2">
        <v>921</v>
      </c>
      <c r="G247" s="4">
        <v>0</v>
      </c>
      <c r="H247" s="3">
        <f t="shared" si="9"/>
        <v>41699</v>
      </c>
      <c r="I247" s="1">
        <f>_xlfn.XLOOKUP(E247,Product!$A$2:$A$7,Product!$C$2:$C$7)</f>
        <v>15</v>
      </c>
      <c r="J247" s="22">
        <f t="shared" si="10"/>
        <v>13815</v>
      </c>
      <c r="K247" s="22">
        <f t="shared" si="11"/>
        <v>13815</v>
      </c>
      <c r="L247" s="22">
        <f>K247-(_xlfn.XLOOKUP(E247,Product!$A$2:$A$7,Product!$B$2:$B$7)*F247)</f>
        <v>9210</v>
      </c>
      <c r="M247">
        <f>YEAR(Table1[[#This Row],[Order date]])</f>
        <v>2014</v>
      </c>
      <c r="N247" s="22" t="str" cm="1">
        <f t="array" ref="N247">_xlfn.IFS(G247=0,"No Discount", ROUND(G247*100,0)&lt;=4,"Low", ROUND(G247*100,0)&lt;=9,"Medium", ROUND(G247*100,0)&lt;=15,"High")</f>
        <v>No Discount</v>
      </c>
      <c r="O247" s="22" t="str">
        <f>TEXT(Table1[[#This Row],[Order date]],"mmmm")</f>
        <v>March</v>
      </c>
    </row>
    <row r="248" spans="1:15" ht="13.5" x14ac:dyDescent="0.25">
      <c r="A248" s="1" t="str">
        <f>"ORD"&amp;"-"&amp;_xlfn.XLOOKUP(C248,Guide!$B$22:$B$26,Guide!$C$22:$C$26)&amp;"-"&amp;_xlfn.XLOOKUP(D248,Guide!$B$29:$B$33,Guide!$C$29:$C$33)&amp;"-"&amp;TEXT(H248,"yyyymmdd")</f>
        <v>ORD-GER-CPR-20140301</v>
      </c>
      <c r="B248" s="1" t="s">
        <v>291</v>
      </c>
      <c r="C248" s="1" t="s">
        <v>29</v>
      </c>
      <c r="D248" s="1" t="s">
        <v>43</v>
      </c>
      <c r="E248" s="1" t="s">
        <v>88</v>
      </c>
      <c r="F248" s="2">
        <v>2161</v>
      </c>
      <c r="G248" s="4">
        <v>0</v>
      </c>
      <c r="H248" s="3">
        <f t="shared" si="9"/>
        <v>41699</v>
      </c>
      <c r="I248" s="1">
        <f>_xlfn.XLOOKUP(E248,Product!$A$2:$A$7,Product!$C$2:$C$7)</f>
        <v>180</v>
      </c>
      <c r="J248" s="22">
        <f t="shared" si="10"/>
        <v>388980</v>
      </c>
      <c r="K248" s="22">
        <f t="shared" si="11"/>
        <v>388980</v>
      </c>
      <c r="L248" s="22">
        <f>K248-(_xlfn.XLOOKUP(E248,Product!$A$2:$A$7,Product!$B$2:$B$7)*F248)</f>
        <v>129660</v>
      </c>
      <c r="M248">
        <f>YEAR(Table1[[#This Row],[Order date]])</f>
        <v>2014</v>
      </c>
      <c r="N248" s="22" t="str" cm="1">
        <f t="array" ref="N248">_xlfn.IFS(G248=0,"No Discount", ROUND(G248*100,0)&lt;=4,"Low", ROUND(G248*100,0)&lt;=9,"Medium", ROUND(G248*100,0)&lt;=15,"High")</f>
        <v>No Discount</v>
      </c>
      <c r="O248" s="22" t="str">
        <f>TEXT(Table1[[#This Row],[Order date]],"mmmm")</f>
        <v>March</v>
      </c>
    </row>
    <row r="249" spans="1:15" ht="13.5" x14ac:dyDescent="0.25">
      <c r="A249" s="1" t="str">
        <f>"ORD"&amp;"-"&amp;_xlfn.XLOOKUP(C249,Guide!$B$22:$B$26,Guide!$C$22:$C$26)&amp;"-"&amp;_xlfn.XLOOKUP(D249,Guide!$B$29:$B$33,Guide!$C$29:$C$33)&amp;"-"&amp;TEXT(H249,"yyyymmdd")</f>
        <v>ORD-CND-GOV-20140301</v>
      </c>
      <c r="B249" s="1" t="s">
        <v>292</v>
      </c>
      <c r="C249" s="1" t="s">
        <v>27</v>
      </c>
      <c r="D249" s="1" t="s">
        <v>39</v>
      </c>
      <c r="E249" s="1" t="s">
        <v>78</v>
      </c>
      <c r="F249" s="2">
        <v>1326</v>
      </c>
      <c r="G249" s="4">
        <v>9.9999999999999985E-3</v>
      </c>
      <c r="H249" s="3">
        <f t="shared" si="9"/>
        <v>41699</v>
      </c>
      <c r="I249" s="1">
        <f>_xlfn.XLOOKUP(E249,Product!$A$2:$A$7,Product!$C$2:$C$7)</f>
        <v>300</v>
      </c>
      <c r="J249" s="22">
        <f t="shared" si="10"/>
        <v>397800</v>
      </c>
      <c r="K249" s="22">
        <f t="shared" si="11"/>
        <v>393822</v>
      </c>
      <c r="L249" s="22">
        <f>K249-(_xlfn.XLOOKUP(E249,Product!$A$2:$A$7,Product!$B$2:$B$7)*F249)</f>
        <v>62322</v>
      </c>
      <c r="M249">
        <f>YEAR(Table1[[#This Row],[Order date]])</f>
        <v>2014</v>
      </c>
      <c r="N249" s="22" t="str" cm="1">
        <f t="array" ref="N249">_xlfn.IFS(G249=0,"No Discount", ROUND(G249*100,0)&lt;=4,"Low", ROUND(G249*100,0)&lt;=9,"Medium", ROUND(G249*100,0)&lt;=15,"High")</f>
        <v>Low</v>
      </c>
      <c r="O249" s="22" t="str">
        <f>TEXT(Table1[[#This Row],[Order date]],"mmmm")</f>
        <v>March</v>
      </c>
    </row>
    <row r="250" spans="1:15" ht="13.5" x14ac:dyDescent="0.25">
      <c r="A250" s="1" t="str">
        <f>"ORD"&amp;"-"&amp;_xlfn.XLOOKUP(C250,Guide!$B$22:$B$26,Guide!$C$22:$C$26)&amp;"-"&amp;_xlfn.XLOOKUP(D250,Guide!$B$29:$B$33,Guide!$C$29:$C$33)&amp;"-"&amp;TEXT(H250,"yyyymmdd")</f>
        <v>ORD-GER-GOV-20140301</v>
      </c>
      <c r="B250" s="1" t="s">
        <v>293</v>
      </c>
      <c r="C250" s="1" t="s">
        <v>29</v>
      </c>
      <c r="D250" s="1" t="s">
        <v>39</v>
      </c>
      <c r="E250" s="1" t="s">
        <v>78</v>
      </c>
      <c r="F250" s="2">
        <v>263</v>
      </c>
      <c r="G250" s="4">
        <v>0.01</v>
      </c>
      <c r="H250" s="3">
        <f t="shared" si="9"/>
        <v>41699</v>
      </c>
      <c r="I250" s="1">
        <f>_xlfn.XLOOKUP(E250,Product!$A$2:$A$7,Product!$C$2:$C$7)</f>
        <v>300</v>
      </c>
      <c r="J250" s="22">
        <f t="shared" si="10"/>
        <v>78900</v>
      </c>
      <c r="K250" s="22">
        <f t="shared" si="11"/>
        <v>78111</v>
      </c>
      <c r="L250" s="22">
        <f>K250-(_xlfn.XLOOKUP(E250,Product!$A$2:$A$7,Product!$B$2:$B$7)*F250)</f>
        <v>12361</v>
      </c>
      <c r="M250">
        <f>YEAR(Table1[[#This Row],[Order date]])</f>
        <v>2014</v>
      </c>
      <c r="N250" s="22" t="str" cm="1">
        <f t="array" ref="N250">_xlfn.IFS(G250=0,"No Discount", ROUND(G250*100,0)&lt;=4,"Low", ROUND(G250*100,0)&lt;=9,"Medium", ROUND(G250*100,0)&lt;=15,"High")</f>
        <v>Low</v>
      </c>
      <c r="O250" s="22" t="str">
        <f>TEXT(Table1[[#This Row],[Order date]],"mmmm")</f>
        <v>March</v>
      </c>
    </row>
    <row r="251" spans="1:15" ht="13.5" x14ac:dyDescent="0.25">
      <c r="A251" s="1" t="str">
        <f>"ORD"&amp;"-"&amp;_xlfn.XLOOKUP(C251,Guide!$B$22:$B$26,Guide!$C$22:$C$26)&amp;"-"&amp;_xlfn.XLOOKUP(D251,Guide!$B$29:$B$33,Guide!$C$29:$C$33)&amp;"-"&amp;TEXT(H251,"yyyymmdd")</f>
        <v>ORD-MXC-GOV-20140301</v>
      </c>
      <c r="B251" s="1" t="s">
        <v>294</v>
      </c>
      <c r="C251" s="1" t="s">
        <v>33</v>
      </c>
      <c r="D251" s="1" t="s">
        <v>39</v>
      </c>
      <c r="E251" s="1" t="s">
        <v>80</v>
      </c>
      <c r="F251" s="2">
        <v>1210</v>
      </c>
      <c r="G251" s="4">
        <v>0.01</v>
      </c>
      <c r="H251" s="3">
        <f t="shared" si="9"/>
        <v>41699</v>
      </c>
      <c r="I251" s="1">
        <f>_xlfn.XLOOKUP(E251,Product!$A$2:$A$7,Product!$C$2:$C$7)</f>
        <v>20</v>
      </c>
      <c r="J251" s="22">
        <f t="shared" si="10"/>
        <v>24200</v>
      </c>
      <c r="K251" s="22">
        <f t="shared" si="11"/>
        <v>23958</v>
      </c>
      <c r="L251" s="22">
        <f>K251-(_xlfn.XLOOKUP(E251,Product!$A$2:$A$7,Product!$B$2:$B$7)*F251)</f>
        <v>20328</v>
      </c>
      <c r="M251">
        <f>YEAR(Table1[[#This Row],[Order date]])</f>
        <v>2014</v>
      </c>
      <c r="N251" s="22" t="str" cm="1">
        <f t="array" ref="N251">_xlfn.IFS(G251=0,"No Discount", ROUND(G251*100,0)&lt;=4,"Low", ROUND(G251*100,0)&lt;=9,"Medium", ROUND(G251*100,0)&lt;=15,"High")</f>
        <v>Low</v>
      </c>
      <c r="O251" s="22" t="str">
        <f>TEXT(Table1[[#This Row],[Order date]],"mmmm")</f>
        <v>March</v>
      </c>
    </row>
    <row r="252" spans="1:15" ht="13.5" x14ac:dyDescent="0.25">
      <c r="A252" s="1" t="str">
        <f>"ORD"&amp;"-"&amp;_xlfn.XLOOKUP(C252,Guide!$B$22:$B$26,Guide!$C$22:$C$26)&amp;"-"&amp;_xlfn.XLOOKUP(D252,Guide!$B$29:$B$33,Guide!$C$29:$C$33)&amp;"-"&amp;TEXT(H252,"yyyymmdd")</f>
        <v>ORD-MXC-MDM-20140301</v>
      </c>
      <c r="B252" s="1" t="s">
        <v>295</v>
      </c>
      <c r="C252" s="1" t="s">
        <v>33</v>
      </c>
      <c r="D252" s="1" t="s">
        <v>41</v>
      </c>
      <c r="E252" s="1" t="s">
        <v>82</v>
      </c>
      <c r="F252" s="2">
        <v>2214</v>
      </c>
      <c r="G252" s="4">
        <v>0.01</v>
      </c>
      <c r="H252" s="3">
        <f t="shared" si="9"/>
        <v>41699</v>
      </c>
      <c r="I252" s="1">
        <f>_xlfn.XLOOKUP(E252,Product!$A$2:$A$7,Product!$C$2:$C$7)</f>
        <v>15</v>
      </c>
      <c r="J252" s="22">
        <f t="shared" si="10"/>
        <v>33210</v>
      </c>
      <c r="K252" s="22">
        <f t="shared" si="11"/>
        <v>32877.9</v>
      </c>
      <c r="L252" s="22">
        <f>K252-(_xlfn.XLOOKUP(E252,Product!$A$2:$A$7,Product!$B$2:$B$7)*F252)</f>
        <v>21807.9</v>
      </c>
      <c r="M252">
        <f>YEAR(Table1[[#This Row],[Order date]])</f>
        <v>2014</v>
      </c>
      <c r="N252" s="22" t="str" cm="1">
        <f t="array" ref="N252">_xlfn.IFS(G252=0,"No Discount", ROUND(G252*100,0)&lt;=4,"Low", ROUND(G252*100,0)&lt;=9,"Medium", ROUND(G252*100,0)&lt;=15,"High")</f>
        <v>Low</v>
      </c>
      <c r="O252" s="22" t="str">
        <f>TEXT(Table1[[#This Row],[Order date]],"mmmm")</f>
        <v>March</v>
      </c>
    </row>
    <row r="253" spans="1:15" ht="13.5" x14ac:dyDescent="0.25">
      <c r="A253" s="1" t="str">
        <f>"ORD"&amp;"-"&amp;_xlfn.XLOOKUP(C253,Guide!$B$22:$B$26,Guide!$C$22:$C$26)&amp;"-"&amp;_xlfn.XLOOKUP(D253,Guide!$B$29:$B$33,Guide!$C$29:$C$33)&amp;"-"&amp;TEXT(H253,"yyyymmdd")</f>
        <v>ORD-GER-SMB-20140301</v>
      </c>
      <c r="B253" s="1" t="s">
        <v>296</v>
      </c>
      <c r="C253" s="1" t="s">
        <v>29</v>
      </c>
      <c r="D253" s="1" t="s">
        <v>47</v>
      </c>
      <c r="E253" s="1" t="s">
        <v>84</v>
      </c>
      <c r="F253" s="2">
        <v>259</v>
      </c>
      <c r="G253" s="4">
        <v>0.02</v>
      </c>
      <c r="H253" s="3">
        <f t="shared" si="9"/>
        <v>41699</v>
      </c>
      <c r="I253" s="1">
        <f>_xlfn.XLOOKUP(E253,Product!$A$2:$A$7,Product!$C$2:$C$7)</f>
        <v>350</v>
      </c>
      <c r="J253" s="22">
        <f t="shared" si="10"/>
        <v>90650</v>
      </c>
      <c r="K253" s="22">
        <f t="shared" si="11"/>
        <v>88837</v>
      </c>
      <c r="L253" s="22">
        <f>K253-(_xlfn.XLOOKUP(E253,Product!$A$2:$A$7,Product!$B$2:$B$7)*F253)</f>
        <v>37037</v>
      </c>
      <c r="M253">
        <f>YEAR(Table1[[#This Row],[Order date]])</f>
        <v>2014</v>
      </c>
      <c r="N253" s="22" t="str" cm="1">
        <f t="array" ref="N253">_xlfn.IFS(G253=0,"No Discount", ROUND(G253*100,0)&lt;=4,"Low", ROUND(G253*100,0)&lt;=9,"Medium", ROUND(G253*100,0)&lt;=15,"High")</f>
        <v>Low</v>
      </c>
      <c r="O253" s="22" t="str">
        <f>TEXT(Table1[[#This Row],[Order date]],"mmmm")</f>
        <v>March</v>
      </c>
    </row>
    <row r="254" spans="1:15" ht="13.5" x14ac:dyDescent="0.25">
      <c r="A254" s="1" t="str">
        <f>"ORD"&amp;"-"&amp;_xlfn.XLOOKUP(C254,Guide!$B$22:$B$26,Guide!$C$22:$C$26)&amp;"-"&amp;_xlfn.XLOOKUP(D254,Guide!$B$29:$B$33,Guide!$C$29:$C$33)&amp;"-"&amp;TEXT(H254,"yyyymmdd")</f>
        <v>ORD-MXC-SMB-20140301</v>
      </c>
      <c r="B254" s="1" t="s">
        <v>297</v>
      </c>
      <c r="C254" s="1" t="s">
        <v>33</v>
      </c>
      <c r="D254" s="1" t="s">
        <v>47</v>
      </c>
      <c r="E254" s="1" t="s">
        <v>84</v>
      </c>
      <c r="F254" s="2">
        <v>1101</v>
      </c>
      <c r="G254" s="4">
        <v>0.02</v>
      </c>
      <c r="H254" s="3">
        <f t="shared" si="9"/>
        <v>41699</v>
      </c>
      <c r="I254" s="1">
        <f>_xlfn.XLOOKUP(E254,Product!$A$2:$A$7,Product!$C$2:$C$7)</f>
        <v>350</v>
      </c>
      <c r="J254" s="22">
        <f t="shared" si="10"/>
        <v>385350</v>
      </c>
      <c r="K254" s="22">
        <f t="shared" si="11"/>
        <v>377643</v>
      </c>
      <c r="L254" s="22">
        <f>K254-(_xlfn.XLOOKUP(E254,Product!$A$2:$A$7,Product!$B$2:$B$7)*F254)</f>
        <v>157443</v>
      </c>
      <c r="M254">
        <f>YEAR(Table1[[#This Row],[Order date]])</f>
        <v>2014</v>
      </c>
      <c r="N254" s="22" t="str" cm="1">
        <f t="array" ref="N254">_xlfn.IFS(G254=0,"No Discount", ROUND(G254*100,0)&lt;=4,"Low", ROUND(G254*100,0)&lt;=9,"Medium", ROUND(G254*100,0)&lt;=15,"High")</f>
        <v>Low</v>
      </c>
      <c r="O254" s="22" t="str">
        <f>TEXT(Table1[[#This Row],[Order date]],"mmmm")</f>
        <v>March</v>
      </c>
    </row>
    <row r="255" spans="1:15" ht="13.5" x14ac:dyDescent="0.25">
      <c r="A255" s="1" t="str">
        <f>"ORD"&amp;"-"&amp;_xlfn.XLOOKUP(C255,Guide!$B$22:$B$26,Guide!$C$22:$C$26)&amp;"-"&amp;_xlfn.XLOOKUP(D255,Guide!$B$29:$B$33,Guide!$C$29:$C$33)&amp;"-"&amp;TEXT(H255,"yyyymmdd")</f>
        <v>ORD-CND-ENT-20140301</v>
      </c>
      <c r="B255" s="1" t="s">
        <v>298</v>
      </c>
      <c r="C255" s="1" t="s">
        <v>27</v>
      </c>
      <c r="D255" s="1" t="s">
        <v>45</v>
      </c>
      <c r="E255" s="1" t="s">
        <v>75</v>
      </c>
      <c r="F255" s="2">
        <v>1774</v>
      </c>
      <c r="G255" s="4">
        <v>0.03</v>
      </c>
      <c r="H255" s="3">
        <f t="shared" si="9"/>
        <v>41699</v>
      </c>
      <c r="I255" s="1">
        <f>_xlfn.XLOOKUP(E255,Product!$A$2:$A$7,Product!$C$2:$C$7)</f>
        <v>20</v>
      </c>
      <c r="J255" s="22">
        <f t="shared" si="10"/>
        <v>35480</v>
      </c>
      <c r="K255" s="22">
        <f t="shared" si="11"/>
        <v>34415.599999999999</v>
      </c>
      <c r="L255" s="22">
        <f>K255-(_xlfn.XLOOKUP(E255,Product!$A$2:$A$7,Product!$B$2:$B$7)*F255)</f>
        <v>16675.599999999999</v>
      </c>
      <c r="M255">
        <f>YEAR(Table1[[#This Row],[Order date]])</f>
        <v>2014</v>
      </c>
      <c r="N255" s="22" t="str" cm="1">
        <f t="array" ref="N255">_xlfn.IFS(G255=0,"No Discount", ROUND(G255*100,0)&lt;=4,"Low", ROUND(G255*100,0)&lt;=9,"Medium", ROUND(G255*100,0)&lt;=15,"High")</f>
        <v>Low</v>
      </c>
      <c r="O255" s="22" t="str">
        <f>TEXT(Table1[[#This Row],[Order date]],"mmmm")</f>
        <v>March</v>
      </c>
    </row>
    <row r="256" spans="1:15" ht="13.5" x14ac:dyDescent="0.25">
      <c r="A256" s="1" t="str">
        <f>"ORD"&amp;"-"&amp;_xlfn.XLOOKUP(C256,Guide!$B$22:$B$26,Guide!$C$22:$C$26)&amp;"-"&amp;_xlfn.XLOOKUP(D256,Guide!$B$29:$B$33,Guide!$C$29:$C$33)&amp;"-"&amp;TEXT(H256,"yyyymmdd")</f>
        <v>ORD-GER-ENT-20140301</v>
      </c>
      <c r="B256" s="1" t="s">
        <v>299</v>
      </c>
      <c r="C256" s="1" t="s">
        <v>29</v>
      </c>
      <c r="D256" s="1" t="s">
        <v>45</v>
      </c>
      <c r="E256" s="1" t="s">
        <v>75</v>
      </c>
      <c r="F256" s="2">
        <v>795</v>
      </c>
      <c r="G256" s="4">
        <v>0.04</v>
      </c>
      <c r="H256" s="3">
        <f t="shared" si="9"/>
        <v>41699</v>
      </c>
      <c r="I256" s="1">
        <f>_xlfn.XLOOKUP(E256,Product!$A$2:$A$7,Product!$C$2:$C$7)</f>
        <v>20</v>
      </c>
      <c r="J256" s="22">
        <f t="shared" si="10"/>
        <v>15900</v>
      </c>
      <c r="K256" s="22">
        <f t="shared" si="11"/>
        <v>15264</v>
      </c>
      <c r="L256" s="22">
        <f>K256-(_xlfn.XLOOKUP(E256,Product!$A$2:$A$7,Product!$B$2:$B$7)*F256)</f>
        <v>7314</v>
      </c>
      <c r="M256">
        <f>YEAR(Table1[[#This Row],[Order date]])</f>
        <v>2014</v>
      </c>
      <c r="N256" s="22" t="str" cm="1">
        <f t="array" ref="N256">_xlfn.IFS(G256=0,"No Discount", ROUND(G256*100,0)&lt;=4,"Low", ROUND(G256*100,0)&lt;=9,"Medium", ROUND(G256*100,0)&lt;=15,"High")</f>
        <v>Low</v>
      </c>
      <c r="O256" s="22" t="str">
        <f>TEXT(Table1[[#This Row],[Order date]],"mmmm")</f>
        <v>March</v>
      </c>
    </row>
    <row r="257" spans="1:15" ht="13.5" x14ac:dyDescent="0.25">
      <c r="A257" s="1" t="str">
        <f>"ORD"&amp;"-"&amp;_xlfn.XLOOKUP(C257,Guide!$B$22:$B$26,Guide!$C$22:$C$26)&amp;"-"&amp;_xlfn.XLOOKUP(D257,Guide!$B$29:$B$33,Guide!$C$29:$C$33)&amp;"-"&amp;TEXT(H257,"yyyymmdd")</f>
        <v>ORD-CND-MDM-20140301</v>
      </c>
      <c r="B257" s="1" t="s">
        <v>300</v>
      </c>
      <c r="C257" s="1" t="s">
        <v>27</v>
      </c>
      <c r="D257" s="1" t="s">
        <v>41</v>
      </c>
      <c r="E257" s="1" t="s">
        <v>82</v>
      </c>
      <c r="F257" s="2">
        <v>1967</v>
      </c>
      <c r="G257" s="4">
        <v>0.04</v>
      </c>
      <c r="H257" s="3">
        <f t="shared" si="9"/>
        <v>41699</v>
      </c>
      <c r="I257" s="1">
        <f>_xlfn.XLOOKUP(E257,Product!$A$2:$A$7,Product!$C$2:$C$7)</f>
        <v>15</v>
      </c>
      <c r="J257" s="22">
        <f t="shared" si="10"/>
        <v>29505</v>
      </c>
      <c r="K257" s="22">
        <f t="shared" si="11"/>
        <v>28324.799999999999</v>
      </c>
      <c r="L257" s="22">
        <f>K257-(_xlfn.XLOOKUP(E257,Product!$A$2:$A$7,Product!$B$2:$B$7)*F257)</f>
        <v>18489.8</v>
      </c>
      <c r="M257">
        <f>YEAR(Table1[[#This Row],[Order date]])</f>
        <v>2014</v>
      </c>
      <c r="N257" s="22" t="str" cm="1">
        <f t="array" ref="N257">_xlfn.IFS(G257=0,"No Discount", ROUND(G257*100,0)&lt;=4,"Low", ROUND(G257*100,0)&lt;=9,"Medium", ROUND(G257*100,0)&lt;=15,"High")</f>
        <v>Low</v>
      </c>
      <c r="O257" s="22" t="str">
        <f>TEXT(Table1[[#This Row],[Order date]],"mmmm")</f>
        <v>March</v>
      </c>
    </row>
    <row r="258" spans="1:15" ht="13.5" x14ac:dyDescent="0.25">
      <c r="A258" s="1" t="str">
        <f>"ORD"&amp;"-"&amp;_xlfn.XLOOKUP(C258,Guide!$B$22:$B$26,Guide!$C$22:$C$26)&amp;"-"&amp;_xlfn.XLOOKUP(D258,Guide!$B$29:$B$33,Guide!$C$29:$C$33)&amp;"-"&amp;TEXT(H258,"yyyymmdd")</f>
        <v>ORD-USA-CPR-20140301</v>
      </c>
      <c r="B258" s="1" t="s">
        <v>301</v>
      </c>
      <c r="C258" s="1" t="s">
        <v>35</v>
      </c>
      <c r="D258" s="1" t="s">
        <v>43</v>
      </c>
      <c r="E258" s="1" t="s">
        <v>88</v>
      </c>
      <c r="F258" s="2">
        <v>1465</v>
      </c>
      <c r="G258" s="4">
        <v>0.04</v>
      </c>
      <c r="H258" s="3">
        <f t="shared" ref="H258:H321" si="12">DATE(VALUE(_xlfn.TEXTBEFORE(_xlfn.TEXTAFTER(B258,"""year"": """),"""")),VALUE(_xlfn.TEXTBEFORE(_xlfn.TEXTAFTER(B258,"""month"": """),"""")),VALUE(_xlfn.TEXTBEFORE(_xlfn.TEXTAFTER(B258,"""date"": """),""""))
)</f>
        <v>41699</v>
      </c>
      <c r="I258" s="1">
        <f>_xlfn.XLOOKUP(E258,Product!$A$2:$A$7,Product!$C$2:$C$7)</f>
        <v>180</v>
      </c>
      <c r="J258" s="22">
        <f t="shared" ref="J258:J321" si="13">I258*F258</f>
        <v>263700</v>
      </c>
      <c r="K258" s="22">
        <f t="shared" ref="K258:K321" si="14">J258*(1-IF(G258="-",0,G258))</f>
        <v>253152</v>
      </c>
      <c r="L258" s="22">
        <f>K258-(_xlfn.XLOOKUP(E258,Product!$A$2:$A$7,Product!$B$2:$B$7)*F258)</f>
        <v>77352</v>
      </c>
      <c r="M258">
        <f>YEAR(Table1[[#This Row],[Order date]])</f>
        <v>2014</v>
      </c>
      <c r="N258" s="22" t="str" cm="1">
        <f t="array" ref="N258">_xlfn.IFS(G258=0,"No Discount", ROUND(G258*100,0)&lt;=4,"Low", ROUND(G258*100,0)&lt;=9,"Medium", ROUND(G258*100,0)&lt;=15,"High")</f>
        <v>Low</v>
      </c>
      <c r="O258" s="22" t="str">
        <f>TEXT(Table1[[#This Row],[Order date]],"mmmm")</f>
        <v>March</v>
      </c>
    </row>
    <row r="259" spans="1:15" ht="13.5" x14ac:dyDescent="0.25">
      <c r="A259" s="1" t="str">
        <f>"ORD"&amp;"-"&amp;_xlfn.XLOOKUP(C259,Guide!$B$22:$B$26,Guide!$C$22:$C$26)&amp;"-"&amp;_xlfn.XLOOKUP(D259,Guide!$B$29:$B$33,Guide!$C$29:$C$33)&amp;"-"&amp;TEXT(H259,"yyyymmdd")</f>
        <v>ORD-FRA-ENT-20140301</v>
      </c>
      <c r="B259" s="1" t="s">
        <v>302</v>
      </c>
      <c r="C259" s="1" t="s">
        <v>31</v>
      </c>
      <c r="D259" s="1" t="s">
        <v>45</v>
      </c>
      <c r="E259" s="1" t="s">
        <v>75</v>
      </c>
      <c r="F259" s="2">
        <v>2385</v>
      </c>
      <c r="G259" s="4">
        <v>0.05</v>
      </c>
      <c r="H259" s="3">
        <f t="shared" si="12"/>
        <v>41699</v>
      </c>
      <c r="I259" s="1">
        <f>_xlfn.XLOOKUP(E259,Product!$A$2:$A$7,Product!$C$2:$C$7)</f>
        <v>20</v>
      </c>
      <c r="J259" s="22">
        <f t="shared" si="13"/>
        <v>47700</v>
      </c>
      <c r="K259" s="22">
        <f t="shared" si="14"/>
        <v>45315</v>
      </c>
      <c r="L259" s="22">
        <f>K259-(_xlfn.XLOOKUP(E259,Product!$A$2:$A$7,Product!$B$2:$B$7)*F259)</f>
        <v>21465</v>
      </c>
      <c r="M259">
        <f>YEAR(Table1[[#This Row],[Order date]])</f>
        <v>2014</v>
      </c>
      <c r="N259" s="22" t="str" cm="1">
        <f t="array" ref="N259">_xlfn.IFS(G259=0,"No Discount", ROUND(G259*100,0)&lt;=4,"Low", ROUND(G259*100,0)&lt;=9,"Medium", ROUND(G259*100,0)&lt;=15,"High")</f>
        <v>Medium</v>
      </c>
      <c r="O259" s="22" t="str">
        <f>TEXT(Table1[[#This Row],[Order date]],"mmmm")</f>
        <v>March</v>
      </c>
    </row>
    <row r="260" spans="1:15" ht="13.5" x14ac:dyDescent="0.25">
      <c r="A260" s="1" t="str">
        <f>"ORD"&amp;"-"&amp;_xlfn.XLOOKUP(C260,Guide!$B$22:$B$26,Guide!$C$22:$C$26)&amp;"-"&amp;_xlfn.XLOOKUP(D260,Guide!$B$29:$B$33,Guide!$C$29:$C$33)&amp;"-"&amp;TEXT(H260,"yyyymmdd")</f>
        <v>ORD-USA-ENT-20140301</v>
      </c>
      <c r="B260" s="1" t="s">
        <v>303</v>
      </c>
      <c r="C260" s="1" t="s">
        <v>35</v>
      </c>
      <c r="D260" s="1" t="s">
        <v>45</v>
      </c>
      <c r="E260" s="1" t="s">
        <v>75</v>
      </c>
      <c r="F260" s="2">
        <v>2992</v>
      </c>
      <c r="G260" s="4">
        <v>0.05</v>
      </c>
      <c r="H260" s="3">
        <f t="shared" si="12"/>
        <v>41699</v>
      </c>
      <c r="I260" s="1">
        <f>_xlfn.XLOOKUP(E260,Product!$A$2:$A$7,Product!$C$2:$C$7)</f>
        <v>20</v>
      </c>
      <c r="J260" s="22">
        <f t="shared" si="13"/>
        <v>59840</v>
      </c>
      <c r="K260" s="22">
        <f t="shared" si="14"/>
        <v>56848</v>
      </c>
      <c r="L260" s="22">
        <f>K260-(_xlfn.XLOOKUP(E260,Product!$A$2:$A$7,Product!$B$2:$B$7)*F260)</f>
        <v>26928</v>
      </c>
      <c r="M260">
        <f>YEAR(Table1[[#This Row],[Order date]])</f>
        <v>2014</v>
      </c>
      <c r="N260" s="22" t="str" cm="1">
        <f t="array" ref="N260">_xlfn.IFS(G260=0,"No Discount", ROUND(G260*100,0)&lt;=4,"Low", ROUND(G260*100,0)&lt;=9,"Medium", ROUND(G260*100,0)&lt;=15,"High")</f>
        <v>Medium</v>
      </c>
      <c r="O260" s="22" t="str">
        <f>TEXT(Table1[[#This Row],[Order date]],"mmmm")</f>
        <v>March</v>
      </c>
    </row>
    <row r="261" spans="1:15" ht="13.5" x14ac:dyDescent="0.25">
      <c r="A261" s="1" t="str">
        <f>"ORD"&amp;"-"&amp;_xlfn.XLOOKUP(C261,Guide!$B$22:$B$26,Guide!$C$22:$C$26)&amp;"-"&amp;_xlfn.XLOOKUP(D261,Guide!$B$29:$B$33,Guide!$C$29:$C$33)&amp;"-"&amp;TEXT(H261,"yyyymmdd")</f>
        <v>ORD-USA-GOV-20140301</v>
      </c>
      <c r="B261" s="1" t="s">
        <v>304</v>
      </c>
      <c r="C261" s="1" t="s">
        <v>35</v>
      </c>
      <c r="D261" s="1" t="s">
        <v>39</v>
      </c>
      <c r="E261" s="1" t="s">
        <v>80</v>
      </c>
      <c r="F261" s="2">
        <v>1761</v>
      </c>
      <c r="G261" s="4">
        <v>7.0000000000000007E-2</v>
      </c>
      <c r="H261" s="3">
        <f t="shared" si="12"/>
        <v>41699</v>
      </c>
      <c r="I261" s="1">
        <f>_xlfn.XLOOKUP(E261,Product!$A$2:$A$7,Product!$C$2:$C$7)</f>
        <v>20</v>
      </c>
      <c r="J261" s="22">
        <f t="shared" si="13"/>
        <v>35220</v>
      </c>
      <c r="K261" s="22">
        <f t="shared" si="14"/>
        <v>32754.6</v>
      </c>
      <c r="L261" s="22">
        <f>K261-(_xlfn.XLOOKUP(E261,Product!$A$2:$A$7,Product!$B$2:$B$7)*F261)</f>
        <v>27471.599999999999</v>
      </c>
      <c r="M261">
        <f>YEAR(Table1[[#This Row],[Order date]])</f>
        <v>2014</v>
      </c>
      <c r="N261" s="22" t="str" cm="1">
        <f t="array" ref="N261">_xlfn.IFS(G261=0,"No Discount", ROUND(G261*100,0)&lt;=4,"Low", ROUND(G261*100,0)&lt;=9,"Medium", ROUND(G261*100,0)&lt;=15,"High")</f>
        <v>Medium</v>
      </c>
      <c r="O261" s="22" t="str">
        <f>TEXT(Table1[[#This Row],[Order date]],"mmmm")</f>
        <v>March</v>
      </c>
    </row>
    <row r="262" spans="1:15" ht="13.5" x14ac:dyDescent="0.25">
      <c r="A262" s="1" t="str">
        <f>"ORD"&amp;"-"&amp;_xlfn.XLOOKUP(C262,Guide!$B$22:$B$26,Guide!$C$22:$C$26)&amp;"-"&amp;_xlfn.XLOOKUP(D262,Guide!$B$29:$B$33,Guide!$C$29:$C$33)&amp;"-"&amp;TEXT(H262,"yyyymmdd")</f>
        <v>ORD-MXC-ENT-20140301</v>
      </c>
      <c r="B262" s="1" t="s">
        <v>305</v>
      </c>
      <c r="C262" s="1" t="s">
        <v>33</v>
      </c>
      <c r="D262" s="1" t="s">
        <v>45</v>
      </c>
      <c r="E262" s="1" t="s">
        <v>75</v>
      </c>
      <c r="F262" s="2">
        <v>1114</v>
      </c>
      <c r="G262" s="4">
        <v>0.08</v>
      </c>
      <c r="H262" s="3">
        <f t="shared" si="12"/>
        <v>41699</v>
      </c>
      <c r="I262" s="1">
        <f>_xlfn.XLOOKUP(E262,Product!$A$2:$A$7,Product!$C$2:$C$7)</f>
        <v>20</v>
      </c>
      <c r="J262" s="22">
        <f t="shared" si="13"/>
        <v>22280</v>
      </c>
      <c r="K262" s="22">
        <f t="shared" si="14"/>
        <v>20497.600000000002</v>
      </c>
      <c r="L262" s="22">
        <f>K262-(_xlfn.XLOOKUP(E262,Product!$A$2:$A$7,Product!$B$2:$B$7)*F262)</f>
        <v>9357.6000000000022</v>
      </c>
      <c r="M262">
        <f>YEAR(Table1[[#This Row],[Order date]])</f>
        <v>2014</v>
      </c>
      <c r="N262" s="22" t="str" cm="1">
        <f t="array" ref="N262">_xlfn.IFS(G262=0,"No Discount", ROUND(G262*100,0)&lt;=4,"Low", ROUND(G262*100,0)&lt;=9,"Medium", ROUND(G262*100,0)&lt;=15,"High")</f>
        <v>Medium</v>
      </c>
      <c r="O262" s="22" t="str">
        <f>TEXT(Table1[[#This Row],[Order date]],"mmmm")</f>
        <v>March</v>
      </c>
    </row>
    <row r="263" spans="1:15" ht="13.5" x14ac:dyDescent="0.25">
      <c r="A263" s="1" t="str">
        <f>"ORD"&amp;"-"&amp;_xlfn.XLOOKUP(C263,Guide!$B$22:$B$26,Guide!$C$22:$C$26)&amp;"-"&amp;_xlfn.XLOOKUP(D263,Guide!$B$29:$B$33,Guide!$C$29:$C$33)&amp;"-"&amp;TEXT(H263,"yyyymmdd")</f>
        <v>ORD-FRA-MDM-20140301</v>
      </c>
      <c r="B263" s="1" t="s">
        <v>306</v>
      </c>
      <c r="C263" s="1" t="s">
        <v>31</v>
      </c>
      <c r="D263" s="1" t="s">
        <v>41</v>
      </c>
      <c r="E263" s="1" t="s">
        <v>82</v>
      </c>
      <c r="F263" s="2">
        <v>2501</v>
      </c>
      <c r="G263" s="4">
        <v>0.08</v>
      </c>
      <c r="H263" s="3">
        <f t="shared" si="12"/>
        <v>41699</v>
      </c>
      <c r="I263" s="1">
        <f>_xlfn.XLOOKUP(E263,Product!$A$2:$A$7,Product!$C$2:$C$7)</f>
        <v>15</v>
      </c>
      <c r="J263" s="22">
        <f t="shared" si="13"/>
        <v>37515</v>
      </c>
      <c r="K263" s="22">
        <f t="shared" si="14"/>
        <v>34513.800000000003</v>
      </c>
      <c r="L263" s="22">
        <f>K263-(_xlfn.XLOOKUP(E263,Product!$A$2:$A$7,Product!$B$2:$B$7)*F263)</f>
        <v>22008.800000000003</v>
      </c>
      <c r="M263">
        <f>YEAR(Table1[[#This Row],[Order date]])</f>
        <v>2014</v>
      </c>
      <c r="N263" s="22" t="str" cm="1">
        <f t="array" ref="N263">_xlfn.IFS(G263=0,"No Discount", ROUND(G263*100,0)&lt;=4,"Low", ROUND(G263*100,0)&lt;=9,"Medium", ROUND(G263*100,0)&lt;=15,"High")</f>
        <v>Medium</v>
      </c>
      <c r="O263" s="22" t="str">
        <f>TEXT(Table1[[#This Row],[Order date]],"mmmm")</f>
        <v>March</v>
      </c>
    </row>
    <row r="264" spans="1:15" ht="13.5" x14ac:dyDescent="0.25">
      <c r="A264" s="1" t="str">
        <f>"ORD"&amp;"-"&amp;_xlfn.XLOOKUP(C264,Guide!$B$22:$B$26,Guide!$C$22:$C$26)&amp;"-"&amp;_xlfn.XLOOKUP(D264,Guide!$B$29:$B$33,Guide!$C$29:$C$33)&amp;"-"&amp;TEXT(H264,"yyyymmdd")</f>
        <v>ORD-CND-CPR-20140301</v>
      </c>
      <c r="B264" s="1" t="s">
        <v>307</v>
      </c>
      <c r="C264" s="1" t="s">
        <v>27</v>
      </c>
      <c r="D264" s="1" t="s">
        <v>43</v>
      </c>
      <c r="E264" s="1" t="s">
        <v>88</v>
      </c>
      <c r="F264" s="2">
        <v>598</v>
      </c>
      <c r="G264" s="4">
        <v>0.08</v>
      </c>
      <c r="H264" s="3">
        <f t="shared" si="12"/>
        <v>41699</v>
      </c>
      <c r="I264" s="1">
        <f>_xlfn.XLOOKUP(E264,Product!$A$2:$A$7,Product!$C$2:$C$7)</f>
        <v>180</v>
      </c>
      <c r="J264" s="22">
        <f t="shared" si="13"/>
        <v>107640</v>
      </c>
      <c r="K264" s="22">
        <f t="shared" si="14"/>
        <v>99028.800000000003</v>
      </c>
      <c r="L264" s="22">
        <f>K264-(_xlfn.XLOOKUP(E264,Product!$A$2:$A$7,Product!$B$2:$B$7)*F264)</f>
        <v>27268.800000000003</v>
      </c>
      <c r="M264">
        <f>YEAR(Table1[[#This Row],[Order date]])</f>
        <v>2014</v>
      </c>
      <c r="N264" s="22" t="str" cm="1">
        <f t="array" ref="N264">_xlfn.IFS(G264=0,"No Discount", ROUND(G264*100,0)&lt;=4,"Low", ROUND(G264*100,0)&lt;=9,"Medium", ROUND(G264*100,0)&lt;=15,"High")</f>
        <v>Medium</v>
      </c>
      <c r="O264" s="22" t="str">
        <f>TEXT(Table1[[#This Row],[Order date]],"mmmm")</f>
        <v>March</v>
      </c>
    </row>
    <row r="265" spans="1:15" ht="13.5" x14ac:dyDescent="0.25">
      <c r="A265" s="1" t="str">
        <f>"ORD"&amp;"-"&amp;_xlfn.XLOOKUP(C265,Guide!$B$22:$B$26,Guide!$C$22:$C$26)&amp;"-"&amp;_xlfn.XLOOKUP(D265,Guide!$B$29:$B$33,Guide!$C$29:$C$33)&amp;"-"&amp;TEXT(H265,"yyyymmdd")</f>
        <v>ORD-USA-GOV-20140301</v>
      </c>
      <c r="B265" s="1" t="s">
        <v>308</v>
      </c>
      <c r="C265" s="1" t="s">
        <v>35</v>
      </c>
      <c r="D265" s="1" t="s">
        <v>39</v>
      </c>
      <c r="E265" s="1" t="s">
        <v>75</v>
      </c>
      <c r="F265" s="2">
        <v>973</v>
      </c>
      <c r="G265" s="4">
        <v>9.0000000000000011E-2</v>
      </c>
      <c r="H265" s="3">
        <f t="shared" si="12"/>
        <v>41699</v>
      </c>
      <c r="I265" s="1">
        <f>_xlfn.XLOOKUP(E265,Product!$A$2:$A$7,Product!$C$2:$C$7)</f>
        <v>20</v>
      </c>
      <c r="J265" s="22">
        <f t="shared" si="13"/>
        <v>19460</v>
      </c>
      <c r="K265" s="22">
        <f t="shared" si="14"/>
        <v>17708.600000000002</v>
      </c>
      <c r="L265" s="22">
        <f>K265-(_xlfn.XLOOKUP(E265,Product!$A$2:$A$7,Product!$B$2:$B$7)*F265)</f>
        <v>7978.6000000000022</v>
      </c>
      <c r="M265">
        <f>YEAR(Table1[[#This Row],[Order date]])</f>
        <v>2014</v>
      </c>
      <c r="N265" s="22" t="str" cm="1">
        <f t="array" ref="N265">_xlfn.IFS(G265=0,"No Discount", ROUND(G265*100,0)&lt;=4,"Low", ROUND(G265*100,0)&lt;=9,"Medium", ROUND(G265*100,0)&lt;=15,"High")</f>
        <v>Medium</v>
      </c>
      <c r="O265" s="22" t="str">
        <f>TEXT(Table1[[#This Row],[Order date]],"mmmm")</f>
        <v>March</v>
      </c>
    </row>
    <row r="266" spans="1:15" ht="13.5" x14ac:dyDescent="0.25">
      <c r="A266" s="1" t="str">
        <f>"ORD"&amp;"-"&amp;_xlfn.XLOOKUP(C266,Guide!$B$22:$B$26,Guide!$C$22:$C$26)&amp;"-"&amp;_xlfn.XLOOKUP(D266,Guide!$B$29:$B$33,Guide!$C$29:$C$33)&amp;"-"&amp;TEXT(H266,"yyyymmdd")</f>
        <v>ORD-FRA-CPR-20140301</v>
      </c>
      <c r="B266" s="1" t="s">
        <v>309</v>
      </c>
      <c r="C266" s="1" t="s">
        <v>31</v>
      </c>
      <c r="D266" s="1" t="s">
        <v>43</v>
      </c>
      <c r="E266" s="1" t="s">
        <v>88</v>
      </c>
      <c r="F266" s="2">
        <v>1967</v>
      </c>
      <c r="G266" s="4">
        <v>9.0000000000000011E-2</v>
      </c>
      <c r="H266" s="3">
        <f t="shared" si="12"/>
        <v>41699</v>
      </c>
      <c r="I266" s="1">
        <f>_xlfn.XLOOKUP(E266,Product!$A$2:$A$7,Product!$C$2:$C$7)</f>
        <v>180</v>
      </c>
      <c r="J266" s="22">
        <f t="shared" si="13"/>
        <v>354060</v>
      </c>
      <c r="K266" s="22">
        <f t="shared" si="14"/>
        <v>322194.60000000003</v>
      </c>
      <c r="L266" s="22">
        <f>K266-(_xlfn.XLOOKUP(E266,Product!$A$2:$A$7,Product!$B$2:$B$7)*F266)</f>
        <v>86154.600000000035</v>
      </c>
      <c r="M266">
        <f>YEAR(Table1[[#This Row],[Order date]])</f>
        <v>2014</v>
      </c>
      <c r="N266" s="22" t="str" cm="1">
        <f t="array" ref="N266">_xlfn.IFS(G266=0,"No Discount", ROUND(G266*100,0)&lt;=4,"Low", ROUND(G266*100,0)&lt;=9,"Medium", ROUND(G266*100,0)&lt;=15,"High")</f>
        <v>Medium</v>
      </c>
      <c r="O266" s="22" t="str">
        <f>TEXT(Table1[[#This Row],[Order date]],"mmmm")</f>
        <v>March</v>
      </c>
    </row>
    <row r="267" spans="1:15" ht="13.5" x14ac:dyDescent="0.25">
      <c r="A267" s="1" t="str">
        <f>"ORD"&amp;"-"&amp;_xlfn.XLOOKUP(C267,Guide!$B$22:$B$26,Guide!$C$22:$C$26)&amp;"-"&amp;_xlfn.XLOOKUP(D267,Guide!$B$29:$B$33,Guide!$C$29:$C$33)&amp;"-"&amp;TEXT(H267,"yyyymmdd")</f>
        <v>ORD-FRA-GOV-20140301</v>
      </c>
      <c r="B267" s="1" t="s">
        <v>310</v>
      </c>
      <c r="C267" s="1" t="s">
        <v>31</v>
      </c>
      <c r="D267" s="1" t="s">
        <v>39</v>
      </c>
      <c r="E267" s="1" t="s">
        <v>75</v>
      </c>
      <c r="F267" s="2">
        <v>1954</v>
      </c>
      <c r="G267" s="4">
        <v>0.1</v>
      </c>
      <c r="H267" s="3">
        <f t="shared" si="12"/>
        <v>41699</v>
      </c>
      <c r="I267" s="1">
        <f>_xlfn.XLOOKUP(E267,Product!$A$2:$A$7,Product!$C$2:$C$7)</f>
        <v>20</v>
      </c>
      <c r="J267" s="22">
        <f t="shared" si="13"/>
        <v>39080</v>
      </c>
      <c r="K267" s="22">
        <f t="shared" si="14"/>
        <v>35172</v>
      </c>
      <c r="L267" s="22">
        <f>K267-(_xlfn.XLOOKUP(E267,Product!$A$2:$A$7,Product!$B$2:$B$7)*F267)</f>
        <v>15632</v>
      </c>
      <c r="M267">
        <f>YEAR(Table1[[#This Row],[Order date]])</f>
        <v>2014</v>
      </c>
      <c r="N267" s="22" t="str" cm="1">
        <f t="array" ref="N267">_xlfn.IFS(G267=0,"No Discount", ROUND(G267*100,0)&lt;=4,"Low", ROUND(G267*100,0)&lt;=9,"Medium", ROUND(G267*100,0)&lt;=15,"High")</f>
        <v>High</v>
      </c>
      <c r="O267" s="22" t="str">
        <f>TEXT(Table1[[#This Row],[Order date]],"mmmm")</f>
        <v>March</v>
      </c>
    </row>
    <row r="268" spans="1:15" ht="13.5" x14ac:dyDescent="0.25">
      <c r="A268" s="1" t="str">
        <f>"ORD"&amp;"-"&amp;_xlfn.XLOOKUP(C268,Guide!$B$22:$B$26,Guide!$C$22:$C$26)&amp;"-"&amp;_xlfn.XLOOKUP(D268,Guide!$B$29:$B$33,Guide!$C$29:$C$33)&amp;"-"&amp;TEXT(H268,"yyyymmdd")</f>
        <v>ORD-USA-SMB-20140301</v>
      </c>
      <c r="B268" s="1" t="s">
        <v>311</v>
      </c>
      <c r="C268" s="1" t="s">
        <v>35</v>
      </c>
      <c r="D268" s="1" t="s">
        <v>47</v>
      </c>
      <c r="E268" s="1" t="s">
        <v>84</v>
      </c>
      <c r="F268" s="2">
        <v>2993</v>
      </c>
      <c r="G268" s="4">
        <v>0.1</v>
      </c>
      <c r="H268" s="3">
        <f t="shared" si="12"/>
        <v>41699</v>
      </c>
      <c r="I268" s="1">
        <f>_xlfn.XLOOKUP(E268,Product!$A$2:$A$7,Product!$C$2:$C$7)</f>
        <v>350</v>
      </c>
      <c r="J268" s="22">
        <f t="shared" si="13"/>
        <v>1047550</v>
      </c>
      <c r="K268" s="22">
        <f t="shared" si="14"/>
        <v>942795</v>
      </c>
      <c r="L268" s="22">
        <f>K268-(_xlfn.XLOOKUP(E268,Product!$A$2:$A$7,Product!$B$2:$B$7)*F268)</f>
        <v>344195</v>
      </c>
      <c r="M268">
        <f>YEAR(Table1[[#This Row],[Order date]])</f>
        <v>2014</v>
      </c>
      <c r="N268" s="22" t="str" cm="1">
        <f t="array" ref="N268">_xlfn.IFS(G268=0,"No Discount", ROUND(G268*100,0)&lt;=4,"Low", ROUND(G268*100,0)&lt;=9,"Medium", ROUND(G268*100,0)&lt;=15,"High")</f>
        <v>High</v>
      </c>
      <c r="O268" s="22" t="str">
        <f>TEXT(Table1[[#This Row],[Order date]],"mmmm")</f>
        <v>March</v>
      </c>
    </row>
    <row r="269" spans="1:15" ht="13.5" x14ac:dyDescent="0.25">
      <c r="A269" s="1" t="str">
        <f>"ORD"&amp;"-"&amp;_xlfn.XLOOKUP(C269,Guide!$B$22:$B$26,Guide!$C$22:$C$26)&amp;"-"&amp;_xlfn.XLOOKUP(D269,Guide!$B$29:$B$33,Guide!$C$29:$C$33)&amp;"-"&amp;TEXT(H269,"yyyymmdd")</f>
        <v>ORD-USA-GOV-20140301</v>
      </c>
      <c r="B269" s="1" t="s">
        <v>312</v>
      </c>
      <c r="C269" s="1" t="s">
        <v>35</v>
      </c>
      <c r="D269" s="1" t="s">
        <v>39</v>
      </c>
      <c r="E269" s="1" t="s">
        <v>78</v>
      </c>
      <c r="F269" s="2">
        <v>1579</v>
      </c>
      <c r="G269" s="4">
        <v>0.10999999999999999</v>
      </c>
      <c r="H269" s="3">
        <f t="shared" si="12"/>
        <v>41699</v>
      </c>
      <c r="I269" s="1">
        <f>_xlfn.XLOOKUP(E269,Product!$A$2:$A$7,Product!$C$2:$C$7)</f>
        <v>300</v>
      </c>
      <c r="J269" s="22">
        <f t="shared" si="13"/>
        <v>473700</v>
      </c>
      <c r="K269" s="22">
        <f t="shared" si="14"/>
        <v>421593</v>
      </c>
      <c r="L269" s="22">
        <f>K269-(_xlfn.XLOOKUP(E269,Product!$A$2:$A$7,Product!$B$2:$B$7)*F269)</f>
        <v>26843</v>
      </c>
      <c r="M269">
        <f>YEAR(Table1[[#This Row],[Order date]])</f>
        <v>2014</v>
      </c>
      <c r="N269" s="22" t="str" cm="1">
        <f t="array" ref="N269">_xlfn.IFS(G269=0,"No Discount", ROUND(G269*100,0)&lt;=4,"Low", ROUND(G269*100,0)&lt;=9,"Medium", ROUND(G269*100,0)&lt;=15,"High")</f>
        <v>High</v>
      </c>
      <c r="O269" s="22" t="str">
        <f>TEXT(Table1[[#This Row],[Order date]],"mmmm")</f>
        <v>March</v>
      </c>
    </row>
    <row r="270" spans="1:15" ht="13.5" x14ac:dyDescent="0.25">
      <c r="A270" s="1" t="str">
        <f>"ORD"&amp;"-"&amp;_xlfn.XLOOKUP(C270,Guide!$B$22:$B$26,Guide!$C$22:$C$26)&amp;"-"&amp;_xlfn.XLOOKUP(D270,Guide!$B$29:$B$33,Guide!$C$29:$C$33)&amp;"-"&amp;TEXT(H270,"yyyymmdd")</f>
        <v>ORD-MXC-GOV-20140301</v>
      </c>
      <c r="B270" s="1" t="s">
        <v>313</v>
      </c>
      <c r="C270" s="1" t="s">
        <v>33</v>
      </c>
      <c r="D270" s="1" t="s">
        <v>39</v>
      </c>
      <c r="E270" s="1" t="s">
        <v>75</v>
      </c>
      <c r="F270" s="2">
        <v>1122</v>
      </c>
      <c r="G270" s="4">
        <v>0.11</v>
      </c>
      <c r="H270" s="3">
        <f t="shared" si="12"/>
        <v>41699</v>
      </c>
      <c r="I270" s="1">
        <f>_xlfn.XLOOKUP(E270,Product!$A$2:$A$7,Product!$C$2:$C$7)</f>
        <v>20</v>
      </c>
      <c r="J270" s="22">
        <f t="shared" si="13"/>
        <v>22440</v>
      </c>
      <c r="K270" s="22">
        <f t="shared" si="14"/>
        <v>19971.599999999999</v>
      </c>
      <c r="L270" s="22">
        <f>K270-(_xlfn.XLOOKUP(E270,Product!$A$2:$A$7,Product!$B$2:$B$7)*F270)</f>
        <v>8751.5999999999985</v>
      </c>
      <c r="M270">
        <f>YEAR(Table1[[#This Row],[Order date]])</f>
        <v>2014</v>
      </c>
      <c r="N270" s="22" t="str" cm="1">
        <f t="array" ref="N270">_xlfn.IFS(G270=0,"No Discount", ROUND(G270*100,0)&lt;=4,"Low", ROUND(G270*100,0)&lt;=9,"Medium", ROUND(G270*100,0)&lt;=15,"High")</f>
        <v>High</v>
      </c>
      <c r="O270" s="22" t="str">
        <f>TEXT(Table1[[#This Row],[Order date]],"mmmm")</f>
        <v>March</v>
      </c>
    </row>
    <row r="271" spans="1:15" ht="13.5" x14ac:dyDescent="0.25">
      <c r="A271" s="1" t="str">
        <f>"ORD"&amp;"-"&amp;_xlfn.XLOOKUP(C271,Guide!$B$22:$B$26,Guide!$C$22:$C$26)&amp;"-"&amp;_xlfn.XLOOKUP(D271,Guide!$B$29:$B$33,Guide!$C$29:$C$33)&amp;"-"&amp;TEXT(H271,"yyyymmdd")</f>
        <v>ORD-GER-GOV-20140301</v>
      </c>
      <c r="B271" s="1" t="s">
        <v>314</v>
      </c>
      <c r="C271" s="1" t="s">
        <v>29</v>
      </c>
      <c r="D271" s="1" t="s">
        <v>39</v>
      </c>
      <c r="E271" s="1" t="s">
        <v>80</v>
      </c>
      <c r="F271" s="2">
        <v>792</v>
      </c>
      <c r="G271" s="4">
        <v>0.11</v>
      </c>
      <c r="H271" s="3">
        <f t="shared" si="12"/>
        <v>41699</v>
      </c>
      <c r="I271" s="1">
        <f>_xlfn.XLOOKUP(E271,Product!$A$2:$A$7,Product!$C$2:$C$7)</f>
        <v>20</v>
      </c>
      <c r="J271" s="22">
        <f t="shared" si="13"/>
        <v>15840</v>
      </c>
      <c r="K271" s="22">
        <f t="shared" si="14"/>
        <v>14097.6</v>
      </c>
      <c r="L271" s="22">
        <f>K271-(_xlfn.XLOOKUP(E271,Product!$A$2:$A$7,Product!$B$2:$B$7)*F271)</f>
        <v>11721.6</v>
      </c>
      <c r="M271">
        <f>YEAR(Table1[[#This Row],[Order date]])</f>
        <v>2014</v>
      </c>
      <c r="N271" s="22" t="str" cm="1">
        <f t="array" ref="N271">_xlfn.IFS(G271=0,"No Discount", ROUND(G271*100,0)&lt;=4,"Low", ROUND(G271*100,0)&lt;=9,"Medium", ROUND(G271*100,0)&lt;=15,"High")</f>
        <v>High</v>
      </c>
      <c r="O271" s="22" t="str">
        <f>TEXT(Table1[[#This Row],[Order date]],"mmmm")</f>
        <v>March</v>
      </c>
    </row>
    <row r="272" spans="1:15" ht="13.5" x14ac:dyDescent="0.25">
      <c r="A272" s="1" t="str">
        <f>"ORD"&amp;"-"&amp;_xlfn.XLOOKUP(C272,Guide!$B$22:$B$26,Guide!$C$22:$C$26)&amp;"-"&amp;_xlfn.XLOOKUP(D272,Guide!$B$29:$B$33,Guide!$C$29:$C$33)&amp;"-"&amp;TEXT(H272,"yyyymmdd")</f>
        <v>ORD-USA-MDM-20140301</v>
      </c>
      <c r="B272" s="1" t="s">
        <v>315</v>
      </c>
      <c r="C272" s="1" t="s">
        <v>35</v>
      </c>
      <c r="D272" s="1" t="s">
        <v>41</v>
      </c>
      <c r="E272" s="1" t="s">
        <v>82</v>
      </c>
      <c r="F272" s="2">
        <v>677</v>
      </c>
      <c r="G272" s="4">
        <v>0.12</v>
      </c>
      <c r="H272" s="3">
        <f t="shared" si="12"/>
        <v>41699</v>
      </c>
      <c r="I272" s="1">
        <f>_xlfn.XLOOKUP(E272,Product!$A$2:$A$7,Product!$C$2:$C$7)</f>
        <v>15</v>
      </c>
      <c r="J272" s="22">
        <f t="shared" si="13"/>
        <v>10155</v>
      </c>
      <c r="K272" s="22">
        <f t="shared" si="14"/>
        <v>8936.4</v>
      </c>
      <c r="L272" s="22">
        <f>K272-(_xlfn.XLOOKUP(E272,Product!$A$2:$A$7,Product!$B$2:$B$7)*F272)</f>
        <v>5551.4</v>
      </c>
      <c r="M272">
        <f>YEAR(Table1[[#This Row],[Order date]])</f>
        <v>2014</v>
      </c>
      <c r="N272" s="22" t="str" cm="1">
        <f t="array" ref="N272">_xlfn.IFS(G272=0,"No Discount", ROUND(G272*100,0)&lt;=4,"Low", ROUND(G272*100,0)&lt;=9,"Medium", ROUND(G272*100,0)&lt;=15,"High")</f>
        <v>High</v>
      </c>
      <c r="O272" s="22" t="str">
        <f>TEXT(Table1[[#This Row],[Order date]],"mmmm")</f>
        <v>March</v>
      </c>
    </row>
    <row r="273" spans="1:15" ht="13.5" x14ac:dyDescent="0.25">
      <c r="A273" s="1" t="str">
        <f>"ORD"&amp;"-"&amp;_xlfn.XLOOKUP(C273,Guide!$B$22:$B$26,Guide!$C$22:$C$26)&amp;"-"&amp;_xlfn.XLOOKUP(D273,Guide!$B$29:$B$33,Guide!$C$29:$C$33)&amp;"-"&amp;TEXT(H273,"yyyymmdd")</f>
        <v>ORD-FRA-GOV-20140301</v>
      </c>
      <c r="B273" s="1" t="s">
        <v>316</v>
      </c>
      <c r="C273" s="1" t="s">
        <v>31</v>
      </c>
      <c r="D273" s="1" t="s">
        <v>39</v>
      </c>
      <c r="E273" s="1" t="s">
        <v>78</v>
      </c>
      <c r="F273" s="2">
        <v>1491</v>
      </c>
      <c r="G273" s="4">
        <v>0.12000000000000001</v>
      </c>
      <c r="H273" s="3">
        <f t="shared" si="12"/>
        <v>41699</v>
      </c>
      <c r="I273" s="1">
        <f>_xlfn.XLOOKUP(E273,Product!$A$2:$A$7,Product!$C$2:$C$7)</f>
        <v>300</v>
      </c>
      <c r="J273" s="22">
        <f t="shared" si="13"/>
        <v>447300</v>
      </c>
      <c r="K273" s="22">
        <f t="shared" si="14"/>
        <v>393624</v>
      </c>
      <c r="L273" s="22">
        <f>K273-(_xlfn.XLOOKUP(E273,Product!$A$2:$A$7,Product!$B$2:$B$7)*F273)</f>
        <v>20874</v>
      </c>
      <c r="M273">
        <f>YEAR(Table1[[#This Row],[Order date]])</f>
        <v>2014</v>
      </c>
      <c r="N273" s="22" t="str" cm="1">
        <f t="array" ref="N273">_xlfn.IFS(G273=0,"No Discount", ROUND(G273*100,0)&lt;=4,"Low", ROUND(G273*100,0)&lt;=9,"Medium", ROUND(G273*100,0)&lt;=15,"High")</f>
        <v>High</v>
      </c>
      <c r="O273" s="22" t="str">
        <f>TEXT(Table1[[#This Row],[Order date]],"mmmm")</f>
        <v>March</v>
      </c>
    </row>
    <row r="274" spans="1:15" ht="13.5" x14ac:dyDescent="0.25">
      <c r="A274" s="1" t="str">
        <f>"ORD"&amp;"-"&amp;_xlfn.XLOOKUP(C274,Guide!$B$22:$B$26,Guide!$C$22:$C$26)&amp;"-"&amp;_xlfn.XLOOKUP(D274,Guide!$B$29:$B$33,Guide!$C$29:$C$33)&amp;"-"&amp;TEXT(H274,"yyyymmdd")</f>
        <v>ORD-CND-GOV-20140301</v>
      </c>
      <c r="B274" s="1" t="s">
        <v>317</v>
      </c>
      <c r="C274" s="1" t="s">
        <v>27</v>
      </c>
      <c r="D274" s="1" t="s">
        <v>39</v>
      </c>
      <c r="E274" s="1" t="s">
        <v>80</v>
      </c>
      <c r="F274" s="2">
        <v>923</v>
      </c>
      <c r="G274" s="4">
        <v>0.13</v>
      </c>
      <c r="H274" s="3">
        <f t="shared" si="12"/>
        <v>41699</v>
      </c>
      <c r="I274" s="1">
        <f>_xlfn.XLOOKUP(E274,Product!$A$2:$A$7,Product!$C$2:$C$7)</f>
        <v>20</v>
      </c>
      <c r="J274" s="22">
        <f t="shared" si="13"/>
        <v>18460</v>
      </c>
      <c r="K274" s="22">
        <f t="shared" si="14"/>
        <v>16060.2</v>
      </c>
      <c r="L274" s="22">
        <f>K274-(_xlfn.XLOOKUP(E274,Product!$A$2:$A$7,Product!$B$2:$B$7)*F274)</f>
        <v>13291.2</v>
      </c>
      <c r="M274">
        <f>YEAR(Table1[[#This Row],[Order date]])</f>
        <v>2014</v>
      </c>
      <c r="N274" s="22" t="str" cm="1">
        <f t="array" ref="N274">_xlfn.IFS(G274=0,"No Discount", ROUND(G274*100,0)&lt;=4,"Low", ROUND(G274*100,0)&lt;=9,"Medium", ROUND(G274*100,0)&lt;=15,"High")</f>
        <v>High</v>
      </c>
      <c r="O274" s="22" t="str">
        <f>TEXT(Table1[[#This Row],[Order date]],"mmmm")</f>
        <v>March</v>
      </c>
    </row>
    <row r="275" spans="1:15" ht="13.5" x14ac:dyDescent="0.25">
      <c r="A275" s="1" t="str">
        <f>"ORD"&amp;"-"&amp;_xlfn.XLOOKUP(C275,Guide!$B$22:$B$26,Guide!$C$22:$C$26)&amp;"-"&amp;_xlfn.XLOOKUP(D275,Guide!$B$29:$B$33,Guide!$C$29:$C$33)&amp;"-"&amp;TEXT(H275,"yyyymmdd")</f>
        <v>ORD-FRA-GOV-20140301</v>
      </c>
      <c r="B275" s="1" t="s">
        <v>318</v>
      </c>
      <c r="C275" s="1" t="s">
        <v>31</v>
      </c>
      <c r="D275" s="1" t="s">
        <v>39</v>
      </c>
      <c r="E275" s="1" t="s">
        <v>80</v>
      </c>
      <c r="F275" s="2">
        <v>1790</v>
      </c>
      <c r="G275" s="4">
        <v>0.13</v>
      </c>
      <c r="H275" s="3">
        <f t="shared" si="12"/>
        <v>41699</v>
      </c>
      <c r="I275" s="1">
        <f>_xlfn.XLOOKUP(E275,Product!$A$2:$A$7,Product!$C$2:$C$7)</f>
        <v>20</v>
      </c>
      <c r="J275" s="22">
        <f t="shared" si="13"/>
        <v>35800</v>
      </c>
      <c r="K275" s="22">
        <f t="shared" si="14"/>
        <v>31146</v>
      </c>
      <c r="L275" s="22">
        <f>K275-(_xlfn.XLOOKUP(E275,Product!$A$2:$A$7,Product!$B$2:$B$7)*F275)</f>
        <v>25776</v>
      </c>
      <c r="M275">
        <f>YEAR(Table1[[#This Row],[Order date]])</f>
        <v>2014</v>
      </c>
      <c r="N275" s="22" t="str" cm="1">
        <f t="array" ref="N275">_xlfn.IFS(G275=0,"No Discount", ROUND(G275*100,0)&lt;=4,"Low", ROUND(G275*100,0)&lt;=9,"Medium", ROUND(G275*100,0)&lt;=15,"High")</f>
        <v>High</v>
      </c>
      <c r="O275" s="22" t="str">
        <f>TEXT(Table1[[#This Row],[Order date]],"mmmm")</f>
        <v>March</v>
      </c>
    </row>
    <row r="276" spans="1:15" ht="13.5" x14ac:dyDescent="0.25">
      <c r="A276" s="1" t="str">
        <f>"ORD"&amp;"-"&amp;_xlfn.XLOOKUP(C276,Guide!$B$22:$B$26,Guide!$C$22:$C$26)&amp;"-"&amp;_xlfn.XLOOKUP(D276,Guide!$B$29:$B$33,Guide!$C$29:$C$33)&amp;"-"&amp;TEXT(H276,"yyyymmdd")</f>
        <v>ORD-CND-GOV-20140301</v>
      </c>
      <c r="B276" s="1" t="s">
        <v>319</v>
      </c>
      <c r="C276" s="1" t="s">
        <v>27</v>
      </c>
      <c r="D276" s="1" t="s">
        <v>39</v>
      </c>
      <c r="E276" s="1" t="s">
        <v>75</v>
      </c>
      <c r="F276" s="2">
        <v>2428</v>
      </c>
      <c r="G276" s="4">
        <v>0.13999999999999999</v>
      </c>
      <c r="H276" s="3">
        <f t="shared" si="12"/>
        <v>41699</v>
      </c>
      <c r="I276" s="1">
        <f>_xlfn.XLOOKUP(E276,Product!$A$2:$A$7,Product!$C$2:$C$7)</f>
        <v>20</v>
      </c>
      <c r="J276" s="22">
        <f t="shared" si="13"/>
        <v>48560</v>
      </c>
      <c r="K276" s="22">
        <f t="shared" si="14"/>
        <v>41761.599999999999</v>
      </c>
      <c r="L276" s="22">
        <f>K276-(_xlfn.XLOOKUP(E276,Product!$A$2:$A$7,Product!$B$2:$B$7)*F276)</f>
        <v>17481.599999999999</v>
      </c>
      <c r="M276">
        <f>YEAR(Table1[[#This Row],[Order date]])</f>
        <v>2014</v>
      </c>
      <c r="N276" s="22" t="str" cm="1">
        <f t="array" ref="N276">_xlfn.IFS(G276=0,"No Discount", ROUND(G276*100,0)&lt;=4,"Low", ROUND(G276*100,0)&lt;=9,"Medium", ROUND(G276*100,0)&lt;=15,"High")</f>
        <v>High</v>
      </c>
      <c r="O276" s="22" t="str">
        <f>TEXT(Table1[[#This Row],[Order date]],"mmmm")</f>
        <v>March</v>
      </c>
    </row>
    <row r="277" spans="1:15" ht="13.5" x14ac:dyDescent="0.25">
      <c r="A277" s="1" t="str">
        <f>"ORD"&amp;"-"&amp;_xlfn.XLOOKUP(C277,Guide!$B$22:$B$26,Guide!$C$22:$C$26)&amp;"-"&amp;_xlfn.XLOOKUP(D277,Guide!$B$29:$B$33,Guide!$C$29:$C$33)&amp;"-"&amp;TEXT(H277,"yyyymmdd")</f>
        <v>ORD-MXC-GOV-20140301</v>
      </c>
      <c r="B277" s="1" t="s">
        <v>320</v>
      </c>
      <c r="C277" s="1" t="s">
        <v>33</v>
      </c>
      <c r="D277" s="1" t="s">
        <v>39</v>
      </c>
      <c r="E277" s="1" t="s">
        <v>78</v>
      </c>
      <c r="F277" s="2">
        <v>2903</v>
      </c>
      <c r="G277" s="4">
        <v>0.14000000000000001</v>
      </c>
      <c r="H277" s="3">
        <f t="shared" si="12"/>
        <v>41699</v>
      </c>
      <c r="I277" s="1">
        <f>_xlfn.XLOOKUP(E277,Product!$A$2:$A$7,Product!$C$2:$C$7)</f>
        <v>300</v>
      </c>
      <c r="J277" s="22">
        <f t="shared" si="13"/>
        <v>870900</v>
      </c>
      <c r="K277" s="22">
        <f t="shared" si="14"/>
        <v>748974</v>
      </c>
      <c r="L277" s="22">
        <f>K277-(_xlfn.XLOOKUP(E277,Product!$A$2:$A$7,Product!$B$2:$B$7)*F277)</f>
        <v>23224</v>
      </c>
      <c r="M277">
        <f>YEAR(Table1[[#This Row],[Order date]])</f>
        <v>2014</v>
      </c>
      <c r="N277" s="22" t="str" cm="1">
        <f t="array" ref="N277">_xlfn.IFS(G277=0,"No Discount", ROUND(G277*100,0)&lt;=4,"Low", ROUND(G277*100,0)&lt;=9,"Medium", ROUND(G277*100,0)&lt;=15,"High")</f>
        <v>High</v>
      </c>
      <c r="O277" s="22" t="str">
        <f>TEXT(Table1[[#This Row],[Order date]],"mmmm")</f>
        <v>March</v>
      </c>
    </row>
    <row r="278" spans="1:15" ht="13.5" x14ac:dyDescent="0.25">
      <c r="A278" s="1" t="str">
        <f>"ORD"&amp;"-"&amp;_xlfn.XLOOKUP(C278,Guide!$B$22:$B$26,Guide!$C$22:$C$26)&amp;"-"&amp;_xlfn.XLOOKUP(D278,Guide!$B$29:$B$33,Guide!$C$29:$C$33)&amp;"-"&amp;TEXT(H278,"yyyymmdd")</f>
        <v>ORD-CND-SMB-20140301</v>
      </c>
      <c r="B278" s="1" t="s">
        <v>321</v>
      </c>
      <c r="C278" s="1" t="s">
        <v>27</v>
      </c>
      <c r="D278" s="1" t="s">
        <v>47</v>
      </c>
      <c r="E278" s="1" t="s">
        <v>84</v>
      </c>
      <c r="F278" s="2">
        <v>888</v>
      </c>
      <c r="G278" s="4">
        <v>0.14000000000000001</v>
      </c>
      <c r="H278" s="3">
        <f t="shared" si="12"/>
        <v>41699</v>
      </c>
      <c r="I278" s="1">
        <f>_xlfn.XLOOKUP(E278,Product!$A$2:$A$7,Product!$C$2:$C$7)</f>
        <v>350</v>
      </c>
      <c r="J278" s="22">
        <f t="shared" si="13"/>
        <v>310800</v>
      </c>
      <c r="K278" s="22">
        <f t="shared" si="14"/>
        <v>267288</v>
      </c>
      <c r="L278" s="22">
        <f>K278-(_xlfn.XLOOKUP(E278,Product!$A$2:$A$7,Product!$B$2:$B$7)*F278)</f>
        <v>89688</v>
      </c>
      <c r="M278">
        <f>YEAR(Table1[[#This Row],[Order date]])</f>
        <v>2014</v>
      </c>
      <c r="N278" s="22" t="str" cm="1">
        <f t="array" ref="N278">_xlfn.IFS(G278=0,"No Discount", ROUND(G278*100,0)&lt;=4,"Low", ROUND(G278*100,0)&lt;=9,"Medium", ROUND(G278*100,0)&lt;=15,"High")</f>
        <v>High</v>
      </c>
      <c r="O278" s="22" t="str">
        <f>TEXT(Table1[[#This Row],[Order date]],"mmmm")</f>
        <v>March</v>
      </c>
    </row>
    <row r="279" spans="1:15" ht="13.5" x14ac:dyDescent="0.25">
      <c r="A279" s="1" t="str">
        <f>"ORD"&amp;"-"&amp;_xlfn.XLOOKUP(C279,Guide!$B$22:$B$26,Guide!$C$22:$C$26)&amp;"-"&amp;_xlfn.XLOOKUP(D279,Guide!$B$29:$B$33,Guide!$C$29:$C$33)&amp;"-"&amp;TEXT(H279,"yyyymmdd")</f>
        <v>ORD-GER-GOV-20140301</v>
      </c>
      <c r="B279" s="1" t="s">
        <v>322</v>
      </c>
      <c r="C279" s="1" t="s">
        <v>29</v>
      </c>
      <c r="D279" s="1" t="s">
        <v>39</v>
      </c>
      <c r="E279" s="1" t="s">
        <v>75</v>
      </c>
      <c r="F279" s="2">
        <v>1158</v>
      </c>
      <c r="G279" s="4">
        <v>0.15</v>
      </c>
      <c r="H279" s="3">
        <f t="shared" si="12"/>
        <v>41699</v>
      </c>
      <c r="I279" s="1">
        <f>_xlfn.XLOOKUP(E279,Product!$A$2:$A$7,Product!$C$2:$C$7)</f>
        <v>20</v>
      </c>
      <c r="J279" s="22">
        <f t="shared" si="13"/>
        <v>23160</v>
      </c>
      <c r="K279" s="22">
        <f t="shared" si="14"/>
        <v>19686</v>
      </c>
      <c r="L279" s="22">
        <f>K279-(_xlfn.XLOOKUP(E279,Product!$A$2:$A$7,Product!$B$2:$B$7)*F279)</f>
        <v>8106</v>
      </c>
      <c r="M279">
        <f>YEAR(Table1[[#This Row],[Order date]])</f>
        <v>2014</v>
      </c>
      <c r="N279" s="22" t="str" cm="1">
        <f t="array" ref="N279">_xlfn.IFS(G279=0,"No Discount", ROUND(G279*100,0)&lt;=4,"Low", ROUND(G279*100,0)&lt;=9,"Medium", ROUND(G279*100,0)&lt;=15,"High")</f>
        <v>High</v>
      </c>
      <c r="O279" s="22" t="str">
        <f>TEXT(Table1[[#This Row],[Order date]],"mmmm")</f>
        <v>March</v>
      </c>
    </row>
    <row r="280" spans="1:15" ht="13.5" x14ac:dyDescent="0.25">
      <c r="A280" s="1" t="str">
        <f>"ORD"&amp;"-"&amp;_xlfn.XLOOKUP(C280,Guide!$B$22:$B$26,Guide!$C$22:$C$26)&amp;"-"&amp;_xlfn.XLOOKUP(D280,Guide!$B$29:$B$33,Guide!$C$29:$C$33)&amp;"-"&amp;TEXT(H280,"yyyymmdd")</f>
        <v>ORD-MXC-CPR-20140301</v>
      </c>
      <c r="B280" s="1" t="s">
        <v>323</v>
      </c>
      <c r="C280" s="1" t="s">
        <v>33</v>
      </c>
      <c r="D280" s="1" t="s">
        <v>43</v>
      </c>
      <c r="E280" s="1" t="s">
        <v>88</v>
      </c>
      <c r="F280" s="2">
        <v>500</v>
      </c>
      <c r="G280" s="4">
        <v>0.15</v>
      </c>
      <c r="H280" s="3">
        <f t="shared" si="12"/>
        <v>41699</v>
      </c>
      <c r="I280" s="1">
        <f>_xlfn.XLOOKUP(E280,Product!$A$2:$A$7,Product!$C$2:$C$7)</f>
        <v>180</v>
      </c>
      <c r="J280" s="22">
        <f t="shared" si="13"/>
        <v>90000</v>
      </c>
      <c r="K280" s="22">
        <f t="shared" si="14"/>
        <v>76500</v>
      </c>
      <c r="L280" s="22">
        <f>K280-(_xlfn.XLOOKUP(E280,Product!$A$2:$A$7,Product!$B$2:$B$7)*F280)</f>
        <v>16500</v>
      </c>
      <c r="M280">
        <f>YEAR(Table1[[#This Row],[Order date]])</f>
        <v>2014</v>
      </c>
      <c r="N280" s="22" t="str" cm="1">
        <f t="array" ref="N280">_xlfn.IFS(G280=0,"No Discount", ROUND(G280*100,0)&lt;=4,"Low", ROUND(G280*100,0)&lt;=9,"Medium", ROUND(G280*100,0)&lt;=15,"High")</f>
        <v>High</v>
      </c>
      <c r="O280" s="22" t="str">
        <f>TEXT(Table1[[#This Row],[Order date]],"mmmm")</f>
        <v>March</v>
      </c>
    </row>
    <row r="281" spans="1:15" ht="13.5" x14ac:dyDescent="0.25">
      <c r="A281" s="1" t="str">
        <f>"ORD"&amp;"-"&amp;_xlfn.XLOOKUP(C281,Guide!$B$22:$B$26,Guide!$C$22:$C$26)&amp;"-"&amp;_xlfn.XLOOKUP(D281,Guide!$B$29:$B$33,Guide!$C$29:$C$33)&amp;"-"&amp;TEXT(H281,"yyyymmdd")</f>
        <v>ORD-FRA-SMB-20140301</v>
      </c>
      <c r="B281" s="1" t="s">
        <v>324</v>
      </c>
      <c r="C281" s="1" t="s">
        <v>31</v>
      </c>
      <c r="D281" s="1" t="s">
        <v>47</v>
      </c>
      <c r="E281" s="1" t="s">
        <v>84</v>
      </c>
      <c r="F281" s="2">
        <v>2475</v>
      </c>
      <c r="G281" s="4">
        <v>0.15</v>
      </c>
      <c r="H281" s="3">
        <f t="shared" si="12"/>
        <v>41699</v>
      </c>
      <c r="I281" s="1">
        <f>_xlfn.XLOOKUP(E281,Product!$A$2:$A$7,Product!$C$2:$C$7)</f>
        <v>350</v>
      </c>
      <c r="J281" s="22">
        <f t="shared" si="13"/>
        <v>866250</v>
      </c>
      <c r="K281" s="22">
        <f t="shared" si="14"/>
        <v>736312.5</v>
      </c>
      <c r="L281" s="22">
        <f>K281-(_xlfn.XLOOKUP(E281,Product!$A$2:$A$7,Product!$B$2:$B$7)*F281)</f>
        <v>241312.5</v>
      </c>
      <c r="M281">
        <f>YEAR(Table1[[#This Row],[Order date]])</f>
        <v>2014</v>
      </c>
      <c r="N281" s="22" t="str" cm="1">
        <f t="array" ref="N281">_xlfn.IFS(G281=0,"No Discount", ROUND(G281*100,0)&lt;=4,"Low", ROUND(G281*100,0)&lt;=9,"Medium", ROUND(G281*100,0)&lt;=15,"High")</f>
        <v>High</v>
      </c>
      <c r="O281" s="22" t="str">
        <f>TEXT(Table1[[#This Row],[Order date]],"mmmm")</f>
        <v>March</v>
      </c>
    </row>
    <row r="282" spans="1:15" ht="13.5" x14ac:dyDescent="0.25">
      <c r="A282" s="1" t="str">
        <f>"ORD"&amp;"-"&amp;_xlfn.XLOOKUP(C282,Guide!$B$22:$B$26,Guide!$C$22:$C$26)&amp;"-"&amp;_xlfn.XLOOKUP(D282,Guide!$B$29:$B$33,Guide!$C$29:$C$33)&amp;"-"&amp;TEXT(H282,"yyyymmdd")</f>
        <v>ORD-GER-CPR-20140401</v>
      </c>
      <c r="B282" s="1" t="s">
        <v>325</v>
      </c>
      <c r="C282" s="1" t="s">
        <v>29</v>
      </c>
      <c r="D282" s="1" t="s">
        <v>43</v>
      </c>
      <c r="E282" s="1" t="s">
        <v>78</v>
      </c>
      <c r="F282" s="2">
        <v>2838</v>
      </c>
      <c r="G282" s="4">
        <v>0</v>
      </c>
      <c r="H282" s="3">
        <f t="shared" si="12"/>
        <v>41730</v>
      </c>
      <c r="I282" s="1">
        <f>_xlfn.XLOOKUP(E282,Product!$A$2:$A$7,Product!$C$2:$C$7)</f>
        <v>300</v>
      </c>
      <c r="J282" s="22">
        <f t="shared" si="13"/>
        <v>851400</v>
      </c>
      <c r="K282" s="22">
        <f t="shared" si="14"/>
        <v>851400</v>
      </c>
      <c r="L282" s="22">
        <f>K282-(_xlfn.XLOOKUP(E282,Product!$A$2:$A$7,Product!$B$2:$B$7)*F282)</f>
        <v>141900</v>
      </c>
      <c r="M282">
        <f>YEAR(Table1[[#This Row],[Order date]])</f>
        <v>2014</v>
      </c>
      <c r="N282" s="22" t="str" cm="1">
        <f t="array" ref="N282">_xlfn.IFS(G282=0,"No Discount", ROUND(G282*100,0)&lt;=4,"Low", ROUND(G282*100,0)&lt;=9,"Medium", ROUND(G282*100,0)&lt;=15,"High")</f>
        <v>No Discount</v>
      </c>
      <c r="O282" s="22" t="str">
        <f>TEXT(Table1[[#This Row],[Order date]],"mmmm")</f>
        <v>April</v>
      </c>
    </row>
    <row r="283" spans="1:15" ht="13.5" x14ac:dyDescent="0.25">
      <c r="A283" s="1" t="str">
        <f>"ORD"&amp;"-"&amp;_xlfn.XLOOKUP(C283,Guide!$B$22:$B$26,Guide!$C$22:$C$26)&amp;"-"&amp;_xlfn.XLOOKUP(D283,Guide!$B$29:$B$33,Guide!$C$29:$C$33)&amp;"-"&amp;TEXT(H283,"yyyymmdd")</f>
        <v>ORD-USA-CPR-20140401</v>
      </c>
      <c r="B283" s="1" t="s">
        <v>326</v>
      </c>
      <c r="C283" s="1" t="s">
        <v>35</v>
      </c>
      <c r="D283" s="1" t="s">
        <v>43</v>
      </c>
      <c r="E283" s="1" t="s">
        <v>84</v>
      </c>
      <c r="F283" s="2">
        <v>1953</v>
      </c>
      <c r="G283" s="4">
        <v>0</v>
      </c>
      <c r="H283" s="3">
        <f t="shared" si="12"/>
        <v>41730</v>
      </c>
      <c r="I283" s="1">
        <f>_xlfn.XLOOKUP(E283,Product!$A$2:$A$7,Product!$C$2:$C$7)</f>
        <v>350</v>
      </c>
      <c r="J283" s="22">
        <f t="shared" si="13"/>
        <v>683550</v>
      </c>
      <c r="K283" s="22">
        <f t="shared" si="14"/>
        <v>683550</v>
      </c>
      <c r="L283" s="22">
        <f>K283-(_xlfn.XLOOKUP(E283,Product!$A$2:$A$7,Product!$B$2:$B$7)*F283)</f>
        <v>292950</v>
      </c>
      <c r="M283">
        <f>YEAR(Table1[[#This Row],[Order date]])</f>
        <v>2014</v>
      </c>
      <c r="N283" s="22" t="str" cm="1">
        <f t="array" ref="N283">_xlfn.IFS(G283=0,"No Discount", ROUND(G283*100,0)&lt;=4,"Low", ROUND(G283*100,0)&lt;=9,"Medium", ROUND(G283*100,0)&lt;=15,"High")</f>
        <v>No Discount</v>
      </c>
      <c r="O283" s="22" t="str">
        <f>TEXT(Table1[[#This Row],[Order date]],"mmmm")</f>
        <v>April</v>
      </c>
    </row>
    <row r="284" spans="1:15" ht="13.5" x14ac:dyDescent="0.25">
      <c r="A284" s="1" t="str">
        <f>"ORD"&amp;"-"&amp;_xlfn.XLOOKUP(C284,Guide!$B$22:$B$26,Guide!$C$22:$C$26)&amp;"-"&amp;_xlfn.XLOOKUP(D284,Guide!$B$29:$B$33,Guide!$C$29:$C$33)&amp;"-"&amp;TEXT(H284,"yyyymmdd")</f>
        <v>ORD-GER-ENT-20140401</v>
      </c>
      <c r="B284" s="1" t="s">
        <v>327</v>
      </c>
      <c r="C284" s="1" t="s">
        <v>29</v>
      </c>
      <c r="D284" s="1" t="s">
        <v>45</v>
      </c>
      <c r="E284" s="1" t="s">
        <v>84</v>
      </c>
      <c r="F284" s="2">
        <v>4219</v>
      </c>
      <c r="G284" s="4">
        <v>0</v>
      </c>
      <c r="H284" s="3">
        <f t="shared" si="12"/>
        <v>41730</v>
      </c>
      <c r="I284" s="1">
        <f>_xlfn.XLOOKUP(E284,Product!$A$2:$A$7,Product!$C$2:$C$7)</f>
        <v>350</v>
      </c>
      <c r="J284" s="22">
        <f t="shared" si="13"/>
        <v>1476650</v>
      </c>
      <c r="K284" s="22">
        <f t="shared" si="14"/>
        <v>1476650</v>
      </c>
      <c r="L284" s="22">
        <f>K284-(_xlfn.XLOOKUP(E284,Product!$A$2:$A$7,Product!$B$2:$B$7)*F284)</f>
        <v>632850</v>
      </c>
      <c r="M284">
        <f>YEAR(Table1[[#This Row],[Order date]])</f>
        <v>2014</v>
      </c>
      <c r="N284" s="22" t="str" cm="1">
        <f t="array" ref="N284">_xlfn.IFS(G284=0,"No Discount", ROUND(G284*100,0)&lt;=4,"Low", ROUND(G284*100,0)&lt;=9,"Medium", ROUND(G284*100,0)&lt;=15,"High")</f>
        <v>No Discount</v>
      </c>
      <c r="O284" s="22" t="str">
        <f>TEXT(Table1[[#This Row],[Order date]],"mmmm")</f>
        <v>April</v>
      </c>
    </row>
    <row r="285" spans="1:15" ht="13.5" x14ac:dyDescent="0.25">
      <c r="A285" s="1" t="str">
        <f>"ORD"&amp;"-"&amp;_xlfn.XLOOKUP(C285,Guide!$B$22:$B$26,Guide!$C$22:$C$26)&amp;"-"&amp;_xlfn.XLOOKUP(D285,Guide!$B$29:$B$33,Guide!$C$29:$C$33)&amp;"-"&amp;TEXT(H285,"yyyymmdd")</f>
        <v>ORD-USA-SMB-20140401</v>
      </c>
      <c r="B285" s="1" t="s">
        <v>328</v>
      </c>
      <c r="C285" s="1" t="s">
        <v>35</v>
      </c>
      <c r="D285" s="1" t="s">
        <v>47</v>
      </c>
      <c r="E285" s="1" t="s">
        <v>82</v>
      </c>
      <c r="F285" s="2">
        <v>2301</v>
      </c>
      <c r="G285" s="4">
        <v>0.01</v>
      </c>
      <c r="H285" s="3">
        <f t="shared" si="12"/>
        <v>41730</v>
      </c>
      <c r="I285" s="1">
        <f>_xlfn.XLOOKUP(E285,Product!$A$2:$A$7,Product!$C$2:$C$7)</f>
        <v>15</v>
      </c>
      <c r="J285" s="22">
        <f t="shared" si="13"/>
        <v>34515</v>
      </c>
      <c r="K285" s="22">
        <f t="shared" si="14"/>
        <v>34169.85</v>
      </c>
      <c r="L285" s="22">
        <f>K285-(_xlfn.XLOOKUP(E285,Product!$A$2:$A$7,Product!$B$2:$B$7)*F285)</f>
        <v>22664.85</v>
      </c>
      <c r="M285">
        <f>YEAR(Table1[[#This Row],[Order date]])</f>
        <v>2014</v>
      </c>
      <c r="N285" s="22" t="str" cm="1">
        <f t="array" ref="N285">_xlfn.IFS(G285=0,"No Discount", ROUND(G285*100,0)&lt;=4,"Low", ROUND(G285*100,0)&lt;=9,"Medium", ROUND(G285*100,0)&lt;=15,"High")</f>
        <v>Low</v>
      </c>
      <c r="O285" s="22" t="str">
        <f>TEXT(Table1[[#This Row],[Order date]],"mmmm")</f>
        <v>April</v>
      </c>
    </row>
    <row r="286" spans="1:15" ht="13.5" x14ac:dyDescent="0.25">
      <c r="A286" s="1" t="str">
        <f>"ORD"&amp;"-"&amp;_xlfn.XLOOKUP(C286,Guide!$B$22:$B$26,Guide!$C$22:$C$26)&amp;"-"&amp;_xlfn.XLOOKUP(D286,Guide!$B$29:$B$33,Guide!$C$29:$C$33)&amp;"-"&amp;TEXT(H286,"yyyymmdd")</f>
        <v>ORD-FRA-GOV-20140401</v>
      </c>
      <c r="B286" s="1" t="s">
        <v>329</v>
      </c>
      <c r="C286" s="1" t="s">
        <v>31</v>
      </c>
      <c r="D286" s="1" t="s">
        <v>39</v>
      </c>
      <c r="E286" s="1" t="s">
        <v>88</v>
      </c>
      <c r="F286" s="2">
        <v>3864</v>
      </c>
      <c r="G286" s="4">
        <v>0.01</v>
      </c>
      <c r="H286" s="3">
        <f t="shared" si="12"/>
        <v>41730</v>
      </c>
      <c r="I286" s="1">
        <f>_xlfn.XLOOKUP(E286,Product!$A$2:$A$7,Product!$C$2:$C$7)</f>
        <v>180</v>
      </c>
      <c r="J286" s="22">
        <f t="shared" si="13"/>
        <v>695520</v>
      </c>
      <c r="K286" s="22">
        <f t="shared" si="14"/>
        <v>688564.8</v>
      </c>
      <c r="L286" s="22">
        <f>K286-(_xlfn.XLOOKUP(E286,Product!$A$2:$A$7,Product!$B$2:$B$7)*F286)</f>
        <v>224884.80000000005</v>
      </c>
      <c r="M286">
        <f>YEAR(Table1[[#This Row],[Order date]])</f>
        <v>2014</v>
      </c>
      <c r="N286" s="22" t="str" cm="1">
        <f t="array" ref="N286">_xlfn.IFS(G286=0,"No Discount", ROUND(G286*100,0)&lt;=4,"Low", ROUND(G286*100,0)&lt;=9,"Medium", ROUND(G286*100,0)&lt;=15,"High")</f>
        <v>Low</v>
      </c>
      <c r="O286" s="22" t="str">
        <f>TEXT(Table1[[#This Row],[Order date]],"mmmm")</f>
        <v>April</v>
      </c>
    </row>
    <row r="287" spans="1:15" ht="13.5" x14ac:dyDescent="0.25">
      <c r="A287" s="1" t="str">
        <f>"ORD"&amp;"-"&amp;_xlfn.XLOOKUP(C287,Guide!$B$22:$B$26,Guide!$C$22:$C$26)&amp;"-"&amp;_xlfn.XLOOKUP(D287,Guide!$B$29:$B$33,Guide!$C$29:$C$33)&amp;"-"&amp;TEXT(H287,"yyyymmdd")</f>
        <v>ORD-USA-GOV-20140401</v>
      </c>
      <c r="B287" s="1" t="s">
        <v>330</v>
      </c>
      <c r="C287" s="1" t="s">
        <v>35</v>
      </c>
      <c r="D287" s="1" t="s">
        <v>39</v>
      </c>
      <c r="E287" s="1" t="s">
        <v>75</v>
      </c>
      <c r="F287" s="2">
        <v>4492</v>
      </c>
      <c r="G287" s="4">
        <v>1.0001272102785905E-2</v>
      </c>
      <c r="H287" s="3">
        <f t="shared" si="12"/>
        <v>41730</v>
      </c>
      <c r="I287" s="1">
        <f>_xlfn.XLOOKUP(E287,Product!$A$2:$A$7,Product!$C$2:$C$7)</f>
        <v>20</v>
      </c>
      <c r="J287" s="22">
        <f t="shared" si="13"/>
        <v>89840</v>
      </c>
      <c r="K287" s="22">
        <f t="shared" si="14"/>
        <v>88941.485714285722</v>
      </c>
      <c r="L287" s="22">
        <f>K287-(_xlfn.XLOOKUP(E287,Product!$A$2:$A$7,Product!$B$2:$B$7)*F287)</f>
        <v>44021.485714285722</v>
      </c>
      <c r="M287">
        <f>YEAR(Table1[[#This Row],[Order date]])</f>
        <v>2014</v>
      </c>
      <c r="N287" s="22" t="str" cm="1">
        <f t="array" ref="N287">_xlfn.IFS(G287=0,"No Discount", ROUND(G287*100,0)&lt;=4,"Low", ROUND(G287*100,0)&lt;=9,"Medium", ROUND(G287*100,0)&lt;=15,"High")</f>
        <v>Low</v>
      </c>
      <c r="O287" s="22" t="str">
        <f>TEXT(Table1[[#This Row],[Order date]],"mmmm")</f>
        <v>April</v>
      </c>
    </row>
    <row r="288" spans="1:15" ht="13.5" x14ac:dyDescent="0.25">
      <c r="A288" s="1" t="str">
        <f>"ORD"&amp;"-"&amp;_xlfn.XLOOKUP(C288,Guide!$B$22:$B$26,Guide!$C$22:$C$26)&amp;"-"&amp;_xlfn.XLOOKUP(D288,Guide!$B$29:$B$33,Guide!$C$29:$C$33)&amp;"-"&amp;TEXT(H288,"yyyymmdd")</f>
        <v>ORD-CND-GOV-20140401</v>
      </c>
      <c r="B288" s="1" t="s">
        <v>331</v>
      </c>
      <c r="C288" s="1" t="s">
        <v>27</v>
      </c>
      <c r="D288" s="1" t="s">
        <v>39</v>
      </c>
      <c r="E288" s="1" t="s">
        <v>78</v>
      </c>
      <c r="F288" s="2">
        <v>943</v>
      </c>
      <c r="G288" s="4">
        <v>1.0005302226935313E-2</v>
      </c>
      <c r="H288" s="3">
        <f t="shared" si="12"/>
        <v>41730</v>
      </c>
      <c r="I288" s="1">
        <f>_xlfn.XLOOKUP(E288,Product!$A$2:$A$7,Product!$C$2:$C$7)</f>
        <v>300</v>
      </c>
      <c r="J288" s="22">
        <f t="shared" si="13"/>
        <v>282900</v>
      </c>
      <c r="K288" s="22">
        <f t="shared" si="14"/>
        <v>280069.5</v>
      </c>
      <c r="L288" s="22">
        <f>K288-(_xlfn.XLOOKUP(E288,Product!$A$2:$A$7,Product!$B$2:$B$7)*F288)</f>
        <v>44319.5</v>
      </c>
      <c r="M288">
        <f>YEAR(Table1[[#This Row],[Order date]])</f>
        <v>2014</v>
      </c>
      <c r="N288" s="22" t="str" cm="1">
        <f t="array" ref="N288">_xlfn.IFS(G288=0,"No Discount", ROUND(G288*100,0)&lt;=4,"Low", ROUND(G288*100,0)&lt;=9,"Medium", ROUND(G288*100,0)&lt;=15,"High")</f>
        <v>Low</v>
      </c>
      <c r="O288" s="22" t="str">
        <f>TEXT(Table1[[#This Row],[Order date]],"mmmm")</f>
        <v>April</v>
      </c>
    </row>
    <row r="289" spans="1:15" ht="13.5" x14ac:dyDescent="0.25">
      <c r="A289" s="1" t="str">
        <f>"ORD"&amp;"-"&amp;_xlfn.XLOOKUP(C289,Guide!$B$22:$B$26,Guide!$C$22:$C$26)&amp;"-"&amp;_xlfn.XLOOKUP(D289,Guide!$B$29:$B$33,Guide!$C$29:$C$33)&amp;"-"&amp;TEXT(H289,"yyyymmdd")</f>
        <v>ORD-CND-ENT-20140401</v>
      </c>
      <c r="B289" s="1" t="s">
        <v>332</v>
      </c>
      <c r="C289" s="1" t="s">
        <v>27</v>
      </c>
      <c r="D289" s="1" t="s">
        <v>45</v>
      </c>
      <c r="E289" s="1" t="s">
        <v>80</v>
      </c>
      <c r="F289" s="2">
        <v>742</v>
      </c>
      <c r="G289" s="4">
        <v>2.0013477088948788E-2</v>
      </c>
      <c r="H289" s="3">
        <f t="shared" si="12"/>
        <v>41730</v>
      </c>
      <c r="I289" s="1">
        <f>_xlfn.XLOOKUP(E289,Product!$A$2:$A$7,Product!$C$2:$C$7)</f>
        <v>20</v>
      </c>
      <c r="J289" s="22">
        <f t="shared" si="13"/>
        <v>14840</v>
      </c>
      <c r="K289" s="22">
        <f t="shared" si="14"/>
        <v>14543</v>
      </c>
      <c r="L289" s="22">
        <f>K289-(_xlfn.XLOOKUP(E289,Product!$A$2:$A$7,Product!$B$2:$B$7)*F289)</f>
        <v>12317</v>
      </c>
      <c r="M289">
        <f>YEAR(Table1[[#This Row],[Order date]])</f>
        <v>2014</v>
      </c>
      <c r="N289" s="22" t="str" cm="1">
        <f t="array" ref="N289">_xlfn.IFS(G289=0,"No Discount", ROUND(G289*100,0)&lt;=4,"Low", ROUND(G289*100,0)&lt;=9,"Medium", ROUND(G289*100,0)&lt;=15,"High")</f>
        <v>Low</v>
      </c>
      <c r="O289" s="22" t="str">
        <f>TEXT(Table1[[#This Row],[Order date]],"mmmm")</f>
        <v>April</v>
      </c>
    </row>
    <row r="290" spans="1:15" ht="13.5" x14ac:dyDescent="0.25">
      <c r="A290" s="1" t="str">
        <f>"ORD"&amp;"-"&amp;_xlfn.XLOOKUP(C290,Guide!$B$22:$B$26,Guide!$C$22:$C$26)&amp;"-"&amp;_xlfn.XLOOKUP(D290,Guide!$B$29:$B$33,Guide!$C$29:$C$33)&amp;"-"&amp;TEXT(H290,"yyyymmdd")</f>
        <v>ORD-GER-GOV-20140401</v>
      </c>
      <c r="B290" s="1" t="s">
        <v>333</v>
      </c>
      <c r="C290" s="1" t="s">
        <v>29</v>
      </c>
      <c r="D290" s="1" t="s">
        <v>39</v>
      </c>
      <c r="E290" s="1" t="s">
        <v>80</v>
      </c>
      <c r="F290" s="2">
        <v>2580</v>
      </c>
      <c r="G290" s="4">
        <v>0.03</v>
      </c>
      <c r="H290" s="3">
        <f t="shared" si="12"/>
        <v>41730</v>
      </c>
      <c r="I290" s="1">
        <f>_xlfn.XLOOKUP(E290,Product!$A$2:$A$7,Product!$C$2:$C$7)</f>
        <v>20</v>
      </c>
      <c r="J290" s="22">
        <f t="shared" si="13"/>
        <v>51600</v>
      </c>
      <c r="K290" s="22">
        <f t="shared" si="14"/>
        <v>50052</v>
      </c>
      <c r="L290" s="22">
        <f>K290-(_xlfn.XLOOKUP(E290,Product!$A$2:$A$7,Product!$B$2:$B$7)*F290)</f>
        <v>42312</v>
      </c>
      <c r="M290">
        <f>YEAR(Table1[[#This Row],[Order date]])</f>
        <v>2014</v>
      </c>
      <c r="N290" s="22" t="str" cm="1">
        <f t="array" ref="N290">_xlfn.IFS(G290=0,"No Discount", ROUND(G290*100,0)&lt;=4,"Low", ROUND(G290*100,0)&lt;=9,"Medium", ROUND(G290*100,0)&lt;=15,"High")</f>
        <v>Low</v>
      </c>
      <c r="O290" s="22" t="str">
        <f>TEXT(Table1[[#This Row],[Order date]],"mmmm")</f>
        <v>April</v>
      </c>
    </row>
    <row r="291" spans="1:15" ht="13.5" x14ac:dyDescent="0.25">
      <c r="A291" s="1" t="str">
        <f>"ORD"&amp;"-"&amp;_xlfn.XLOOKUP(C291,Guide!$B$22:$B$26,Guide!$C$22:$C$26)&amp;"-"&amp;_xlfn.XLOOKUP(D291,Guide!$B$29:$B$33,Guide!$C$29:$C$33)&amp;"-"&amp;TEXT(H291,"yyyymmdd")</f>
        <v>ORD-MXC-CPR-20140401</v>
      </c>
      <c r="B291" s="1" t="s">
        <v>334</v>
      </c>
      <c r="C291" s="1" t="s">
        <v>33</v>
      </c>
      <c r="D291" s="1" t="s">
        <v>43</v>
      </c>
      <c r="E291" s="1" t="s">
        <v>78</v>
      </c>
      <c r="F291" s="2">
        <v>1916</v>
      </c>
      <c r="G291" s="4">
        <v>0.03</v>
      </c>
      <c r="H291" s="3">
        <f t="shared" si="12"/>
        <v>41730</v>
      </c>
      <c r="I291" s="1">
        <f>_xlfn.XLOOKUP(E291,Product!$A$2:$A$7,Product!$C$2:$C$7)</f>
        <v>300</v>
      </c>
      <c r="J291" s="22">
        <f t="shared" si="13"/>
        <v>574800</v>
      </c>
      <c r="K291" s="22">
        <f t="shared" si="14"/>
        <v>557556</v>
      </c>
      <c r="L291" s="22">
        <f>K291-(_xlfn.XLOOKUP(E291,Product!$A$2:$A$7,Product!$B$2:$B$7)*F291)</f>
        <v>78556</v>
      </c>
      <c r="M291">
        <f>YEAR(Table1[[#This Row],[Order date]])</f>
        <v>2014</v>
      </c>
      <c r="N291" s="22" t="str" cm="1">
        <f t="array" ref="N291">_xlfn.IFS(G291=0,"No Discount", ROUND(G291*100,0)&lt;=4,"Low", ROUND(G291*100,0)&lt;=9,"Medium", ROUND(G291*100,0)&lt;=15,"High")</f>
        <v>Low</v>
      </c>
      <c r="O291" s="22" t="str">
        <f>TEXT(Table1[[#This Row],[Order date]],"mmmm")</f>
        <v>April</v>
      </c>
    </row>
    <row r="292" spans="1:15" ht="13.5" x14ac:dyDescent="0.25">
      <c r="A292" s="1" t="str">
        <f>"ORD"&amp;"-"&amp;_xlfn.XLOOKUP(C292,Guide!$B$22:$B$26,Guide!$C$22:$C$26)&amp;"-"&amp;_xlfn.XLOOKUP(D292,Guide!$B$29:$B$33,Guide!$C$29:$C$33)&amp;"-"&amp;TEXT(H292,"yyyymmdd")</f>
        <v>ORD-FRA-ENT-20140401</v>
      </c>
      <c r="B292" s="1" t="s">
        <v>335</v>
      </c>
      <c r="C292" s="1" t="s">
        <v>31</v>
      </c>
      <c r="D292" s="1" t="s">
        <v>45</v>
      </c>
      <c r="E292" s="1" t="s">
        <v>80</v>
      </c>
      <c r="F292" s="2">
        <v>4243</v>
      </c>
      <c r="G292" s="4">
        <v>3.0003544661795896E-2</v>
      </c>
      <c r="H292" s="3">
        <f t="shared" si="12"/>
        <v>41730</v>
      </c>
      <c r="I292" s="1">
        <f>_xlfn.XLOOKUP(E292,Product!$A$2:$A$7,Product!$C$2:$C$7)</f>
        <v>20</v>
      </c>
      <c r="J292" s="22">
        <f t="shared" si="13"/>
        <v>84860</v>
      </c>
      <c r="K292" s="22">
        <f t="shared" si="14"/>
        <v>82313.8992</v>
      </c>
      <c r="L292" s="22">
        <f>K292-(_xlfn.XLOOKUP(E292,Product!$A$2:$A$7,Product!$B$2:$B$7)*F292)</f>
        <v>69584.8992</v>
      </c>
      <c r="M292">
        <f>YEAR(Table1[[#This Row],[Order date]])</f>
        <v>2014</v>
      </c>
      <c r="N292" s="22" t="str" cm="1">
        <f t="array" ref="N292">_xlfn.IFS(G292=0,"No Discount", ROUND(G292*100,0)&lt;=4,"Low", ROUND(G292*100,0)&lt;=9,"Medium", ROUND(G292*100,0)&lt;=15,"High")</f>
        <v>Low</v>
      </c>
      <c r="O292" s="22" t="str">
        <f>TEXT(Table1[[#This Row],[Order date]],"mmmm")</f>
        <v>April</v>
      </c>
    </row>
    <row r="293" spans="1:15" ht="13.5" x14ac:dyDescent="0.25">
      <c r="A293" s="1" t="str">
        <f>"ORD"&amp;"-"&amp;_xlfn.XLOOKUP(C293,Guide!$B$22:$B$26,Guide!$C$22:$C$26)&amp;"-"&amp;_xlfn.XLOOKUP(D293,Guide!$B$29:$B$33,Guide!$C$29:$C$33)&amp;"-"&amp;TEXT(H293,"yyyymmdd")</f>
        <v>ORD-CND-GOV-20140401</v>
      </c>
      <c r="B293" s="1" t="s">
        <v>336</v>
      </c>
      <c r="C293" s="1" t="s">
        <v>27</v>
      </c>
      <c r="D293" s="1" t="s">
        <v>39</v>
      </c>
      <c r="E293" s="1" t="s">
        <v>88</v>
      </c>
      <c r="F293" s="2">
        <v>3850</v>
      </c>
      <c r="G293" s="4">
        <v>3.0003896103896106E-2</v>
      </c>
      <c r="H293" s="3">
        <f t="shared" si="12"/>
        <v>41730</v>
      </c>
      <c r="I293" s="1">
        <f>_xlfn.XLOOKUP(E293,Product!$A$2:$A$7,Product!$C$2:$C$7)</f>
        <v>180</v>
      </c>
      <c r="J293" s="22">
        <f t="shared" si="13"/>
        <v>693000</v>
      </c>
      <c r="K293" s="22">
        <f t="shared" si="14"/>
        <v>672207.3</v>
      </c>
      <c r="L293" s="22">
        <f>K293-(_xlfn.XLOOKUP(E293,Product!$A$2:$A$7,Product!$B$2:$B$7)*F293)</f>
        <v>210207.30000000005</v>
      </c>
      <c r="M293">
        <f>YEAR(Table1[[#This Row],[Order date]])</f>
        <v>2014</v>
      </c>
      <c r="N293" s="22" t="str" cm="1">
        <f t="array" ref="N293">_xlfn.IFS(G293=0,"No Discount", ROUND(G293*100,0)&lt;=4,"Low", ROUND(G293*100,0)&lt;=9,"Medium", ROUND(G293*100,0)&lt;=15,"High")</f>
        <v>Low</v>
      </c>
      <c r="O293" s="22" t="str">
        <f>TEXT(Table1[[#This Row],[Order date]],"mmmm")</f>
        <v>April</v>
      </c>
    </row>
    <row r="294" spans="1:15" ht="13.5" x14ac:dyDescent="0.25">
      <c r="A294" s="1" t="str">
        <f>"ORD"&amp;"-"&amp;_xlfn.XLOOKUP(C294,Guide!$B$22:$B$26,Guide!$C$22:$C$26)&amp;"-"&amp;_xlfn.XLOOKUP(D294,Guide!$B$29:$B$33,Guide!$C$29:$C$33)&amp;"-"&amp;TEXT(H294,"yyyymmdd")</f>
        <v>ORD-MXC-ENT-20140401</v>
      </c>
      <c r="B294" s="1" t="s">
        <v>337</v>
      </c>
      <c r="C294" s="1" t="s">
        <v>33</v>
      </c>
      <c r="D294" s="1" t="s">
        <v>45</v>
      </c>
      <c r="E294" s="1" t="s">
        <v>84</v>
      </c>
      <c r="F294" s="2">
        <v>1074</v>
      </c>
      <c r="G294" s="4">
        <v>0.04</v>
      </c>
      <c r="H294" s="3">
        <f t="shared" si="12"/>
        <v>41730</v>
      </c>
      <c r="I294" s="1">
        <f>_xlfn.XLOOKUP(E294,Product!$A$2:$A$7,Product!$C$2:$C$7)</f>
        <v>350</v>
      </c>
      <c r="J294" s="22">
        <f t="shared" si="13"/>
        <v>375900</v>
      </c>
      <c r="K294" s="22">
        <f t="shared" si="14"/>
        <v>360864</v>
      </c>
      <c r="L294" s="22">
        <f>K294-(_xlfn.XLOOKUP(E294,Product!$A$2:$A$7,Product!$B$2:$B$7)*F294)</f>
        <v>146064</v>
      </c>
      <c r="M294">
        <f>YEAR(Table1[[#This Row],[Order date]])</f>
        <v>2014</v>
      </c>
      <c r="N294" s="22" t="str" cm="1">
        <f t="array" ref="N294">_xlfn.IFS(G294=0,"No Discount", ROUND(G294*100,0)&lt;=4,"Low", ROUND(G294*100,0)&lt;=9,"Medium", ROUND(G294*100,0)&lt;=15,"High")</f>
        <v>Low</v>
      </c>
      <c r="O294" s="22" t="str">
        <f>TEXT(Table1[[#This Row],[Order date]],"mmmm")</f>
        <v>April</v>
      </c>
    </row>
    <row r="295" spans="1:15" ht="13.5" x14ac:dyDescent="0.25">
      <c r="A295" s="1" t="str">
        <f>"ORD"&amp;"-"&amp;_xlfn.XLOOKUP(C295,Guide!$B$22:$B$26,Guide!$C$22:$C$26)&amp;"-"&amp;_xlfn.XLOOKUP(D295,Guide!$B$29:$B$33,Guide!$C$29:$C$33)&amp;"-"&amp;TEXT(H295,"yyyymmdd")</f>
        <v>ORD-GER-SMB-20140401</v>
      </c>
      <c r="B295" s="1" t="s">
        <v>338</v>
      </c>
      <c r="C295" s="1" t="s">
        <v>29</v>
      </c>
      <c r="D295" s="1" t="s">
        <v>47</v>
      </c>
      <c r="E295" s="1" t="s">
        <v>75</v>
      </c>
      <c r="F295" s="2">
        <v>1414</v>
      </c>
      <c r="G295" s="4">
        <v>4.0014144271570011E-2</v>
      </c>
      <c r="H295" s="3">
        <f t="shared" si="12"/>
        <v>41730</v>
      </c>
      <c r="I295" s="1">
        <f>_xlfn.XLOOKUP(E295,Product!$A$2:$A$7,Product!$C$2:$C$7)</f>
        <v>20</v>
      </c>
      <c r="J295" s="22">
        <f t="shared" si="13"/>
        <v>28280</v>
      </c>
      <c r="K295" s="22">
        <f t="shared" si="14"/>
        <v>27148.400000000001</v>
      </c>
      <c r="L295" s="22">
        <f>K295-(_xlfn.XLOOKUP(E295,Product!$A$2:$A$7,Product!$B$2:$B$7)*F295)</f>
        <v>13008.400000000001</v>
      </c>
      <c r="M295">
        <f>YEAR(Table1[[#This Row],[Order date]])</f>
        <v>2014</v>
      </c>
      <c r="N295" s="22" t="str" cm="1">
        <f t="array" ref="N295">_xlfn.IFS(G295=0,"No Discount", ROUND(G295*100,0)&lt;=4,"Low", ROUND(G295*100,0)&lt;=9,"Medium", ROUND(G295*100,0)&lt;=15,"High")</f>
        <v>Low</v>
      </c>
      <c r="O295" s="22" t="str">
        <f>TEXT(Table1[[#This Row],[Order date]],"mmmm")</f>
        <v>April</v>
      </c>
    </row>
    <row r="296" spans="1:15" ht="13.5" x14ac:dyDescent="0.25">
      <c r="A296" s="1" t="str">
        <f>"ORD"&amp;"-"&amp;_xlfn.XLOOKUP(C296,Guide!$B$22:$B$26,Guide!$C$22:$C$26)&amp;"-"&amp;_xlfn.XLOOKUP(D296,Guide!$B$29:$B$33,Guide!$C$29:$C$33)&amp;"-"&amp;TEXT(H296,"yyyymmdd")</f>
        <v>ORD-MXC-SMB-20140401</v>
      </c>
      <c r="B296" s="1" t="s">
        <v>339</v>
      </c>
      <c r="C296" s="1" t="s">
        <v>33</v>
      </c>
      <c r="D296" s="1" t="s">
        <v>47</v>
      </c>
      <c r="E296" s="1" t="s">
        <v>75</v>
      </c>
      <c r="F296" s="2">
        <v>1607</v>
      </c>
      <c r="G296" s="4">
        <v>0.05</v>
      </c>
      <c r="H296" s="3">
        <f t="shared" si="12"/>
        <v>41730</v>
      </c>
      <c r="I296" s="1">
        <f>_xlfn.XLOOKUP(E296,Product!$A$2:$A$7,Product!$C$2:$C$7)</f>
        <v>20</v>
      </c>
      <c r="J296" s="22">
        <f t="shared" si="13"/>
        <v>32140</v>
      </c>
      <c r="K296" s="22">
        <f t="shared" si="14"/>
        <v>30533</v>
      </c>
      <c r="L296" s="22">
        <f>K296-(_xlfn.XLOOKUP(E296,Product!$A$2:$A$7,Product!$B$2:$B$7)*F296)</f>
        <v>14463</v>
      </c>
      <c r="M296">
        <f>YEAR(Table1[[#This Row],[Order date]])</f>
        <v>2014</v>
      </c>
      <c r="N296" s="22" t="str" cm="1">
        <f t="array" ref="N296">_xlfn.IFS(G296=0,"No Discount", ROUND(G296*100,0)&lt;=4,"Low", ROUND(G296*100,0)&lt;=9,"Medium", ROUND(G296*100,0)&lt;=15,"High")</f>
        <v>Medium</v>
      </c>
      <c r="O296" s="22" t="str">
        <f>TEXT(Table1[[#This Row],[Order date]],"mmmm")</f>
        <v>April</v>
      </c>
    </row>
    <row r="297" spans="1:15" ht="13.5" x14ac:dyDescent="0.25">
      <c r="A297" s="1" t="str">
        <f>"ORD"&amp;"-"&amp;_xlfn.XLOOKUP(C297,Guide!$B$22:$B$26,Guide!$C$22:$C$26)&amp;"-"&amp;_xlfn.XLOOKUP(D297,Guide!$B$29:$B$33,Guide!$C$29:$C$33)&amp;"-"&amp;TEXT(H297,"yyyymmdd")</f>
        <v>ORD-MXC-GOV-20140401</v>
      </c>
      <c r="B297" s="1" t="s">
        <v>340</v>
      </c>
      <c r="C297" s="1" t="s">
        <v>33</v>
      </c>
      <c r="D297" s="1" t="s">
        <v>39</v>
      </c>
      <c r="E297" s="1" t="s">
        <v>82</v>
      </c>
      <c r="F297" s="2">
        <v>980</v>
      </c>
      <c r="G297" s="4">
        <v>0.06</v>
      </c>
      <c r="H297" s="3">
        <f t="shared" si="12"/>
        <v>41730</v>
      </c>
      <c r="I297" s="1">
        <f>_xlfn.XLOOKUP(E297,Product!$A$2:$A$7,Product!$C$2:$C$7)</f>
        <v>15</v>
      </c>
      <c r="J297" s="22">
        <f t="shared" si="13"/>
        <v>14700</v>
      </c>
      <c r="K297" s="22">
        <f t="shared" si="14"/>
        <v>13818</v>
      </c>
      <c r="L297" s="22">
        <f>K297-(_xlfn.XLOOKUP(E297,Product!$A$2:$A$7,Product!$B$2:$B$7)*F297)</f>
        <v>8918</v>
      </c>
      <c r="M297">
        <f>YEAR(Table1[[#This Row],[Order date]])</f>
        <v>2014</v>
      </c>
      <c r="N297" s="22" t="str" cm="1">
        <f t="array" ref="N297">_xlfn.IFS(G297=0,"No Discount", ROUND(G297*100,0)&lt;=4,"Low", ROUND(G297*100,0)&lt;=9,"Medium", ROUND(G297*100,0)&lt;=15,"High")</f>
        <v>Medium</v>
      </c>
      <c r="O297" s="22" t="str">
        <f>TEXT(Table1[[#This Row],[Order date]],"mmmm")</f>
        <v>April</v>
      </c>
    </row>
    <row r="298" spans="1:15" ht="13.5" x14ac:dyDescent="0.25">
      <c r="A298" s="1" t="str">
        <f>"ORD"&amp;"-"&amp;_xlfn.XLOOKUP(C298,Guide!$B$22:$B$26,Guide!$C$22:$C$26)&amp;"-"&amp;_xlfn.XLOOKUP(D298,Guide!$B$29:$B$33,Guide!$C$29:$C$33)&amp;"-"&amp;TEXT(H298,"yyyymmdd")</f>
        <v>ORD-FRA-MDM-20140401</v>
      </c>
      <c r="B298" s="1" t="s">
        <v>341</v>
      </c>
      <c r="C298" s="1" t="s">
        <v>31</v>
      </c>
      <c r="D298" s="1" t="s">
        <v>41</v>
      </c>
      <c r="E298" s="1" t="s">
        <v>75</v>
      </c>
      <c r="F298" s="2">
        <v>3801</v>
      </c>
      <c r="G298" s="4">
        <v>6.0000000000000005E-2</v>
      </c>
      <c r="H298" s="3">
        <f t="shared" si="12"/>
        <v>41730</v>
      </c>
      <c r="I298" s="1">
        <f>_xlfn.XLOOKUP(E298,Product!$A$2:$A$7,Product!$C$2:$C$7)</f>
        <v>20</v>
      </c>
      <c r="J298" s="22">
        <f t="shared" si="13"/>
        <v>76020</v>
      </c>
      <c r="K298" s="22">
        <f t="shared" si="14"/>
        <v>71458.8</v>
      </c>
      <c r="L298" s="22">
        <f>K298-(_xlfn.XLOOKUP(E298,Product!$A$2:$A$7,Product!$B$2:$B$7)*F298)</f>
        <v>33448.800000000003</v>
      </c>
      <c r="M298">
        <f>YEAR(Table1[[#This Row],[Order date]])</f>
        <v>2014</v>
      </c>
      <c r="N298" s="22" t="str" cm="1">
        <f t="array" ref="N298">_xlfn.IFS(G298=0,"No Discount", ROUND(G298*100,0)&lt;=4,"Low", ROUND(G298*100,0)&lt;=9,"Medium", ROUND(G298*100,0)&lt;=15,"High")</f>
        <v>Medium</v>
      </c>
      <c r="O298" s="22" t="str">
        <f>TEXT(Table1[[#This Row],[Order date]],"mmmm")</f>
        <v>April</v>
      </c>
    </row>
    <row r="299" spans="1:15" ht="13.5" x14ac:dyDescent="0.25">
      <c r="A299" s="1" t="str">
        <f>"ORD"&amp;"-"&amp;_xlfn.XLOOKUP(C299,Guide!$B$22:$B$26,Guide!$C$22:$C$26)&amp;"-"&amp;_xlfn.XLOOKUP(D299,Guide!$B$29:$B$33,Guide!$C$29:$C$33)&amp;"-"&amp;TEXT(H299,"yyyymmdd")</f>
        <v>ORD-FRA-CPR-20140401</v>
      </c>
      <c r="B299" s="1" t="s">
        <v>342</v>
      </c>
      <c r="C299" s="1" t="s">
        <v>31</v>
      </c>
      <c r="D299" s="1" t="s">
        <v>43</v>
      </c>
      <c r="E299" s="1" t="s">
        <v>78</v>
      </c>
      <c r="F299" s="2">
        <v>1738</v>
      </c>
      <c r="G299" s="4">
        <v>7.0020138089758335E-2</v>
      </c>
      <c r="H299" s="3">
        <f t="shared" si="12"/>
        <v>41730</v>
      </c>
      <c r="I299" s="1">
        <f>_xlfn.XLOOKUP(E299,Product!$A$2:$A$7,Product!$C$2:$C$7)</f>
        <v>300</v>
      </c>
      <c r="J299" s="22">
        <f t="shared" si="13"/>
        <v>521400</v>
      </c>
      <c r="K299" s="22">
        <f t="shared" si="14"/>
        <v>484891.5</v>
      </c>
      <c r="L299" s="22">
        <f>K299-(_xlfn.XLOOKUP(E299,Product!$A$2:$A$7,Product!$B$2:$B$7)*F299)</f>
        <v>50391.5</v>
      </c>
      <c r="M299">
        <f>YEAR(Table1[[#This Row],[Order date]])</f>
        <v>2014</v>
      </c>
      <c r="N299" s="22" t="str" cm="1">
        <f t="array" ref="N299">_xlfn.IFS(G299=0,"No Discount", ROUND(G299*100,0)&lt;=4,"Low", ROUND(G299*100,0)&lt;=9,"Medium", ROUND(G299*100,0)&lt;=15,"High")</f>
        <v>Medium</v>
      </c>
      <c r="O299" s="22" t="str">
        <f>TEXT(Table1[[#This Row],[Order date]],"mmmm")</f>
        <v>April</v>
      </c>
    </row>
    <row r="300" spans="1:15" ht="13.5" x14ac:dyDescent="0.25">
      <c r="A300" s="1" t="str">
        <f>"ORD"&amp;"-"&amp;_xlfn.XLOOKUP(C300,Guide!$B$22:$B$26,Guide!$C$22:$C$26)&amp;"-"&amp;_xlfn.XLOOKUP(D300,Guide!$B$29:$B$33,Guide!$C$29:$C$33)&amp;"-"&amp;TEXT(H300,"yyyymmdd")</f>
        <v>ORD-GER-GOV-20140401</v>
      </c>
      <c r="B300" s="1" t="s">
        <v>343</v>
      </c>
      <c r="C300" s="1" t="s">
        <v>29</v>
      </c>
      <c r="D300" s="1" t="s">
        <v>39</v>
      </c>
      <c r="E300" s="1" t="s">
        <v>75</v>
      </c>
      <c r="F300" s="2">
        <v>1259</v>
      </c>
      <c r="G300" s="4">
        <v>0.08</v>
      </c>
      <c r="H300" s="3">
        <f t="shared" si="12"/>
        <v>41730</v>
      </c>
      <c r="I300" s="1">
        <f>_xlfn.XLOOKUP(E300,Product!$A$2:$A$7,Product!$C$2:$C$7)</f>
        <v>20</v>
      </c>
      <c r="J300" s="22">
        <f t="shared" si="13"/>
        <v>25180</v>
      </c>
      <c r="K300" s="22">
        <f t="shared" si="14"/>
        <v>23165.600000000002</v>
      </c>
      <c r="L300" s="22">
        <f>K300-(_xlfn.XLOOKUP(E300,Product!$A$2:$A$7,Product!$B$2:$B$7)*F300)</f>
        <v>10575.600000000002</v>
      </c>
      <c r="M300">
        <f>YEAR(Table1[[#This Row],[Order date]])</f>
        <v>2014</v>
      </c>
      <c r="N300" s="22" t="str" cm="1">
        <f t="array" ref="N300">_xlfn.IFS(G300=0,"No Discount", ROUND(G300*100,0)&lt;=4,"Low", ROUND(G300*100,0)&lt;=9,"Medium", ROUND(G300*100,0)&lt;=15,"High")</f>
        <v>Medium</v>
      </c>
      <c r="O300" s="22" t="str">
        <f>TEXT(Table1[[#This Row],[Order date]],"mmmm")</f>
        <v>April</v>
      </c>
    </row>
    <row r="301" spans="1:15" ht="13.5" x14ac:dyDescent="0.25">
      <c r="A301" s="1" t="str">
        <f>"ORD"&amp;"-"&amp;_xlfn.XLOOKUP(C301,Guide!$B$22:$B$26,Guide!$C$22:$C$26)&amp;"-"&amp;_xlfn.XLOOKUP(D301,Guide!$B$29:$B$33,Guide!$C$29:$C$33)&amp;"-"&amp;TEXT(H301,"yyyymmdd")</f>
        <v>ORD-FRA-GOV-20140401</v>
      </c>
      <c r="B301" s="1" t="s">
        <v>344</v>
      </c>
      <c r="C301" s="1" t="s">
        <v>31</v>
      </c>
      <c r="D301" s="1" t="s">
        <v>39</v>
      </c>
      <c r="E301" s="1" t="s">
        <v>78</v>
      </c>
      <c r="F301" s="2">
        <v>574</v>
      </c>
      <c r="G301" s="4">
        <v>8.0069686411149824E-2</v>
      </c>
      <c r="H301" s="3">
        <f t="shared" si="12"/>
        <v>41730</v>
      </c>
      <c r="I301" s="1">
        <f>_xlfn.XLOOKUP(E301,Product!$A$2:$A$7,Product!$C$2:$C$7)</f>
        <v>300</v>
      </c>
      <c r="J301" s="22">
        <f t="shared" si="13"/>
        <v>172200</v>
      </c>
      <c r="K301" s="22">
        <f t="shared" si="14"/>
        <v>158412</v>
      </c>
      <c r="L301" s="22">
        <f>K301-(_xlfn.XLOOKUP(E301,Product!$A$2:$A$7,Product!$B$2:$B$7)*F301)</f>
        <v>14912</v>
      </c>
      <c r="M301">
        <f>YEAR(Table1[[#This Row],[Order date]])</f>
        <v>2014</v>
      </c>
      <c r="N301" s="22" t="str" cm="1">
        <f t="array" ref="N301">_xlfn.IFS(G301=0,"No Discount", ROUND(G301*100,0)&lt;=4,"Low", ROUND(G301*100,0)&lt;=9,"Medium", ROUND(G301*100,0)&lt;=15,"High")</f>
        <v>Medium</v>
      </c>
      <c r="O301" s="22" t="str">
        <f>TEXT(Table1[[#This Row],[Order date]],"mmmm")</f>
        <v>April</v>
      </c>
    </row>
    <row r="302" spans="1:15" ht="13.5" x14ac:dyDescent="0.25">
      <c r="A302" s="1" t="str">
        <f>"ORD"&amp;"-"&amp;_xlfn.XLOOKUP(C302,Guide!$B$22:$B$26,Guide!$C$22:$C$26)&amp;"-"&amp;_xlfn.XLOOKUP(D302,Guide!$B$29:$B$33,Guide!$C$29:$C$33)&amp;"-"&amp;TEXT(H302,"yyyymmdd")</f>
        <v>ORD-USA-MDM-20140401</v>
      </c>
      <c r="B302" s="1" t="s">
        <v>345</v>
      </c>
      <c r="C302" s="1" t="s">
        <v>35</v>
      </c>
      <c r="D302" s="1" t="s">
        <v>41</v>
      </c>
      <c r="E302" s="1" t="s">
        <v>75</v>
      </c>
      <c r="F302" s="2">
        <v>3675</v>
      </c>
      <c r="G302" s="4">
        <v>0.09</v>
      </c>
      <c r="H302" s="3">
        <f t="shared" si="12"/>
        <v>41730</v>
      </c>
      <c r="I302" s="1">
        <f>_xlfn.XLOOKUP(E302,Product!$A$2:$A$7,Product!$C$2:$C$7)</f>
        <v>20</v>
      </c>
      <c r="J302" s="22">
        <f t="shared" si="13"/>
        <v>73500</v>
      </c>
      <c r="K302" s="22">
        <f t="shared" si="14"/>
        <v>66885</v>
      </c>
      <c r="L302" s="22">
        <f>K302-(_xlfn.XLOOKUP(E302,Product!$A$2:$A$7,Product!$B$2:$B$7)*F302)</f>
        <v>30135</v>
      </c>
      <c r="M302">
        <f>YEAR(Table1[[#This Row],[Order date]])</f>
        <v>2014</v>
      </c>
      <c r="N302" s="22" t="str" cm="1">
        <f t="array" ref="N302">_xlfn.IFS(G302=0,"No Discount", ROUND(G302*100,0)&lt;=4,"Low", ROUND(G302*100,0)&lt;=9,"Medium", ROUND(G302*100,0)&lt;=15,"High")</f>
        <v>Medium</v>
      </c>
      <c r="O302" s="22" t="str">
        <f>TEXT(Table1[[#This Row],[Order date]],"mmmm")</f>
        <v>April</v>
      </c>
    </row>
    <row r="303" spans="1:15" ht="13.5" x14ac:dyDescent="0.25">
      <c r="A303" s="1" t="str">
        <f>"ORD"&amp;"-"&amp;_xlfn.XLOOKUP(C303,Guide!$B$22:$B$26,Guide!$C$22:$C$26)&amp;"-"&amp;_xlfn.XLOOKUP(D303,Guide!$B$29:$B$33,Guide!$C$29:$C$33)&amp;"-"&amp;TEXT(H303,"yyyymmdd")</f>
        <v>ORD-MXC-MDM-20140401</v>
      </c>
      <c r="B303" s="1" t="s">
        <v>346</v>
      </c>
      <c r="C303" s="1" t="s">
        <v>33</v>
      </c>
      <c r="D303" s="1" t="s">
        <v>41</v>
      </c>
      <c r="E303" s="1" t="s">
        <v>88</v>
      </c>
      <c r="F303" s="2">
        <v>2628</v>
      </c>
      <c r="G303" s="4">
        <v>9.0000000000000011E-2</v>
      </c>
      <c r="H303" s="3">
        <f t="shared" si="12"/>
        <v>41730</v>
      </c>
      <c r="I303" s="1">
        <f>_xlfn.XLOOKUP(E303,Product!$A$2:$A$7,Product!$C$2:$C$7)</f>
        <v>180</v>
      </c>
      <c r="J303" s="22">
        <f t="shared" si="13"/>
        <v>473040</v>
      </c>
      <c r="K303" s="22">
        <f t="shared" si="14"/>
        <v>430466.4</v>
      </c>
      <c r="L303" s="22">
        <f>K303-(_xlfn.XLOOKUP(E303,Product!$A$2:$A$7,Product!$B$2:$B$7)*F303)</f>
        <v>115106.40000000002</v>
      </c>
      <c r="M303">
        <f>YEAR(Table1[[#This Row],[Order date]])</f>
        <v>2014</v>
      </c>
      <c r="N303" s="22" t="str" cm="1">
        <f t="array" ref="N303">_xlfn.IFS(G303=0,"No Discount", ROUND(G303*100,0)&lt;=4,"Low", ROUND(G303*100,0)&lt;=9,"Medium", ROUND(G303*100,0)&lt;=15,"High")</f>
        <v>Medium</v>
      </c>
      <c r="O303" s="22" t="str">
        <f>TEXT(Table1[[#This Row],[Order date]],"mmmm")</f>
        <v>April</v>
      </c>
    </row>
    <row r="304" spans="1:15" ht="13.5" x14ac:dyDescent="0.25">
      <c r="A304" s="1" t="str">
        <f>"ORD"&amp;"-"&amp;_xlfn.XLOOKUP(C304,Guide!$B$22:$B$26,Guide!$C$22:$C$26)&amp;"-"&amp;_xlfn.XLOOKUP(D304,Guide!$B$29:$B$33,Guide!$C$29:$C$33)&amp;"-"&amp;TEXT(H304,"yyyymmdd")</f>
        <v>ORD-CND-SMB-20140401</v>
      </c>
      <c r="B304" s="1" t="s">
        <v>347</v>
      </c>
      <c r="C304" s="1" t="s">
        <v>27</v>
      </c>
      <c r="D304" s="1" t="s">
        <v>47</v>
      </c>
      <c r="E304" s="1" t="s">
        <v>82</v>
      </c>
      <c r="F304" s="2">
        <v>3802</v>
      </c>
      <c r="G304" s="4">
        <v>9.0011835875854818E-2</v>
      </c>
      <c r="H304" s="3">
        <f t="shared" si="12"/>
        <v>41730</v>
      </c>
      <c r="I304" s="1">
        <f>_xlfn.XLOOKUP(E304,Product!$A$2:$A$7,Product!$C$2:$C$7)</f>
        <v>15</v>
      </c>
      <c r="J304" s="22">
        <f t="shared" si="13"/>
        <v>57030</v>
      </c>
      <c r="K304" s="22">
        <f t="shared" si="14"/>
        <v>51896.625</v>
      </c>
      <c r="L304" s="22">
        <f>K304-(_xlfn.XLOOKUP(E304,Product!$A$2:$A$7,Product!$B$2:$B$7)*F304)</f>
        <v>32886.625</v>
      </c>
      <c r="M304">
        <f>YEAR(Table1[[#This Row],[Order date]])</f>
        <v>2014</v>
      </c>
      <c r="N304" s="22" t="str" cm="1">
        <f t="array" ref="N304">_xlfn.IFS(G304=0,"No Discount", ROUND(G304*100,0)&lt;=4,"Low", ROUND(G304*100,0)&lt;=9,"Medium", ROUND(G304*100,0)&lt;=15,"High")</f>
        <v>Medium</v>
      </c>
      <c r="O304" s="22" t="str">
        <f>TEXT(Table1[[#This Row],[Order date]],"mmmm")</f>
        <v>April</v>
      </c>
    </row>
    <row r="305" spans="1:15" ht="13.5" x14ac:dyDescent="0.25">
      <c r="A305" s="1" t="str">
        <f>"ORD"&amp;"-"&amp;_xlfn.XLOOKUP(C305,Guide!$B$22:$B$26,Guide!$C$22:$C$26)&amp;"-"&amp;_xlfn.XLOOKUP(D305,Guide!$B$29:$B$33,Guide!$C$29:$C$33)&amp;"-"&amp;TEXT(H305,"yyyymmdd")</f>
        <v>ORD-USA-GOV-20140401</v>
      </c>
      <c r="B305" s="1" t="s">
        <v>348</v>
      </c>
      <c r="C305" s="1" t="s">
        <v>35</v>
      </c>
      <c r="D305" s="1" t="s">
        <v>39</v>
      </c>
      <c r="E305" s="1" t="s">
        <v>78</v>
      </c>
      <c r="F305" s="2">
        <v>1351</v>
      </c>
      <c r="G305" s="4">
        <v>9.0033308660251665E-2</v>
      </c>
      <c r="H305" s="3">
        <f t="shared" si="12"/>
        <v>41730</v>
      </c>
      <c r="I305" s="1">
        <f>_xlfn.XLOOKUP(E305,Product!$A$2:$A$7,Product!$C$2:$C$7)</f>
        <v>300</v>
      </c>
      <c r="J305" s="22">
        <f t="shared" si="13"/>
        <v>405300</v>
      </c>
      <c r="K305" s="22">
        <f t="shared" si="14"/>
        <v>368809.5</v>
      </c>
      <c r="L305" s="22">
        <f>K305-(_xlfn.XLOOKUP(E305,Product!$A$2:$A$7,Product!$B$2:$B$7)*F305)</f>
        <v>31059.5</v>
      </c>
      <c r="M305">
        <f>YEAR(Table1[[#This Row],[Order date]])</f>
        <v>2014</v>
      </c>
      <c r="N305" s="22" t="str" cm="1">
        <f t="array" ref="N305">_xlfn.IFS(G305=0,"No Discount", ROUND(G305*100,0)&lt;=4,"Low", ROUND(G305*100,0)&lt;=9,"Medium", ROUND(G305*100,0)&lt;=15,"High")</f>
        <v>Medium</v>
      </c>
      <c r="O305" s="22" t="str">
        <f>TEXT(Table1[[#This Row],[Order date]],"mmmm")</f>
        <v>April</v>
      </c>
    </row>
    <row r="306" spans="1:15" ht="13.5" x14ac:dyDescent="0.25">
      <c r="A306" s="1" t="str">
        <f>"ORD"&amp;"-"&amp;_xlfn.XLOOKUP(C306,Guide!$B$22:$B$26,Guide!$C$22:$C$26)&amp;"-"&amp;_xlfn.XLOOKUP(D306,Guide!$B$29:$B$33,Guide!$C$29:$C$33)&amp;"-"&amp;TEXT(H306,"yyyymmdd")</f>
        <v>ORD-GER-MDM-20140401</v>
      </c>
      <c r="B306" s="1" t="s">
        <v>349</v>
      </c>
      <c r="C306" s="1" t="s">
        <v>29</v>
      </c>
      <c r="D306" s="1" t="s">
        <v>41</v>
      </c>
      <c r="E306" s="1" t="s">
        <v>88</v>
      </c>
      <c r="F306" s="2">
        <v>510</v>
      </c>
      <c r="G306" s="4">
        <v>0.1</v>
      </c>
      <c r="H306" s="3">
        <f t="shared" si="12"/>
        <v>41730</v>
      </c>
      <c r="I306" s="1">
        <f>_xlfn.XLOOKUP(E306,Product!$A$2:$A$7,Product!$C$2:$C$7)</f>
        <v>180</v>
      </c>
      <c r="J306" s="22">
        <f t="shared" si="13"/>
        <v>91800</v>
      </c>
      <c r="K306" s="22">
        <f t="shared" si="14"/>
        <v>82620</v>
      </c>
      <c r="L306" s="22">
        <f>K306-(_xlfn.XLOOKUP(E306,Product!$A$2:$A$7,Product!$B$2:$B$7)*F306)</f>
        <v>21420</v>
      </c>
      <c r="M306">
        <f>YEAR(Table1[[#This Row],[Order date]])</f>
        <v>2014</v>
      </c>
      <c r="N306" s="22" t="str" cm="1">
        <f t="array" ref="N306">_xlfn.IFS(G306=0,"No Discount", ROUND(G306*100,0)&lt;=4,"Low", ROUND(G306*100,0)&lt;=9,"Medium", ROUND(G306*100,0)&lt;=15,"High")</f>
        <v>High</v>
      </c>
      <c r="O306" s="22" t="str">
        <f>TEXT(Table1[[#This Row],[Order date]],"mmmm")</f>
        <v>April</v>
      </c>
    </row>
    <row r="307" spans="1:15" ht="13.5" x14ac:dyDescent="0.25">
      <c r="A307" s="1" t="str">
        <f>"ORD"&amp;"-"&amp;_xlfn.XLOOKUP(C307,Guide!$B$22:$B$26,Guide!$C$22:$C$26)&amp;"-"&amp;_xlfn.XLOOKUP(D307,Guide!$B$29:$B$33,Guide!$C$29:$C$33)&amp;"-"&amp;TEXT(H307,"yyyymmdd")</f>
        <v>ORD-CND-CPR-20140401</v>
      </c>
      <c r="B307" s="1" t="s">
        <v>350</v>
      </c>
      <c r="C307" s="1" t="s">
        <v>27</v>
      </c>
      <c r="D307" s="1" t="s">
        <v>43</v>
      </c>
      <c r="E307" s="1" t="s">
        <v>84</v>
      </c>
      <c r="F307" s="2">
        <v>3520</v>
      </c>
      <c r="G307" s="4">
        <v>0.10001420454545455</v>
      </c>
      <c r="H307" s="3">
        <f t="shared" si="12"/>
        <v>41730</v>
      </c>
      <c r="I307" s="1">
        <f>_xlfn.XLOOKUP(E307,Product!$A$2:$A$7,Product!$C$2:$C$7)</f>
        <v>350</v>
      </c>
      <c r="J307" s="22">
        <f t="shared" si="13"/>
        <v>1232000</v>
      </c>
      <c r="K307" s="22">
        <f t="shared" si="14"/>
        <v>1108782.5</v>
      </c>
      <c r="L307" s="22">
        <f>K307-(_xlfn.XLOOKUP(E307,Product!$A$2:$A$7,Product!$B$2:$B$7)*F307)</f>
        <v>404782.5</v>
      </c>
      <c r="M307">
        <f>YEAR(Table1[[#This Row],[Order date]])</f>
        <v>2014</v>
      </c>
      <c r="N307" s="22" t="str" cm="1">
        <f t="array" ref="N307">_xlfn.IFS(G307=0,"No Discount", ROUND(G307*100,0)&lt;=4,"Low", ROUND(G307*100,0)&lt;=9,"Medium", ROUND(G307*100,0)&lt;=15,"High")</f>
        <v>High</v>
      </c>
      <c r="O307" s="22" t="str">
        <f>TEXT(Table1[[#This Row],[Order date]],"mmmm")</f>
        <v>April</v>
      </c>
    </row>
    <row r="308" spans="1:15" ht="13.5" x14ac:dyDescent="0.25">
      <c r="A308" s="1" t="str">
        <f>"ORD"&amp;"-"&amp;_xlfn.XLOOKUP(C308,Guide!$B$22:$B$26,Guide!$C$22:$C$26)&amp;"-"&amp;_xlfn.XLOOKUP(D308,Guide!$B$29:$B$33,Guide!$C$29:$C$33)&amp;"-"&amp;TEXT(H308,"yyyymmdd")</f>
        <v>ORD-USA-ENT-20140401</v>
      </c>
      <c r="B308" s="1" t="s">
        <v>351</v>
      </c>
      <c r="C308" s="1" t="s">
        <v>35</v>
      </c>
      <c r="D308" s="1" t="s">
        <v>45</v>
      </c>
      <c r="E308" s="1" t="s">
        <v>80</v>
      </c>
      <c r="F308" s="2">
        <v>3445</v>
      </c>
      <c r="G308" s="4">
        <v>0.1000145137880987</v>
      </c>
      <c r="H308" s="3">
        <f t="shared" si="12"/>
        <v>41730</v>
      </c>
      <c r="I308" s="1">
        <f>_xlfn.XLOOKUP(E308,Product!$A$2:$A$7,Product!$C$2:$C$7)</f>
        <v>20</v>
      </c>
      <c r="J308" s="22">
        <f t="shared" si="13"/>
        <v>68900</v>
      </c>
      <c r="K308" s="22">
        <f t="shared" si="14"/>
        <v>62009</v>
      </c>
      <c r="L308" s="22">
        <f>K308-(_xlfn.XLOOKUP(E308,Product!$A$2:$A$7,Product!$B$2:$B$7)*F308)</f>
        <v>51674</v>
      </c>
      <c r="M308">
        <f>YEAR(Table1[[#This Row],[Order date]])</f>
        <v>2014</v>
      </c>
      <c r="N308" s="22" t="str" cm="1">
        <f t="array" ref="N308">_xlfn.IFS(G308=0,"No Discount", ROUND(G308*100,0)&lt;=4,"Low", ROUND(G308*100,0)&lt;=9,"Medium", ROUND(G308*100,0)&lt;=15,"High")</f>
        <v>High</v>
      </c>
      <c r="O308" s="22" t="str">
        <f>TEXT(Table1[[#This Row],[Order date]],"mmmm")</f>
        <v>April</v>
      </c>
    </row>
    <row r="309" spans="1:15" ht="13.5" x14ac:dyDescent="0.25">
      <c r="A309" s="1" t="str">
        <f>"ORD"&amp;"-"&amp;_xlfn.XLOOKUP(C309,Guide!$B$22:$B$26,Guide!$C$22:$C$26)&amp;"-"&amp;_xlfn.XLOOKUP(D309,Guide!$B$29:$B$33,Guide!$C$29:$C$33)&amp;"-"&amp;TEXT(H309,"yyyymmdd")</f>
        <v>ORD-FRA-GOV-20140401</v>
      </c>
      <c r="B309" s="1" t="s">
        <v>352</v>
      </c>
      <c r="C309" s="1" t="s">
        <v>31</v>
      </c>
      <c r="D309" s="1" t="s">
        <v>39</v>
      </c>
      <c r="E309" s="1" t="s">
        <v>75</v>
      </c>
      <c r="F309" s="2">
        <v>2532</v>
      </c>
      <c r="G309" s="4">
        <v>0.11</v>
      </c>
      <c r="H309" s="3">
        <f t="shared" si="12"/>
        <v>41730</v>
      </c>
      <c r="I309" s="1">
        <f>_xlfn.XLOOKUP(E309,Product!$A$2:$A$7,Product!$C$2:$C$7)</f>
        <v>20</v>
      </c>
      <c r="J309" s="22">
        <f t="shared" si="13"/>
        <v>50640</v>
      </c>
      <c r="K309" s="22">
        <f t="shared" si="14"/>
        <v>45069.599999999999</v>
      </c>
      <c r="L309" s="22">
        <f>K309-(_xlfn.XLOOKUP(E309,Product!$A$2:$A$7,Product!$B$2:$B$7)*F309)</f>
        <v>19749.599999999999</v>
      </c>
      <c r="M309">
        <f>YEAR(Table1[[#This Row],[Order date]])</f>
        <v>2014</v>
      </c>
      <c r="N309" s="22" t="str" cm="1">
        <f t="array" ref="N309">_xlfn.IFS(G309=0,"No Discount", ROUND(G309*100,0)&lt;=4,"Low", ROUND(G309*100,0)&lt;=9,"Medium", ROUND(G309*100,0)&lt;=15,"High")</f>
        <v>High</v>
      </c>
      <c r="O309" s="22" t="str">
        <f>TEXT(Table1[[#This Row],[Order date]],"mmmm")</f>
        <v>April</v>
      </c>
    </row>
    <row r="310" spans="1:15" ht="13.5" x14ac:dyDescent="0.25">
      <c r="A310" s="1" t="str">
        <f>"ORD"&amp;"-"&amp;_xlfn.XLOOKUP(C310,Guide!$B$22:$B$26,Guide!$C$22:$C$26)&amp;"-"&amp;_xlfn.XLOOKUP(D310,Guide!$B$29:$B$33,Guide!$C$29:$C$33)&amp;"-"&amp;TEXT(H310,"yyyymmdd")</f>
        <v>ORD-FRA-SMB-20140401</v>
      </c>
      <c r="B310" s="1" t="s">
        <v>353</v>
      </c>
      <c r="C310" s="1" t="s">
        <v>31</v>
      </c>
      <c r="D310" s="1" t="s">
        <v>47</v>
      </c>
      <c r="E310" s="1" t="s">
        <v>82</v>
      </c>
      <c r="F310" s="2">
        <v>1773</v>
      </c>
      <c r="G310" s="4">
        <v>0.12</v>
      </c>
      <c r="H310" s="3">
        <f t="shared" si="12"/>
        <v>41730</v>
      </c>
      <c r="I310" s="1">
        <f>_xlfn.XLOOKUP(E310,Product!$A$2:$A$7,Product!$C$2:$C$7)</f>
        <v>15</v>
      </c>
      <c r="J310" s="22">
        <f t="shared" si="13"/>
        <v>26595</v>
      </c>
      <c r="K310" s="22">
        <f t="shared" si="14"/>
        <v>23403.599999999999</v>
      </c>
      <c r="L310" s="22">
        <f>K310-(_xlfn.XLOOKUP(E310,Product!$A$2:$A$7,Product!$B$2:$B$7)*F310)</f>
        <v>14538.599999999999</v>
      </c>
      <c r="M310">
        <f>YEAR(Table1[[#This Row],[Order date]])</f>
        <v>2014</v>
      </c>
      <c r="N310" s="22" t="str" cm="1">
        <f t="array" ref="N310">_xlfn.IFS(G310=0,"No Discount", ROUND(G310*100,0)&lt;=4,"Low", ROUND(G310*100,0)&lt;=9,"Medium", ROUND(G310*100,0)&lt;=15,"High")</f>
        <v>High</v>
      </c>
      <c r="O310" s="22" t="str">
        <f>TEXT(Table1[[#This Row],[Order date]],"mmmm")</f>
        <v>April</v>
      </c>
    </row>
    <row r="311" spans="1:15" ht="13.5" x14ac:dyDescent="0.25">
      <c r="A311" s="1" t="str">
        <f>"ORD"&amp;"-"&amp;_xlfn.XLOOKUP(C311,Guide!$B$22:$B$26,Guide!$C$22:$C$26)&amp;"-"&amp;_xlfn.XLOOKUP(D311,Guide!$B$29:$B$33,Guide!$C$29:$C$33)&amp;"-"&amp;TEXT(H311,"yyyymmdd")</f>
        <v>ORD-USA-GOV-20140401</v>
      </c>
      <c r="B311" s="1" t="s">
        <v>354</v>
      </c>
      <c r="C311" s="1" t="s">
        <v>35</v>
      </c>
      <c r="D311" s="1" t="s">
        <v>39</v>
      </c>
      <c r="E311" s="1" t="s">
        <v>88</v>
      </c>
      <c r="F311" s="2">
        <v>606</v>
      </c>
      <c r="G311" s="4">
        <v>0.13999999999999999</v>
      </c>
      <c r="H311" s="3">
        <f t="shared" si="12"/>
        <v>41730</v>
      </c>
      <c r="I311" s="1">
        <f>_xlfn.XLOOKUP(E311,Product!$A$2:$A$7,Product!$C$2:$C$7)</f>
        <v>180</v>
      </c>
      <c r="J311" s="22">
        <f t="shared" si="13"/>
        <v>109080</v>
      </c>
      <c r="K311" s="22">
        <f t="shared" si="14"/>
        <v>93808.8</v>
      </c>
      <c r="L311" s="22">
        <f>K311-(_xlfn.XLOOKUP(E311,Product!$A$2:$A$7,Product!$B$2:$B$7)*F311)</f>
        <v>21088.800000000003</v>
      </c>
      <c r="M311">
        <f>YEAR(Table1[[#This Row],[Order date]])</f>
        <v>2014</v>
      </c>
      <c r="N311" s="22" t="str" cm="1">
        <f t="array" ref="N311">_xlfn.IFS(G311=0,"No Discount", ROUND(G311*100,0)&lt;=4,"Low", ROUND(G311*100,0)&lt;=9,"Medium", ROUND(G311*100,0)&lt;=15,"High")</f>
        <v>High</v>
      </c>
      <c r="O311" s="22" t="str">
        <f>TEXT(Table1[[#This Row],[Order date]],"mmmm")</f>
        <v>April</v>
      </c>
    </row>
    <row r="312" spans="1:15" ht="13.5" x14ac:dyDescent="0.25">
      <c r="A312" s="1" t="str">
        <f>"ORD"&amp;"-"&amp;_xlfn.XLOOKUP(C312,Guide!$B$22:$B$26,Guide!$C$22:$C$26)&amp;"-"&amp;_xlfn.XLOOKUP(D312,Guide!$B$29:$B$33,Guide!$C$29:$C$33)&amp;"-"&amp;TEXT(H312,"yyyymmdd")</f>
        <v>ORD-MXC-GOV-20140401</v>
      </c>
      <c r="B312" s="1" t="s">
        <v>355</v>
      </c>
      <c r="C312" s="1" t="s">
        <v>33</v>
      </c>
      <c r="D312" s="1" t="s">
        <v>39</v>
      </c>
      <c r="E312" s="1" t="s">
        <v>80</v>
      </c>
      <c r="F312" s="2">
        <v>2579</v>
      </c>
      <c r="G312" s="4">
        <v>0.13999999999999999</v>
      </c>
      <c r="H312" s="3">
        <f t="shared" si="12"/>
        <v>41730</v>
      </c>
      <c r="I312" s="1">
        <f>_xlfn.XLOOKUP(E312,Product!$A$2:$A$7,Product!$C$2:$C$7)</f>
        <v>20</v>
      </c>
      <c r="J312" s="22">
        <f t="shared" si="13"/>
        <v>51580</v>
      </c>
      <c r="K312" s="22">
        <f t="shared" si="14"/>
        <v>44358.8</v>
      </c>
      <c r="L312" s="22">
        <f>K312-(_xlfn.XLOOKUP(E312,Product!$A$2:$A$7,Product!$B$2:$B$7)*F312)</f>
        <v>36621.800000000003</v>
      </c>
      <c r="M312">
        <f>YEAR(Table1[[#This Row],[Order date]])</f>
        <v>2014</v>
      </c>
      <c r="N312" s="22" t="str" cm="1">
        <f t="array" ref="N312">_xlfn.IFS(G312=0,"No Discount", ROUND(G312*100,0)&lt;=4,"Low", ROUND(G312*100,0)&lt;=9,"Medium", ROUND(G312*100,0)&lt;=15,"High")</f>
        <v>High</v>
      </c>
      <c r="O312" s="22" t="str">
        <f>TEXT(Table1[[#This Row],[Order date]],"mmmm")</f>
        <v>April</v>
      </c>
    </row>
    <row r="313" spans="1:15" ht="13.5" x14ac:dyDescent="0.25">
      <c r="A313" s="1" t="str">
        <f>"ORD"&amp;"-"&amp;_xlfn.XLOOKUP(C313,Guide!$B$22:$B$26,Guide!$C$22:$C$26)&amp;"-"&amp;_xlfn.XLOOKUP(D313,Guide!$B$29:$B$33,Guide!$C$29:$C$33)&amp;"-"&amp;TEXT(H313,"yyyymmdd")</f>
        <v>ORD-GER-GOV-20140401</v>
      </c>
      <c r="B313" s="1" t="s">
        <v>356</v>
      </c>
      <c r="C313" s="1" t="s">
        <v>29</v>
      </c>
      <c r="D313" s="1" t="s">
        <v>39</v>
      </c>
      <c r="E313" s="1" t="s">
        <v>82</v>
      </c>
      <c r="F313" s="2">
        <v>1199</v>
      </c>
      <c r="G313" s="4">
        <v>0.14000000000000001</v>
      </c>
      <c r="H313" s="3">
        <f t="shared" si="12"/>
        <v>41730</v>
      </c>
      <c r="I313" s="1">
        <f>_xlfn.XLOOKUP(E313,Product!$A$2:$A$7,Product!$C$2:$C$7)</f>
        <v>15</v>
      </c>
      <c r="J313" s="22">
        <f t="shared" si="13"/>
        <v>17985</v>
      </c>
      <c r="K313" s="22">
        <f t="shared" si="14"/>
        <v>15467.1</v>
      </c>
      <c r="L313" s="22">
        <f>K313-(_xlfn.XLOOKUP(E313,Product!$A$2:$A$7,Product!$B$2:$B$7)*F313)</f>
        <v>9472.1</v>
      </c>
      <c r="M313">
        <f>YEAR(Table1[[#This Row],[Order date]])</f>
        <v>2014</v>
      </c>
      <c r="N313" s="22" t="str" cm="1">
        <f t="array" ref="N313">_xlfn.IFS(G313=0,"No Discount", ROUND(G313*100,0)&lt;=4,"Low", ROUND(G313*100,0)&lt;=9,"Medium", ROUND(G313*100,0)&lt;=15,"High")</f>
        <v>High</v>
      </c>
      <c r="O313" s="22" t="str">
        <f>TEXT(Table1[[#This Row],[Order date]],"mmmm")</f>
        <v>April</v>
      </c>
    </row>
    <row r="314" spans="1:15" ht="13.5" x14ac:dyDescent="0.25">
      <c r="A314" s="1" t="str">
        <f>"ORD"&amp;"-"&amp;_xlfn.XLOOKUP(C314,Guide!$B$22:$B$26,Guide!$C$22:$C$26)&amp;"-"&amp;_xlfn.XLOOKUP(D314,Guide!$B$29:$B$33,Guide!$C$29:$C$33)&amp;"-"&amp;TEXT(H314,"yyyymmdd")</f>
        <v>ORD-CND-GOV-20140401</v>
      </c>
      <c r="B314" s="1" t="s">
        <v>357</v>
      </c>
      <c r="C314" s="1" t="s">
        <v>27</v>
      </c>
      <c r="D314" s="1" t="s">
        <v>39</v>
      </c>
      <c r="E314" s="1" t="s">
        <v>75</v>
      </c>
      <c r="F314" s="2">
        <v>723</v>
      </c>
      <c r="G314" s="4">
        <v>0.15</v>
      </c>
      <c r="H314" s="3">
        <f t="shared" si="12"/>
        <v>41730</v>
      </c>
      <c r="I314" s="1">
        <f>_xlfn.XLOOKUP(E314,Product!$A$2:$A$7,Product!$C$2:$C$7)</f>
        <v>20</v>
      </c>
      <c r="J314" s="22">
        <f t="shared" si="13"/>
        <v>14460</v>
      </c>
      <c r="K314" s="22">
        <f t="shared" si="14"/>
        <v>12291</v>
      </c>
      <c r="L314" s="22">
        <f>K314-(_xlfn.XLOOKUP(E314,Product!$A$2:$A$7,Product!$B$2:$B$7)*F314)</f>
        <v>5061</v>
      </c>
      <c r="M314">
        <f>YEAR(Table1[[#This Row],[Order date]])</f>
        <v>2014</v>
      </c>
      <c r="N314" s="22" t="str" cm="1">
        <f t="array" ref="N314">_xlfn.IFS(G314=0,"No Discount", ROUND(G314*100,0)&lt;=4,"Low", ROUND(G314*100,0)&lt;=9,"Medium", ROUND(G314*100,0)&lt;=15,"High")</f>
        <v>High</v>
      </c>
      <c r="O314" s="22" t="str">
        <f>TEXT(Table1[[#This Row],[Order date]],"mmmm")</f>
        <v>April</v>
      </c>
    </row>
    <row r="315" spans="1:15" ht="13.5" x14ac:dyDescent="0.25">
      <c r="A315" s="1" t="str">
        <f>"ORD"&amp;"-"&amp;_xlfn.XLOOKUP(C315,Guide!$B$22:$B$26,Guide!$C$22:$C$26)&amp;"-"&amp;_xlfn.XLOOKUP(D315,Guide!$B$29:$B$33,Guide!$C$29:$C$33)&amp;"-"&amp;TEXT(H315,"yyyymmdd")</f>
        <v>ORD-CND-MDM-20140401</v>
      </c>
      <c r="B315" s="1" t="s">
        <v>358</v>
      </c>
      <c r="C315" s="1" t="s">
        <v>27</v>
      </c>
      <c r="D315" s="1" t="s">
        <v>41</v>
      </c>
      <c r="E315" s="1" t="s">
        <v>75</v>
      </c>
      <c r="F315" s="2">
        <v>1614</v>
      </c>
      <c r="G315" s="4">
        <v>0.15</v>
      </c>
      <c r="H315" s="3">
        <f t="shared" si="12"/>
        <v>41730</v>
      </c>
      <c r="I315" s="1">
        <f>_xlfn.XLOOKUP(E315,Product!$A$2:$A$7,Product!$C$2:$C$7)</f>
        <v>20</v>
      </c>
      <c r="J315" s="22">
        <f t="shared" si="13"/>
        <v>32280</v>
      </c>
      <c r="K315" s="22">
        <f t="shared" si="14"/>
        <v>27438</v>
      </c>
      <c r="L315" s="22">
        <f>K315-(_xlfn.XLOOKUP(E315,Product!$A$2:$A$7,Product!$B$2:$B$7)*F315)</f>
        <v>11298</v>
      </c>
      <c r="M315">
        <f>YEAR(Table1[[#This Row],[Order date]])</f>
        <v>2014</v>
      </c>
      <c r="N315" s="22" t="str" cm="1">
        <f t="array" ref="N315">_xlfn.IFS(G315=0,"No Discount", ROUND(G315*100,0)&lt;=4,"Low", ROUND(G315*100,0)&lt;=9,"Medium", ROUND(G315*100,0)&lt;=15,"High")</f>
        <v>High</v>
      </c>
      <c r="O315" s="22" t="str">
        <f>TEXT(Table1[[#This Row],[Order date]],"mmmm")</f>
        <v>April</v>
      </c>
    </row>
    <row r="316" spans="1:15" ht="13.5" x14ac:dyDescent="0.25">
      <c r="A316" s="1" t="str">
        <f>"ORD"&amp;"-"&amp;_xlfn.XLOOKUP(C316,Guide!$B$22:$B$26,Guide!$C$22:$C$26)&amp;"-"&amp;_xlfn.XLOOKUP(D316,Guide!$B$29:$B$33,Guide!$C$29:$C$33)&amp;"-"&amp;TEXT(H316,"yyyymmdd")</f>
        <v>ORD-MXC-GOV-20140401</v>
      </c>
      <c r="B316" s="1" t="s">
        <v>359</v>
      </c>
      <c r="C316" s="1" t="s">
        <v>33</v>
      </c>
      <c r="D316" s="1" t="s">
        <v>39</v>
      </c>
      <c r="E316" s="1" t="s">
        <v>75</v>
      </c>
      <c r="F316" s="2">
        <v>2535</v>
      </c>
      <c r="G316" s="4">
        <v>0.15</v>
      </c>
      <c r="H316" s="3">
        <f t="shared" si="12"/>
        <v>41730</v>
      </c>
      <c r="I316" s="1">
        <f>_xlfn.XLOOKUP(E316,Product!$A$2:$A$7,Product!$C$2:$C$7)</f>
        <v>20</v>
      </c>
      <c r="J316" s="22">
        <f t="shared" si="13"/>
        <v>50700</v>
      </c>
      <c r="K316" s="22">
        <f t="shared" si="14"/>
        <v>43095</v>
      </c>
      <c r="L316" s="22">
        <f>K316-(_xlfn.XLOOKUP(E316,Product!$A$2:$A$7,Product!$B$2:$B$7)*F316)</f>
        <v>17745</v>
      </c>
      <c r="M316">
        <f>YEAR(Table1[[#This Row],[Order date]])</f>
        <v>2014</v>
      </c>
      <c r="N316" s="22" t="str" cm="1">
        <f t="array" ref="N316">_xlfn.IFS(G316=0,"No Discount", ROUND(G316*100,0)&lt;=4,"Low", ROUND(G316*100,0)&lt;=9,"Medium", ROUND(G316*100,0)&lt;=15,"High")</f>
        <v>High</v>
      </c>
      <c r="O316" s="22" t="str">
        <f>TEXT(Table1[[#This Row],[Order date]],"mmmm")</f>
        <v>April</v>
      </c>
    </row>
    <row r="317" spans="1:15" ht="13.5" x14ac:dyDescent="0.25">
      <c r="A317" s="1" t="str">
        <f>"ORD"&amp;"-"&amp;_xlfn.XLOOKUP(C317,Guide!$B$22:$B$26,Guide!$C$22:$C$26)&amp;"-"&amp;_xlfn.XLOOKUP(D317,Guide!$B$29:$B$33,Guide!$C$29:$C$33)&amp;"-"&amp;TEXT(H317,"yyyymmdd")</f>
        <v>ORD-FRA-GOV-20140501</v>
      </c>
      <c r="B317" s="1" t="s">
        <v>360</v>
      </c>
      <c r="C317" s="1" t="s">
        <v>31</v>
      </c>
      <c r="D317" s="1" t="s">
        <v>39</v>
      </c>
      <c r="E317" s="1" t="s">
        <v>75</v>
      </c>
      <c r="F317" s="2">
        <v>1030</v>
      </c>
      <c r="G317" s="4">
        <v>9.9999999999999985E-3</v>
      </c>
      <c r="H317" s="3">
        <f t="shared" si="12"/>
        <v>41760</v>
      </c>
      <c r="I317" s="1">
        <f>_xlfn.XLOOKUP(E317,Product!$A$2:$A$7,Product!$C$2:$C$7)</f>
        <v>20</v>
      </c>
      <c r="J317" s="22">
        <f t="shared" si="13"/>
        <v>20600</v>
      </c>
      <c r="K317" s="22">
        <f t="shared" si="14"/>
        <v>20394</v>
      </c>
      <c r="L317" s="22">
        <f>K317-(_xlfn.XLOOKUP(E317,Product!$A$2:$A$7,Product!$B$2:$B$7)*F317)</f>
        <v>10094</v>
      </c>
      <c r="M317">
        <f>YEAR(Table1[[#This Row],[Order date]])</f>
        <v>2014</v>
      </c>
      <c r="N317" s="22" t="str" cm="1">
        <f t="array" ref="N317">_xlfn.IFS(G317=0,"No Discount", ROUND(G317*100,0)&lt;=4,"Low", ROUND(G317*100,0)&lt;=9,"Medium", ROUND(G317*100,0)&lt;=15,"High")</f>
        <v>Low</v>
      </c>
      <c r="O317" s="22" t="str">
        <f>TEXT(Table1[[#This Row],[Order date]],"mmmm")</f>
        <v>May</v>
      </c>
    </row>
    <row r="318" spans="1:15" ht="13.5" x14ac:dyDescent="0.25">
      <c r="A318" s="1" t="str">
        <f>"ORD"&amp;"-"&amp;_xlfn.XLOOKUP(C318,Guide!$B$22:$B$26,Guide!$C$22:$C$26)&amp;"-"&amp;_xlfn.XLOOKUP(D318,Guide!$B$29:$B$33,Guide!$C$29:$C$33)&amp;"-"&amp;TEXT(H318,"yyyymmdd")</f>
        <v>ORD-MXC-GOV-20140501</v>
      </c>
      <c r="B318" s="1" t="s">
        <v>361</v>
      </c>
      <c r="C318" s="1" t="s">
        <v>33</v>
      </c>
      <c r="D318" s="1" t="s">
        <v>39</v>
      </c>
      <c r="E318" s="1" t="s">
        <v>88</v>
      </c>
      <c r="F318" s="2">
        <v>362</v>
      </c>
      <c r="G318" s="4">
        <v>0.01</v>
      </c>
      <c r="H318" s="3">
        <f t="shared" si="12"/>
        <v>41760</v>
      </c>
      <c r="I318" s="1">
        <f>_xlfn.XLOOKUP(E318,Product!$A$2:$A$7,Product!$C$2:$C$7)</f>
        <v>180</v>
      </c>
      <c r="J318" s="22">
        <f t="shared" si="13"/>
        <v>65160</v>
      </c>
      <c r="K318" s="22">
        <f t="shared" si="14"/>
        <v>64508.4</v>
      </c>
      <c r="L318" s="22">
        <f>K318-(_xlfn.XLOOKUP(E318,Product!$A$2:$A$7,Product!$B$2:$B$7)*F318)</f>
        <v>21068.400000000001</v>
      </c>
      <c r="M318">
        <f>YEAR(Table1[[#This Row],[Order date]])</f>
        <v>2014</v>
      </c>
      <c r="N318" s="22" t="str" cm="1">
        <f t="array" ref="N318">_xlfn.IFS(G318=0,"No Discount", ROUND(G318*100,0)&lt;=4,"Low", ROUND(G318*100,0)&lt;=9,"Medium", ROUND(G318*100,0)&lt;=15,"High")</f>
        <v>Low</v>
      </c>
      <c r="O318" s="22" t="str">
        <f>TEXT(Table1[[#This Row],[Order date]],"mmmm")</f>
        <v>May</v>
      </c>
    </row>
    <row r="319" spans="1:15" ht="13.5" x14ac:dyDescent="0.25">
      <c r="A319" s="1" t="str">
        <f>"ORD"&amp;"-"&amp;_xlfn.XLOOKUP(C319,Guide!$B$22:$B$26,Guide!$C$22:$C$26)&amp;"-"&amp;_xlfn.XLOOKUP(D319,Guide!$B$29:$B$33,Guide!$C$29:$C$33)&amp;"-"&amp;TEXT(H319,"yyyymmdd")</f>
        <v>ORD-FRA-SMB-20140501</v>
      </c>
      <c r="B319" s="1" t="s">
        <v>362</v>
      </c>
      <c r="C319" s="1" t="s">
        <v>31</v>
      </c>
      <c r="D319" s="1" t="s">
        <v>47</v>
      </c>
      <c r="E319" s="1" t="s">
        <v>75</v>
      </c>
      <c r="F319" s="2">
        <v>918</v>
      </c>
      <c r="G319" s="4">
        <v>0.02</v>
      </c>
      <c r="H319" s="3">
        <f t="shared" si="12"/>
        <v>41760</v>
      </c>
      <c r="I319" s="1">
        <f>_xlfn.XLOOKUP(E319,Product!$A$2:$A$7,Product!$C$2:$C$7)</f>
        <v>20</v>
      </c>
      <c r="J319" s="22">
        <f t="shared" si="13"/>
        <v>18360</v>
      </c>
      <c r="K319" s="22">
        <f t="shared" si="14"/>
        <v>17992.8</v>
      </c>
      <c r="L319" s="22">
        <f>K319-(_xlfn.XLOOKUP(E319,Product!$A$2:$A$7,Product!$B$2:$B$7)*F319)</f>
        <v>8812.7999999999993</v>
      </c>
      <c r="M319">
        <f>YEAR(Table1[[#This Row],[Order date]])</f>
        <v>2014</v>
      </c>
      <c r="N319" s="22" t="str" cm="1">
        <f t="array" ref="N319">_xlfn.IFS(G319=0,"No Discount", ROUND(G319*100,0)&lt;=4,"Low", ROUND(G319*100,0)&lt;=9,"Medium", ROUND(G319*100,0)&lt;=15,"High")</f>
        <v>Low</v>
      </c>
      <c r="O319" s="22" t="str">
        <f>TEXT(Table1[[#This Row],[Order date]],"mmmm")</f>
        <v>May</v>
      </c>
    </row>
    <row r="320" spans="1:15" ht="13.5" x14ac:dyDescent="0.25">
      <c r="A320" s="1" t="str">
        <f>"ORD"&amp;"-"&amp;_xlfn.XLOOKUP(C320,Guide!$B$22:$B$26,Guide!$C$22:$C$26)&amp;"-"&amp;_xlfn.XLOOKUP(D320,Guide!$B$29:$B$33,Guide!$C$29:$C$33)&amp;"-"&amp;TEXT(H320,"yyyymmdd")</f>
        <v>ORD-GER-SMB-20140501</v>
      </c>
      <c r="B320" s="1" t="s">
        <v>363</v>
      </c>
      <c r="C320" s="1" t="s">
        <v>29</v>
      </c>
      <c r="D320" s="1" t="s">
        <v>47</v>
      </c>
      <c r="E320" s="1" t="s">
        <v>75</v>
      </c>
      <c r="F320" s="2">
        <v>1728</v>
      </c>
      <c r="G320" s="4">
        <v>0.02</v>
      </c>
      <c r="H320" s="3">
        <f t="shared" si="12"/>
        <v>41760</v>
      </c>
      <c r="I320" s="1">
        <f>_xlfn.XLOOKUP(E320,Product!$A$2:$A$7,Product!$C$2:$C$7)</f>
        <v>20</v>
      </c>
      <c r="J320" s="22">
        <f t="shared" si="13"/>
        <v>34560</v>
      </c>
      <c r="K320" s="22">
        <f t="shared" si="14"/>
        <v>33868.800000000003</v>
      </c>
      <c r="L320" s="22">
        <f>K320-(_xlfn.XLOOKUP(E320,Product!$A$2:$A$7,Product!$B$2:$B$7)*F320)</f>
        <v>16588.800000000003</v>
      </c>
      <c r="M320">
        <f>YEAR(Table1[[#This Row],[Order date]])</f>
        <v>2014</v>
      </c>
      <c r="N320" s="22" t="str" cm="1">
        <f t="array" ref="N320">_xlfn.IFS(G320=0,"No Discount", ROUND(G320*100,0)&lt;=4,"Low", ROUND(G320*100,0)&lt;=9,"Medium", ROUND(G320*100,0)&lt;=15,"High")</f>
        <v>Low</v>
      </c>
      <c r="O320" s="22" t="str">
        <f>TEXT(Table1[[#This Row],[Order date]],"mmmm")</f>
        <v>May</v>
      </c>
    </row>
    <row r="321" spans="1:15" ht="13.5" x14ac:dyDescent="0.25">
      <c r="A321" s="1" t="str">
        <f>"ORD"&amp;"-"&amp;_xlfn.XLOOKUP(C321,Guide!$B$22:$B$26,Guide!$C$22:$C$26)&amp;"-"&amp;_xlfn.XLOOKUP(D321,Guide!$B$29:$B$33,Guide!$C$29:$C$33)&amp;"-"&amp;TEXT(H321,"yyyymmdd")</f>
        <v>ORD-GER-ENT-20140501</v>
      </c>
      <c r="B321" s="1" t="s">
        <v>364</v>
      </c>
      <c r="C321" s="1" t="s">
        <v>29</v>
      </c>
      <c r="D321" s="1" t="s">
        <v>45</v>
      </c>
      <c r="E321" s="1" t="s">
        <v>84</v>
      </c>
      <c r="F321" s="2">
        <v>2276</v>
      </c>
      <c r="G321" s="4">
        <v>0.02</v>
      </c>
      <c r="H321" s="3">
        <f t="shared" si="12"/>
        <v>41760</v>
      </c>
      <c r="I321" s="1">
        <f>_xlfn.XLOOKUP(E321,Product!$A$2:$A$7,Product!$C$2:$C$7)</f>
        <v>350</v>
      </c>
      <c r="J321" s="22">
        <f t="shared" si="13"/>
        <v>796600</v>
      </c>
      <c r="K321" s="22">
        <f t="shared" si="14"/>
        <v>780668</v>
      </c>
      <c r="L321" s="22">
        <f>K321-(_xlfn.XLOOKUP(E321,Product!$A$2:$A$7,Product!$B$2:$B$7)*F321)</f>
        <v>325468</v>
      </c>
      <c r="M321">
        <f>YEAR(Table1[[#This Row],[Order date]])</f>
        <v>2014</v>
      </c>
      <c r="N321" s="22" t="str" cm="1">
        <f t="array" ref="N321">_xlfn.IFS(G321=0,"No Discount", ROUND(G321*100,0)&lt;=4,"Low", ROUND(G321*100,0)&lt;=9,"Medium", ROUND(G321*100,0)&lt;=15,"High")</f>
        <v>Low</v>
      </c>
      <c r="O321" s="22" t="str">
        <f>TEXT(Table1[[#This Row],[Order date]],"mmmm")</f>
        <v>May</v>
      </c>
    </row>
    <row r="322" spans="1:15" ht="13.5" x14ac:dyDescent="0.25">
      <c r="A322" s="1" t="str">
        <f>"ORD"&amp;"-"&amp;_xlfn.XLOOKUP(C322,Guide!$B$22:$B$26,Guide!$C$22:$C$26)&amp;"-"&amp;_xlfn.XLOOKUP(D322,Guide!$B$29:$B$33,Guide!$C$29:$C$33)&amp;"-"&amp;TEXT(H322,"yyyymmdd")</f>
        <v>ORD-CND-GOV-20140501</v>
      </c>
      <c r="B322" s="1" t="s">
        <v>365</v>
      </c>
      <c r="C322" s="1" t="s">
        <v>27</v>
      </c>
      <c r="D322" s="1" t="s">
        <v>39</v>
      </c>
      <c r="E322" s="1" t="s">
        <v>80</v>
      </c>
      <c r="F322" s="2">
        <v>831</v>
      </c>
      <c r="G322" s="4">
        <v>3.0000000000000002E-2</v>
      </c>
      <c r="H322" s="3">
        <f t="shared" ref="H322:H385" si="15">DATE(VALUE(_xlfn.TEXTBEFORE(_xlfn.TEXTAFTER(B322,"""year"": """),"""")),VALUE(_xlfn.TEXTBEFORE(_xlfn.TEXTAFTER(B322,"""month"": """),"""")),VALUE(_xlfn.TEXTBEFORE(_xlfn.TEXTAFTER(B322,"""date"": """),""""))
)</f>
        <v>41760</v>
      </c>
      <c r="I322" s="1">
        <f>_xlfn.XLOOKUP(E322,Product!$A$2:$A$7,Product!$C$2:$C$7)</f>
        <v>20</v>
      </c>
      <c r="J322" s="22">
        <f t="shared" ref="J322:J385" si="16">I322*F322</f>
        <v>16620</v>
      </c>
      <c r="K322" s="22">
        <f t="shared" ref="K322:K385" si="17">J322*(1-IF(G322="-",0,G322))</f>
        <v>16121.4</v>
      </c>
      <c r="L322" s="22">
        <f>K322-(_xlfn.XLOOKUP(E322,Product!$A$2:$A$7,Product!$B$2:$B$7)*F322)</f>
        <v>13628.4</v>
      </c>
      <c r="M322">
        <f>YEAR(Table1[[#This Row],[Order date]])</f>
        <v>2014</v>
      </c>
      <c r="N322" s="22" t="str" cm="1">
        <f t="array" ref="N322">_xlfn.IFS(G322=0,"No Discount", ROUND(G322*100,0)&lt;=4,"Low", ROUND(G322*100,0)&lt;=9,"Medium", ROUND(G322*100,0)&lt;=15,"High")</f>
        <v>Low</v>
      </c>
      <c r="O322" s="22" t="str">
        <f>TEXT(Table1[[#This Row],[Order date]],"mmmm")</f>
        <v>May</v>
      </c>
    </row>
    <row r="323" spans="1:15" ht="13.5" x14ac:dyDescent="0.25">
      <c r="A323" s="1" t="str">
        <f>"ORD"&amp;"-"&amp;_xlfn.XLOOKUP(C323,Guide!$B$22:$B$26,Guide!$C$22:$C$26)&amp;"-"&amp;_xlfn.XLOOKUP(D323,Guide!$B$29:$B$33,Guide!$C$29:$C$33)&amp;"-"&amp;TEXT(H323,"yyyymmdd")</f>
        <v>ORD-USA-SMB-20140501</v>
      </c>
      <c r="B323" s="1" t="s">
        <v>366</v>
      </c>
      <c r="C323" s="1" t="s">
        <v>35</v>
      </c>
      <c r="D323" s="1" t="s">
        <v>47</v>
      </c>
      <c r="E323" s="1" t="s">
        <v>75</v>
      </c>
      <c r="F323" s="2">
        <v>2918</v>
      </c>
      <c r="G323" s="4">
        <v>0.04</v>
      </c>
      <c r="H323" s="3">
        <f t="shared" si="15"/>
        <v>41760</v>
      </c>
      <c r="I323" s="1">
        <f>_xlfn.XLOOKUP(E323,Product!$A$2:$A$7,Product!$C$2:$C$7)</f>
        <v>20</v>
      </c>
      <c r="J323" s="22">
        <f t="shared" si="16"/>
        <v>58360</v>
      </c>
      <c r="K323" s="22">
        <f t="shared" si="17"/>
        <v>56025.599999999999</v>
      </c>
      <c r="L323" s="22">
        <f>K323-(_xlfn.XLOOKUP(E323,Product!$A$2:$A$7,Product!$B$2:$B$7)*F323)</f>
        <v>26845.599999999999</v>
      </c>
      <c r="M323">
        <f>YEAR(Table1[[#This Row],[Order date]])</f>
        <v>2014</v>
      </c>
      <c r="N323" s="22" t="str" cm="1">
        <f t="array" ref="N323">_xlfn.IFS(G323=0,"No Discount", ROUND(G323*100,0)&lt;=4,"Low", ROUND(G323*100,0)&lt;=9,"Medium", ROUND(G323*100,0)&lt;=15,"High")</f>
        <v>Low</v>
      </c>
      <c r="O323" s="22" t="str">
        <f>TEXT(Table1[[#This Row],[Order date]],"mmmm")</f>
        <v>May</v>
      </c>
    </row>
    <row r="324" spans="1:15" ht="13.5" x14ac:dyDescent="0.25">
      <c r="A324" s="1" t="str">
        <f>"ORD"&amp;"-"&amp;_xlfn.XLOOKUP(C324,Guide!$B$22:$B$26,Guide!$C$22:$C$26)&amp;"-"&amp;_xlfn.XLOOKUP(D324,Guide!$B$29:$B$33,Guide!$C$29:$C$33)&amp;"-"&amp;TEXT(H324,"yyyymmdd")</f>
        <v>ORD-FRA-CPR-20140501</v>
      </c>
      <c r="B324" s="1" t="s">
        <v>367</v>
      </c>
      <c r="C324" s="1" t="s">
        <v>31</v>
      </c>
      <c r="D324" s="1" t="s">
        <v>43</v>
      </c>
      <c r="E324" s="1" t="s">
        <v>78</v>
      </c>
      <c r="F324" s="2">
        <v>866</v>
      </c>
      <c r="G324" s="4">
        <v>0.04</v>
      </c>
      <c r="H324" s="3">
        <f t="shared" si="15"/>
        <v>41760</v>
      </c>
      <c r="I324" s="1">
        <f>_xlfn.XLOOKUP(E324,Product!$A$2:$A$7,Product!$C$2:$C$7)</f>
        <v>300</v>
      </c>
      <c r="J324" s="22">
        <f t="shared" si="16"/>
        <v>259800</v>
      </c>
      <c r="K324" s="22">
        <f t="shared" si="17"/>
        <v>249408</v>
      </c>
      <c r="L324" s="22">
        <f>K324-(_xlfn.XLOOKUP(E324,Product!$A$2:$A$7,Product!$B$2:$B$7)*F324)</f>
        <v>32908</v>
      </c>
      <c r="M324">
        <f>YEAR(Table1[[#This Row],[Order date]])</f>
        <v>2014</v>
      </c>
      <c r="N324" s="22" t="str" cm="1">
        <f t="array" ref="N324">_xlfn.IFS(G324=0,"No Discount", ROUND(G324*100,0)&lt;=4,"Low", ROUND(G324*100,0)&lt;=9,"Medium", ROUND(G324*100,0)&lt;=15,"High")</f>
        <v>Low</v>
      </c>
      <c r="O324" s="22" t="str">
        <f>TEXT(Table1[[#This Row],[Order date]],"mmmm")</f>
        <v>May</v>
      </c>
    </row>
    <row r="325" spans="1:15" ht="13.5" x14ac:dyDescent="0.25">
      <c r="A325" s="1" t="str">
        <f>"ORD"&amp;"-"&amp;_xlfn.XLOOKUP(C325,Guide!$B$22:$B$26,Guide!$C$22:$C$26)&amp;"-"&amp;_xlfn.XLOOKUP(D325,Guide!$B$29:$B$33,Guide!$C$29:$C$33)&amp;"-"&amp;TEXT(H325,"yyyymmdd")</f>
        <v>ORD-USA-GOV-20140501</v>
      </c>
      <c r="B325" s="1" t="s">
        <v>368</v>
      </c>
      <c r="C325" s="1" t="s">
        <v>35</v>
      </c>
      <c r="D325" s="1" t="s">
        <v>39</v>
      </c>
      <c r="E325" s="1" t="s">
        <v>75</v>
      </c>
      <c r="F325" s="2">
        <v>2327</v>
      </c>
      <c r="G325" s="4">
        <v>0.05</v>
      </c>
      <c r="H325" s="3">
        <f t="shared" si="15"/>
        <v>41760</v>
      </c>
      <c r="I325" s="1">
        <f>_xlfn.XLOOKUP(E325,Product!$A$2:$A$7,Product!$C$2:$C$7)</f>
        <v>20</v>
      </c>
      <c r="J325" s="22">
        <f t="shared" si="16"/>
        <v>46540</v>
      </c>
      <c r="K325" s="22">
        <f t="shared" si="17"/>
        <v>44213</v>
      </c>
      <c r="L325" s="22">
        <f>K325-(_xlfn.XLOOKUP(E325,Product!$A$2:$A$7,Product!$B$2:$B$7)*F325)</f>
        <v>20943</v>
      </c>
      <c r="M325">
        <f>YEAR(Table1[[#This Row],[Order date]])</f>
        <v>2014</v>
      </c>
      <c r="N325" s="22" t="str" cm="1">
        <f t="array" ref="N325">_xlfn.IFS(G325=0,"No Discount", ROUND(G325*100,0)&lt;=4,"Low", ROUND(G325*100,0)&lt;=9,"Medium", ROUND(G325*100,0)&lt;=15,"High")</f>
        <v>Medium</v>
      </c>
      <c r="O325" s="22" t="str">
        <f>TEXT(Table1[[#This Row],[Order date]],"mmmm")</f>
        <v>May</v>
      </c>
    </row>
    <row r="326" spans="1:15" ht="13.5" x14ac:dyDescent="0.25">
      <c r="A326" s="1" t="str">
        <f>"ORD"&amp;"-"&amp;_xlfn.XLOOKUP(C326,Guide!$B$22:$B$26,Guide!$C$22:$C$26)&amp;"-"&amp;_xlfn.XLOOKUP(D326,Guide!$B$29:$B$33,Guide!$C$29:$C$33)&amp;"-"&amp;TEXT(H326,"yyyymmdd")</f>
        <v>ORD-FRA-GOV-20140501</v>
      </c>
      <c r="B326" s="1" t="s">
        <v>369</v>
      </c>
      <c r="C326" s="1" t="s">
        <v>31</v>
      </c>
      <c r="D326" s="1" t="s">
        <v>39</v>
      </c>
      <c r="E326" s="1" t="s">
        <v>80</v>
      </c>
      <c r="F326" s="2">
        <v>1563</v>
      </c>
      <c r="G326" s="4">
        <v>0.05</v>
      </c>
      <c r="H326" s="3">
        <f t="shared" si="15"/>
        <v>41760</v>
      </c>
      <c r="I326" s="1">
        <f>_xlfn.XLOOKUP(E326,Product!$A$2:$A$7,Product!$C$2:$C$7)</f>
        <v>20</v>
      </c>
      <c r="J326" s="22">
        <f t="shared" si="16"/>
        <v>31260</v>
      </c>
      <c r="K326" s="22">
        <f t="shared" si="17"/>
        <v>29697</v>
      </c>
      <c r="L326" s="22">
        <f>K326-(_xlfn.XLOOKUP(E326,Product!$A$2:$A$7,Product!$B$2:$B$7)*F326)</f>
        <v>25008</v>
      </c>
      <c r="M326">
        <f>YEAR(Table1[[#This Row],[Order date]])</f>
        <v>2014</v>
      </c>
      <c r="N326" s="22" t="str" cm="1">
        <f t="array" ref="N326">_xlfn.IFS(G326=0,"No Discount", ROUND(G326*100,0)&lt;=4,"Low", ROUND(G326*100,0)&lt;=9,"Medium", ROUND(G326*100,0)&lt;=15,"High")</f>
        <v>Medium</v>
      </c>
      <c r="O326" s="22" t="str">
        <f>TEXT(Table1[[#This Row],[Order date]],"mmmm")</f>
        <v>May</v>
      </c>
    </row>
    <row r="327" spans="1:15" ht="13.5" x14ac:dyDescent="0.25">
      <c r="A327" s="1" t="str">
        <f>"ORD"&amp;"-"&amp;_xlfn.XLOOKUP(C327,Guide!$B$22:$B$26,Guide!$C$22:$C$26)&amp;"-"&amp;_xlfn.XLOOKUP(D327,Guide!$B$29:$B$33,Guide!$C$29:$C$33)&amp;"-"&amp;TEXT(H327,"yyyymmdd")</f>
        <v>ORD-GER-GOV-20140501</v>
      </c>
      <c r="B327" s="1" t="s">
        <v>370</v>
      </c>
      <c r="C327" s="1" t="s">
        <v>29</v>
      </c>
      <c r="D327" s="1" t="s">
        <v>39</v>
      </c>
      <c r="E327" s="1" t="s">
        <v>82</v>
      </c>
      <c r="F327" s="2">
        <v>1460</v>
      </c>
      <c r="G327" s="4">
        <v>0.06</v>
      </c>
      <c r="H327" s="3">
        <f t="shared" si="15"/>
        <v>41760</v>
      </c>
      <c r="I327" s="1">
        <f>_xlfn.XLOOKUP(E327,Product!$A$2:$A$7,Product!$C$2:$C$7)</f>
        <v>15</v>
      </c>
      <c r="J327" s="22">
        <f t="shared" si="16"/>
        <v>21900</v>
      </c>
      <c r="K327" s="22">
        <f t="shared" si="17"/>
        <v>20586</v>
      </c>
      <c r="L327" s="22">
        <f>K327-(_xlfn.XLOOKUP(E327,Product!$A$2:$A$7,Product!$B$2:$B$7)*F327)</f>
        <v>13286</v>
      </c>
      <c r="M327">
        <f>YEAR(Table1[[#This Row],[Order date]])</f>
        <v>2014</v>
      </c>
      <c r="N327" s="22" t="str" cm="1">
        <f t="array" ref="N327">_xlfn.IFS(G327=0,"No Discount", ROUND(G327*100,0)&lt;=4,"Low", ROUND(G327*100,0)&lt;=9,"Medium", ROUND(G327*100,0)&lt;=15,"High")</f>
        <v>Medium</v>
      </c>
      <c r="O327" s="22" t="str">
        <f>TEXT(Table1[[#This Row],[Order date]],"mmmm")</f>
        <v>May</v>
      </c>
    </row>
    <row r="328" spans="1:15" ht="13.5" x14ac:dyDescent="0.25">
      <c r="A328" s="1" t="str">
        <f>"ORD"&amp;"-"&amp;_xlfn.XLOOKUP(C328,Guide!$B$22:$B$26,Guide!$C$22:$C$26)&amp;"-"&amp;_xlfn.XLOOKUP(D328,Guide!$B$29:$B$33,Guide!$C$29:$C$33)&amp;"-"&amp;TEXT(H328,"yyyymmdd")</f>
        <v>ORD-GER-MDM-20140501</v>
      </c>
      <c r="B328" s="1" t="s">
        <v>371</v>
      </c>
      <c r="C328" s="1" t="s">
        <v>29</v>
      </c>
      <c r="D328" s="1" t="s">
        <v>41</v>
      </c>
      <c r="E328" s="1" t="s">
        <v>88</v>
      </c>
      <c r="F328" s="2">
        <v>1530</v>
      </c>
      <c r="G328" s="4">
        <v>0.06</v>
      </c>
      <c r="H328" s="3">
        <f t="shared" si="15"/>
        <v>41760</v>
      </c>
      <c r="I328" s="1">
        <f>_xlfn.XLOOKUP(E328,Product!$A$2:$A$7,Product!$C$2:$C$7)</f>
        <v>180</v>
      </c>
      <c r="J328" s="22">
        <f t="shared" si="16"/>
        <v>275400</v>
      </c>
      <c r="K328" s="22">
        <f t="shared" si="17"/>
        <v>258875.99999999997</v>
      </c>
      <c r="L328" s="22">
        <f>K328-(_xlfn.XLOOKUP(E328,Product!$A$2:$A$7,Product!$B$2:$B$7)*F328)</f>
        <v>75275.999999999971</v>
      </c>
      <c r="M328">
        <f>YEAR(Table1[[#This Row],[Order date]])</f>
        <v>2014</v>
      </c>
      <c r="N328" s="22" t="str" cm="1">
        <f t="array" ref="N328">_xlfn.IFS(G328=0,"No Discount", ROUND(G328*100,0)&lt;=4,"Low", ROUND(G328*100,0)&lt;=9,"Medium", ROUND(G328*100,0)&lt;=15,"High")</f>
        <v>Medium</v>
      </c>
      <c r="O328" s="22" t="str">
        <f>TEXT(Table1[[#This Row],[Order date]],"mmmm")</f>
        <v>May</v>
      </c>
    </row>
    <row r="329" spans="1:15" ht="13.5" x14ac:dyDescent="0.25">
      <c r="A329" s="1" t="str">
        <f>"ORD"&amp;"-"&amp;_xlfn.XLOOKUP(C329,Guide!$B$22:$B$26,Guide!$C$22:$C$26)&amp;"-"&amp;_xlfn.XLOOKUP(D329,Guide!$B$29:$B$33,Guide!$C$29:$C$33)&amp;"-"&amp;TEXT(H329,"yyyymmdd")</f>
        <v>ORD-CND-MDM-20140501</v>
      </c>
      <c r="B329" s="1" t="s">
        <v>372</v>
      </c>
      <c r="C329" s="1" t="s">
        <v>27</v>
      </c>
      <c r="D329" s="1" t="s">
        <v>41</v>
      </c>
      <c r="E329" s="1" t="s">
        <v>88</v>
      </c>
      <c r="F329" s="2">
        <v>1262</v>
      </c>
      <c r="G329" s="4">
        <v>6.9999999999999993E-2</v>
      </c>
      <c r="H329" s="3">
        <f t="shared" si="15"/>
        <v>41760</v>
      </c>
      <c r="I329" s="1">
        <f>_xlfn.XLOOKUP(E329,Product!$A$2:$A$7,Product!$C$2:$C$7)</f>
        <v>180</v>
      </c>
      <c r="J329" s="22">
        <f t="shared" si="16"/>
        <v>227160</v>
      </c>
      <c r="K329" s="22">
        <f t="shared" si="17"/>
        <v>211258.80000000002</v>
      </c>
      <c r="L329" s="22">
        <f>K329-(_xlfn.XLOOKUP(E329,Product!$A$2:$A$7,Product!$B$2:$B$7)*F329)</f>
        <v>59818.800000000017</v>
      </c>
      <c r="M329">
        <f>YEAR(Table1[[#This Row],[Order date]])</f>
        <v>2014</v>
      </c>
      <c r="N329" s="22" t="str" cm="1">
        <f t="array" ref="N329">_xlfn.IFS(G329=0,"No Discount", ROUND(G329*100,0)&lt;=4,"Low", ROUND(G329*100,0)&lt;=9,"Medium", ROUND(G329*100,0)&lt;=15,"High")</f>
        <v>Medium</v>
      </c>
      <c r="O329" s="22" t="str">
        <f>TEXT(Table1[[#This Row],[Order date]],"mmmm")</f>
        <v>May</v>
      </c>
    </row>
    <row r="330" spans="1:15" ht="13.5" x14ac:dyDescent="0.25">
      <c r="A330" s="1" t="str">
        <f>"ORD"&amp;"-"&amp;_xlfn.XLOOKUP(C330,Guide!$B$22:$B$26,Guide!$C$22:$C$26)&amp;"-"&amp;_xlfn.XLOOKUP(D330,Guide!$B$29:$B$33,Guide!$C$29:$C$33)&amp;"-"&amp;TEXT(H330,"yyyymmdd")</f>
        <v>ORD-CND-SMB-20140501</v>
      </c>
      <c r="B330" s="1" t="s">
        <v>373</v>
      </c>
      <c r="C330" s="1" t="s">
        <v>27</v>
      </c>
      <c r="D330" s="1" t="s">
        <v>47</v>
      </c>
      <c r="E330" s="1" t="s">
        <v>75</v>
      </c>
      <c r="F330" s="2">
        <v>1702</v>
      </c>
      <c r="G330" s="4">
        <v>7.0000000000000007E-2</v>
      </c>
      <c r="H330" s="3">
        <f t="shared" si="15"/>
        <v>41760</v>
      </c>
      <c r="I330" s="1">
        <f>_xlfn.XLOOKUP(E330,Product!$A$2:$A$7,Product!$C$2:$C$7)</f>
        <v>20</v>
      </c>
      <c r="J330" s="22">
        <f t="shared" si="16"/>
        <v>34040</v>
      </c>
      <c r="K330" s="22">
        <f t="shared" si="17"/>
        <v>31657.199999999997</v>
      </c>
      <c r="L330" s="22">
        <f>K330-(_xlfn.XLOOKUP(E330,Product!$A$2:$A$7,Product!$B$2:$B$7)*F330)</f>
        <v>14637.199999999997</v>
      </c>
      <c r="M330">
        <f>YEAR(Table1[[#This Row],[Order date]])</f>
        <v>2014</v>
      </c>
      <c r="N330" s="22" t="str" cm="1">
        <f t="array" ref="N330">_xlfn.IFS(G330=0,"No Discount", ROUND(G330*100,0)&lt;=4,"Low", ROUND(G330*100,0)&lt;=9,"Medium", ROUND(G330*100,0)&lt;=15,"High")</f>
        <v>Medium</v>
      </c>
      <c r="O330" s="22" t="str">
        <f>TEXT(Table1[[#This Row],[Order date]],"mmmm")</f>
        <v>May</v>
      </c>
    </row>
    <row r="331" spans="1:15" ht="13.5" x14ac:dyDescent="0.25">
      <c r="A331" s="1" t="str">
        <f>"ORD"&amp;"-"&amp;_xlfn.XLOOKUP(C331,Guide!$B$22:$B$26,Guide!$C$22:$C$26)&amp;"-"&amp;_xlfn.XLOOKUP(D331,Guide!$B$29:$B$33,Guide!$C$29:$C$33)&amp;"-"&amp;TEXT(H331,"yyyymmdd")</f>
        <v>ORD-CND-ENT-20140501</v>
      </c>
      <c r="B331" s="1" t="s">
        <v>374</v>
      </c>
      <c r="C331" s="1" t="s">
        <v>27</v>
      </c>
      <c r="D331" s="1" t="s">
        <v>45</v>
      </c>
      <c r="E331" s="1" t="s">
        <v>84</v>
      </c>
      <c r="F331" s="2">
        <v>1645</v>
      </c>
      <c r="G331" s="4">
        <v>7.0000000000000007E-2</v>
      </c>
      <c r="H331" s="3">
        <f t="shared" si="15"/>
        <v>41760</v>
      </c>
      <c r="I331" s="1">
        <f>_xlfn.XLOOKUP(E331,Product!$A$2:$A$7,Product!$C$2:$C$7)</f>
        <v>350</v>
      </c>
      <c r="J331" s="22">
        <f t="shared" si="16"/>
        <v>575750</v>
      </c>
      <c r="K331" s="22">
        <f t="shared" si="17"/>
        <v>535447.5</v>
      </c>
      <c r="L331" s="22">
        <f>K331-(_xlfn.XLOOKUP(E331,Product!$A$2:$A$7,Product!$B$2:$B$7)*F331)</f>
        <v>206447.5</v>
      </c>
      <c r="M331">
        <f>YEAR(Table1[[#This Row],[Order date]])</f>
        <v>2014</v>
      </c>
      <c r="N331" s="22" t="str" cm="1">
        <f t="array" ref="N331">_xlfn.IFS(G331=0,"No Discount", ROUND(G331*100,0)&lt;=4,"Low", ROUND(G331*100,0)&lt;=9,"Medium", ROUND(G331*100,0)&lt;=15,"High")</f>
        <v>Medium</v>
      </c>
      <c r="O331" s="22" t="str">
        <f>TEXT(Table1[[#This Row],[Order date]],"mmmm")</f>
        <v>May</v>
      </c>
    </row>
    <row r="332" spans="1:15" ht="13.5" x14ac:dyDescent="0.25">
      <c r="A332" s="1" t="str">
        <f>"ORD"&amp;"-"&amp;_xlfn.XLOOKUP(C332,Guide!$B$22:$B$26,Guide!$C$22:$C$26)&amp;"-"&amp;_xlfn.XLOOKUP(D332,Guide!$B$29:$B$33,Guide!$C$29:$C$33)&amp;"-"&amp;TEXT(H332,"yyyymmdd")</f>
        <v>ORD-CND-GOV-20140501</v>
      </c>
      <c r="B332" s="1" t="s">
        <v>375</v>
      </c>
      <c r="C332" s="1" t="s">
        <v>27</v>
      </c>
      <c r="D332" s="1" t="s">
        <v>39</v>
      </c>
      <c r="E332" s="1" t="s">
        <v>75</v>
      </c>
      <c r="F332" s="2">
        <v>257</v>
      </c>
      <c r="G332" s="4">
        <v>7.9999999999999988E-2</v>
      </c>
      <c r="H332" s="3">
        <f t="shared" si="15"/>
        <v>41760</v>
      </c>
      <c r="I332" s="1">
        <f>_xlfn.XLOOKUP(E332,Product!$A$2:$A$7,Product!$C$2:$C$7)</f>
        <v>20</v>
      </c>
      <c r="J332" s="22">
        <f t="shared" si="16"/>
        <v>5140</v>
      </c>
      <c r="K332" s="22">
        <f t="shared" si="17"/>
        <v>4728.8</v>
      </c>
      <c r="L332" s="22">
        <f>K332-(_xlfn.XLOOKUP(E332,Product!$A$2:$A$7,Product!$B$2:$B$7)*F332)</f>
        <v>2158.8000000000002</v>
      </c>
      <c r="M332">
        <f>YEAR(Table1[[#This Row],[Order date]])</f>
        <v>2014</v>
      </c>
      <c r="N332" s="22" t="str" cm="1">
        <f t="array" ref="N332">_xlfn.IFS(G332=0,"No Discount", ROUND(G332*100,0)&lt;=4,"Low", ROUND(G332*100,0)&lt;=9,"Medium", ROUND(G332*100,0)&lt;=15,"High")</f>
        <v>Medium</v>
      </c>
      <c r="O332" s="22" t="str">
        <f>TEXT(Table1[[#This Row],[Order date]],"mmmm")</f>
        <v>May</v>
      </c>
    </row>
    <row r="333" spans="1:15" ht="13.5" x14ac:dyDescent="0.25">
      <c r="A333" s="1" t="str">
        <f>"ORD"&amp;"-"&amp;_xlfn.XLOOKUP(C333,Guide!$B$22:$B$26,Guide!$C$22:$C$26)&amp;"-"&amp;_xlfn.XLOOKUP(D333,Guide!$B$29:$B$33,Guide!$C$29:$C$33)&amp;"-"&amp;TEXT(H333,"yyyymmdd")</f>
        <v>ORD-GER-GOV-20140501</v>
      </c>
      <c r="B333" s="1" t="s">
        <v>376</v>
      </c>
      <c r="C333" s="1" t="s">
        <v>29</v>
      </c>
      <c r="D333" s="1" t="s">
        <v>39</v>
      </c>
      <c r="E333" s="1" t="s">
        <v>75</v>
      </c>
      <c r="F333" s="2">
        <v>1095</v>
      </c>
      <c r="G333" s="4">
        <v>0.08</v>
      </c>
      <c r="H333" s="3">
        <f t="shared" si="15"/>
        <v>41760</v>
      </c>
      <c r="I333" s="1">
        <f>_xlfn.XLOOKUP(E333,Product!$A$2:$A$7,Product!$C$2:$C$7)</f>
        <v>20</v>
      </c>
      <c r="J333" s="22">
        <f t="shared" si="16"/>
        <v>21900</v>
      </c>
      <c r="K333" s="22">
        <f t="shared" si="17"/>
        <v>20148</v>
      </c>
      <c r="L333" s="22">
        <f>K333-(_xlfn.XLOOKUP(E333,Product!$A$2:$A$7,Product!$B$2:$B$7)*F333)</f>
        <v>9198</v>
      </c>
      <c r="M333">
        <f>YEAR(Table1[[#This Row],[Order date]])</f>
        <v>2014</v>
      </c>
      <c r="N333" s="22" t="str" cm="1">
        <f t="array" ref="N333">_xlfn.IFS(G333=0,"No Discount", ROUND(G333*100,0)&lt;=4,"Low", ROUND(G333*100,0)&lt;=9,"Medium", ROUND(G333*100,0)&lt;=15,"High")</f>
        <v>Medium</v>
      </c>
      <c r="O333" s="22" t="str">
        <f>TEXT(Table1[[#This Row],[Order date]],"mmmm")</f>
        <v>May</v>
      </c>
    </row>
    <row r="334" spans="1:15" ht="13.5" x14ac:dyDescent="0.25">
      <c r="A334" s="1" t="str">
        <f>"ORD"&amp;"-"&amp;_xlfn.XLOOKUP(C334,Guide!$B$22:$B$26,Guide!$C$22:$C$26)&amp;"-"&amp;_xlfn.XLOOKUP(D334,Guide!$B$29:$B$33,Guide!$C$29:$C$33)&amp;"-"&amp;TEXT(H334,"yyyymmdd")</f>
        <v>ORD-MXC-MDM-20140501</v>
      </c>
      <c r="B334" s="1" t="s">
        <v>377</v>
      </c>
      <c r="C334" s="1" t="s">
        <v>33</v>
      </c>
      <c r="D334" s="1" t="s">
        <v>41</v>
      </c>
      <c r="E334" s="1" t="s">
        <v>88</v>
      </c>
      <c r="F334" s="2">
        <v>245</v>
      </c>
      <c r="G334" s="4">
        <v>0.09</v>
      </c>
      <c r="H334" s="3">
        <f t="shared" si="15"/>
        <v>41760</v>
      </c>
      <c r="I334" s="1">
        <f>_xlfn.XLOOKUP(E334,Product!$A$2:$A$7,Product!$C$2:$C$7)</f>
        <v>180</v>
      </c>
      <c r="J334" s="22">
        <f t="shared" si="16"/>
        <v>44100</v>
      </c>
      <c r="K334" s="22">
        <f t="shared" si="17"/>
        <v>40131</v>
      </c>
      <c r="L334" s="22">
        <f>K334-(_xlfn.XLOOKUP(E334,Product!$A$2:$A$7,Product!$B$2:$B$7)*F334)</f>
        <v>10731</v>
      </c>
      <c r="M334">
        <f>YEAR(Table1[[#This Row],[Order date]])</f>
        <v>2014</v>
      </c>
      <c r="N334" s="22" t="str" cm="1">
        <f t="array" ref="N334">_xlfn.IFS(G334=0,"No Discount", ROUND(G334*100,0)&lt;=4,"Low", ROUND(G334*100,0)&lt;=9,"Medium", ROUND(G334*100,0)&lt;=15,"High")</f>
        <v>Medium</v>
      </c>
      <c r="O334" s="22" t="str">
        <f>TEXT(Table1[[#This Row],[Order date]],"mmmm")</f>
        <v>May</v>
      </c>
    </row>
    <row r="335" spans="1:15" ht="13.5" x14ac:dyDescent="0.25">
      <c r="A335" s="1" t="str">
        <f>"ORD"&amp;"-"&amp;_xlfn.XLOOKUP(C335,Guide!$B$22:$B$26,Guide!$C$22:$C$26)&amp;"-"&amp;_xlfn.XLOOKUP(D335,Guide!$B$29:$B$33,Guide!$C$29:$C$33)&amp;"-"&amp;TEXT(H335,"yyyymmdd")</f>
        <v>ORD-FRA-GOV-20140501</v>
      </c>
      <c r="B335" s="1" t="s">
        <v>378</v>
      </c>
      <c r="C335" s="1" t="s">
        <v>31</v>
      </c>
      <c r="D335" s="1" t="s">
        <v>39</v>
      </c>
      <c r="E335" s="1" t="s">
        <v>82</v>
      </c>
      <c r="F335" s="2">
        <v>1666</v>
      </c>
      <c r="G335" s="4">
        <v>0.09</v>
      </c>
      <c r="H335" s="3">
        <f t="shared" si="15"/>
        <v>41760</v>
      </c>
      <c r="I335" s="1">
        <f>_xlfn.XLOOKUP(E335,Product!$A$2:$A$7,Product!$C$2:$C$7)</f>
        <v>15</v>
      </c>
      <c r="J335" s="22">
        <f t="shared" si="16"/>
        <v>24990</v>
      </c>
      <c r="K335" s="22">
        <f t="shared" si="17"/>
        <v>22740.9</v>
      </c>
      <c r="L335" s="22">
        <f>K335-(_xlfn.XLOOKUP(E335,Product!$A$2:$A$7,Product!$B$2:$B$7)*F335)</f>
        <v>14410.900000000001</v>
      </c>
      <c r="M335">
        <f>YEAR(Table1[[#This Row],[Order date]])</f>
        <v>2014</v>
      </c>
      <c r="N335" s="22" t="str" cm="1">
        <f t="array" ref="N335">_xlfn.IFS(G335=0,"No Discount", ROUND(G335*100,0)&lt;=4,"Low", ROUND(G335*100,0)&lt;=9,"Medium", ROUND(G335*100,0)&lt;=15,"High")</f>
        <v>Medium</v>
      </c>
      <c r="O335" s="22" t="str">
        <f>TEXT(Table1[[#This Row],[Order date]],"mmmm")</f>
        <v>May</v>
      </c>
    </row>
    <row r="336" spans="1:15" ht="13.5" x14ac:dyDescent="0.25">
      <c r="A336" s="1" t="str">
        <f>"ORD"&amp;"-"&amp;_xlfn.XLOOKUP(C336,Guide!$B$22:$B$26,Guide!$C$22:$C$26)&amp;"-"&amp;_xlfn.XLOOKUP(D336,Guide!$B$29:$B$33,Guide!$C$29:$C$33)&amp;"-"&amp;TEXT(H336,"yyyymmdd")</f>
        <v>ORD-GER-CPR-20140501</v>
      </c>
      <c r="B336" s="1" t="s">
        <v>379</v>
      </c>
      <c r="C336" s="1" t="s">
        <v>29</v>
      </c>
      <c r="D336" s="1" t="s">
        <v>43</v>
      </c>
      <c r="E336" s="1" t="s">
        <v>78</v>
      </c>
      <c r="F336" s="2">
        <v>880</v>
      </c>
      <c r="G336" s="4">
        <v>0.09</v>
      </c>
      <c r="H336" s="3">
        <f t="shared" si="15"/>
        <v>41760</v>
      </c>
      <c r="I336" s="1">
        <f>_xlfn.XLOOKUP(E336,Product!$A$2:$A$7,Product!$C$2:$C$7)</f>
        <v>300</v>
      </c>
      <c r="J336" s="22">
        <f t="shared" si="16"/>
        <v>264000</v>
      </c>
      <c r="K336" s="22">
        <f t="shared" si="17"/>
        <v>240240</v>
      </c>
      <c r="L336" s="22">
        <f>K336-(_xlfn.XLOOKUP(E336,Product!$A$2:$A$7,Product!$B$2:$B$7)*F336)</f>
        <v>20240</v>
      </c>
      <c r="M336">
        <f>YEAR(Table1[[#This Row],[Order date]])</f>
        <v>2014</v>
      </c>
      <c r="N336" s="22" t="str" cm="1">
        <f t="array" ref="N336">_xlfn.IFS(G336=0,"No Discount", ROUND(G336*100,0)&lt;=4,"Low", ROUND(G336*100,0)&lt;=9,"Medium", ROUND(G336*100,0)&lt;=15,"High")</f>
        <v>Medium</v>
      </c>
      <c r="O336" s="22" t="str">
        <f>TEXT(Table1[[#This Row],[Order date]],"mmmm")</f>
        <v>May</v>
      </c>
    </row>
    <row r="337" spans="1:15" ht="13.5" x14ac:dyDescent="0.25">
      <c r="A337" s="1" t="str">
        <f>"ORD"&amp;"-"&amp;_xlfn.XLOOKUP(C337,Guide!$B$22:$B$26,Guide!$C$22:$C$26)&amp;"-"&amp;_xlfn.XLOOKUP(D337,Guide!$B$29:$B$33,Guide!$C$29:$C$33)&amp;"-"&amp;TEXT(H337,"yyyymmdd")</f>
        <v>ORD-GER-GOV-20140501</v>
      </c>
      <c r="B337" s="1" t="s">
        <v>380</v>
      </c>
      <c r="C337" s="1" t="s">
        <v>29</v>
      </c>
      <c r="D337" s="1" t="s">
        <v>39</v>
      </c>
      <c r="E337" s="1" t="s">
        <v>80</v>
      </c>
      <c r="F337" s="2">
        <v>663</v>
      </c>
      <c r="G337" s="4">
        <v>9.0000000000000011E-2</v>
      </c>
      <c r="H337" s="3">
        <f t="shared" si="15"/>
        <v>41760</v>
      </c>
      <c r="I337" s="1">
        <f>_xlfn.XLOOKUP(E337,Product!$A$2:$A$7,Product!$C$2:$C$7)</f>
        <v>20</v>
      </c>
      <c r="J337" s="22">
        <f t="shared" si="16"/>
        <v>13260</v>
      </c>
      <c r="K337" s="22">
        <f t="shared" si="17"/>
        <v>12066.6</v>
      </c>
      <c r="L337" s="22">
        <f>K337-(_xlfn.XLOOKUP(E337,Product!$A$2:$A$7,Product!$B$2:$B$7)*F337)</f>
        <v>10077.6</v>
      </c>
      <c r="M337">
        <f>YEAR(Table1[[#This Row],[Order date]])</f>
        <v>2014</v>
      </c>
      <c r="N337" s="22" t="str" cm="1">
        <f t="array" ref="N337">_xlfn.IFS(G337=0,"No Discount", ROUND(G337*100,0)&lt;=4,"Low", ROUND(G337*100,0)&lt;=9,"Medium", ROUND(G337*100,0)&lt;=15,"High")</f>
        <v>Medium</v>
      </c>
      <c r="O337" s="22" t="str">
        <f>TEXT(Table1[[#This Row],[Order date]],"mmmm")</f>
        <v>May</v>
      </c>
    </row>
    <row r="338" spans="1:15" ht="13.5" x14ac:dyDescent="0.25">
      <c r="A338" s="1" t="str">
        <f>"ORD"&amp;"-"&amp;_xlfn.XLOOKUP(C338,Guide!$B$22:$B$26,Guide!$C$22:$C$26)&amp;"-"&amp;_xlfn.XLOOKUP(D338,Guide!$B$29:$B$33,Guide!$C$29:$C$33)&amp;"-"&amp;TEXT(H338,"yyyymmdd")</f>
        <v>ORD-MXC-SMB-20140501</v>
      </c>
      <c r="B338" s="1" t="s">
        <v>381</v>
      </c>
      <c r="C338" s="1" t="s">
        <v>33</v>
      </c>
      <c r="D338" s="1" t="s">
        <v>47</v>
      </c>
      <c r="E338" s="1" t="s">
        <v>75</v>
      </c>
      <c r="F338" s="2">
        <v>591</v>
      </c>
      <c r="G338" s="4">
        <v>0.1</v>
      </c>
      <c r="H338" s="3">
        <f t="shared" si="15"/>
        <v>41760</v>
      </c>
      <c r="I338" s="1">
        <f>_xlfn.XLOOKUP(E338,Product!$A$2:$A$7,Product!$C$2:$C$7)</f>
        <v>20</v>
      </c>
      <c r="J338" s="22">
        <f t="shared" si="16"/>
        <v>11820</v>
      </c>
      <c r="K338" s="22">
        <f t="shared" si="17"/>
        <v>10638</v>
      </c>
      <c r="L338" s="22">
        <f>K338-(_xlfn.XLOOKUP(E338,Product!$A$2:$A$7,Product!$B$2:$B$7)*F338)</f>
        <v>4728</v>
      </c>
      <c r="M338">
        <f>YEAR(Table1[[#This Row],[Order date]])</f>
        <v>2014</v>
      </c>
      <c r="N338" s="22" t="str" cm="1">
        <f t="array" ref="N338">_xlfn.IFS(G338=0,"No Discount", ROUND(G338*100,0)&lt;=4,"Low", ROUND(G338*100,0)&lt;=9,"Medium", ROUND(G338*100,0)&lt;=15,"High")</f>
        <v>High</v>
      </c>
      <c r="O338" s="22" t="str">
        <f>TEXT(Table1[[#This Row],[Order date]],"mmmm")</f>
        <v>May</v>
      </c>
    </row>
    <row r="339" spans="1:15" ht="13.5" x14ac:dyDescent="0.25">
      <c r="A339" s="1" t="str">
        <f>"ORD"&amp;"-"&amp;_xlfn.XLOOKUP(C339,Guide!$B$22:$B$26,Guide!$C$22:$C$26)&amp;"-"&amp;_xlfn.XLOOKUP(D339,Guide!$B$29:$B$33,Guide!$C$29:$C$33)&amp;"-"&amp;TEXT(H339,"yyyymmdd")</f>
        <v>ORD-MXC-ENT-20140501</v>
      </c>
      <c r="B339" s="1" t="s">
        <v>382</v>
      </c>
      <c r="C339" s="1" t="s">
        <v>33</v>
      </c>
      <c r="D339" s="1" t="s">
        <v>45</v>
      </c>
      <c r="E339" s="1" t="s">
        <v>78</v>
      </c>
      <c r="F339" s="2">
        <v>341</v>
      </c>
      <c r="G339" s="4">
        <v>0.1</v>
      </c>
      <c r="H339" s="3">
        <f t="shared" si="15"/>
        <v>41760</v>
      </c>
      <c r="I339" s="1">
        <f>_xlfn.XLOOKUP(E339,Product!$A$2:$A$7,Product!$C$2:$C$7)</f>
        <v>300</v>
      </c>
      <c r="J339" s="22">
        <f t="shared" si="16"/>
        <v>102300</v>
      </c>
      <c r="K339" s="22">
        <f t="shared" si="17"/>
        <v>92070</v>
      </c>
      <c r="L339" s="22">
        <f>K339-(_xlfn.XLOOKUP(E339,Product!$A$2:$A$7,Product!$B$2:$B$7)*F339)</f>
        <v>6820</v>
      </c>
      <c r="M339">
        <f>YEAR(Table1[[#This Row],[Order date]])</f>
        <v>2014</v>
      </c>
      <c r="N339" s="22" t="str" cm="1">
        <f t="array" ref="N339">_xlfn.IFS(G339=0,"No Discount", ROUND(G339*100,0)&lt;=4,"Low", ROUND(G339*100,0)&lt;=9,"Medium", ROUND(G339*100,0)&lt;=15,"High")</f>
        <v>High</v>
      </c>
      <c r="O339" s="22" t="str">
        <f>TEXT(Table1[[#This Row],[Order date]],"mmmm")</f>
        <v>May</v>
      </c>
    </row>
    <row r="340" spans="1:15" ht="13.5" x14ac:dyDescent="0.25">
      <c r="A340" s="1" t="str">
        <f>"ORD"&amp;"-"&amp;_xlfn.XLOOKUP(C340,Guide!$B$22:$B$26,Guide!$C$22:$C$26)&amp;"-"&amp;_xlfn.XLOOKUP(D340,Guide!$B$29:$B$33,Guide!$C$29:$C$33)&amp;"-"&amp;TEXT(H340,"yyyymmdd")</f>
        <v>ORD-USA-GOV-20140501</v>
      </c>
      <c r="B340" s="1" t="s">
        <v>383</v>
      </c>
      <c r="C340" s="1" t="s">
        <v>35</v>
      </c>
      <c r="D340" s="1" t="s">
        <v>39</v>
      </c>
      <c r="E340" s="1" t="s">
        <v>82</v>
      </c>
      <c r="F340" s="2">
        <v>2313</v>
      </c>
      <c r="G340" s="4">
        <v>0.1</v>
      </c>
      <c r="H340" s="3">
        <f t="shared" si="15"/>
        <v>41760</v>
      </c>
      <c r="I340" s="1">
        <f>_xlfn.XLOOKUP(E340,Product!$A$2:$A$7,Product!$C$2:$C$7)</f>
        <v>15</v>
      </c>
      <c r="J340" s="22">
        <f t="shared" si="16"/>
        <v>34695</v>
      </c>
      <c r="K340" s="22">
        <f t="shared" si="17"/>
        <v>31225.5</v>
      </c>
      <c r="L340" s="22">
        <f>K340-(_xlfn.XLOOKUP(E340,Product!$A$2:$A$7,Product!$B$2:$B$7)*F340)</f>
        <v>19660.5</v>
      </c>
      <c r="M340">
        <f>YEAR(Table1[[#This Row],[Order date]])</f>
        <v>2014</v>
      </c>
      <c r="N340" s="22" t="str" cm="1">
        <f t="array" ref="N340">_xlfn.IFS(G340=0,"No Discount", ROUND(G340*100,0)&lt;=4,"Low", ROUND(G340*100,0)&lt;=9,"Medium", ROUND(G340*100,0)&lt;=15,"High")</f>
        <v>High</v>
      </c>
      <c r="O340" s="22" t="str">
        <f>TEXT(Table1[[#This Row],[Order date]],"mmmm")</f>
        <v>May</v>
      </c>
    </row>
    <row r="341" spans="1:15" ht="13.5" x14ac:dyDescent="0.25">
      <c r="A341" s="1" t="str">
        <f>"ORD"&amp;"-"&amp;_xlfn.XLOOKUP(C341,Guide!$B$22:$B$26,Guide!$C$22:$C$26)&amp;"-"&amp;_xlfn.XLOOKUP(D341,Guide!$B$29:$B$33,Guide!$C$29:$C$33)&amp;"-"&amp;TEXT(H341,"yyyymmdd")</f>
        <v>ORD-USA-MDM-20140501</v>
      </c>
      <c r="B341" s="1" t="s">
        <v>384</v>
      </c>
      <c r="C341" s="1" t="s">
        <v>35</v>
      </c>
      <c r="D341" s="1" t="s">
        <v>41</v>
      </c>
      <c r="E341" s="1" t="s">
        <v>88</v>
      </c>
      <c r="F341" s="2">
        <v>790</v>
      </c>
      <c r="G341" s="4">
        <v>0.1</v>
      </c>
      <c r="H341" s="3">
        <f t="shared" si="15"/>
        <v>41760</v>
      </c>
      <c r="I341" s="1">
        <f>_xlfn.XLOOKUP(E341,Product!$A$2:$A$7,Product!$C$2:$C$7)</f>
        <v>180</v>
      </c>
      <c r="J341" s="22">
        <f t="shared" si="16"/>
        <v>142200</v>
      </c>
      <c r="K341" s="22">
        <f t="shared" si="17"/>
        <v>127980</v>
      </c>
      <c r="L341" s="22">
        <f>K341-(_xlfn.XLOOKUP(E341,Product!$A$2:$A$7,Product!$B$2:$B$7)*F341)</f>
        <v>33180</v>
      </c>
      <c r="M341">
        <f>YEAR(Table1[[#This Row],[Order date]])</f>
        <v>2014</v>
      </c>
      <c r="N341" s="22" t="str" cm="1">
        <f t="array" ref="N341">_xlfn.IFS(G341=0,"No Discount", ROUND(G341*100,0)&lt;=4,"Low", ROUND(G341*100,0)&lt;=9,"Medium", ROUND(G341*100,0)&lt;=15,"High")</f>
        <v>High</v>
      </c>
      <c r="O341" s="22" t="str">
        <f>TEXT(Table1[[#This Row],[Order date]],"mmmm")</f>
        <v>May</v>
      </c>
    </row>
    <row r="342" spans="1:15" ht="13.5" x14ac:dyDescent="0.25">
      <c r="A342" s="1" t="str">
        <f>"ORD"&amp;"-"&amp;_xlfn.XLOOKUP(C342,Guide!$B$22:$B$26,Guide!$C$22:$C$26)&amp;"-"&amp;_xlfn.XLOOKUP(D342,Guide!$B$29:$B$33,Guide!$C$29:$C$33)&amp;"-"&amp;TEXT(H342,"yyyymmdd")</f>
        <v>ORD-MXC-GOV-20140501</v>
      </c>
      <c r="B342" s="1" t="s">
        <v>385</v>
      </c>
      <c r="C342" s="1" t="s">
        <v>33</v>
      </c>
      <c r="D342" s="1" t="s">
        <v>39</v>
      </c>
      <c r="E342" s="1" t="s">
        <v>84</v>
      </c>
      <c r="F342" s="2">
        <v>2039</v>
      </c>
      <c r="G342" s="4">
        <v>0.1</v>
      </c>
      <c r="H342" s="3">
        <f t="shared" si="15"/>
        <v>41760</v>
      </c>
      <c r="I342" s="1">
        <f>_xlfn.XLOOKUP(E342,Product!$A$2:$A$7,Product!$C$2:$C$7)</f>
        <v>350</v>
      </c>
      <c r="J342" s="22">
        <f t="shared" si="16"/>
        <v>713650</v>
      </c>
      <c r="K342" s="22">
        <f t="shared" si="17"/>
        <v>642285</v>
      </c>
      <c r="L342" s="22">
        <f>K342-(_xlfn.XLOOKUP(E342,Product!$A$2:$A$7,Product!$B$2:$B$7)*F342)</f>
        <v>234485</v>
      </c>
      <c r="M342">
        <f>YEAR(Table1[[#This Row],[Order date]])</f>
        <v>2014</v>
      </c>
      <c r="N342" s="22" t="str" cm="1">
        <f t="array" ref="N342">_xlfn.IFS(G342=0,"No Discount", ROUND(G342*100,0)&lt;=4,"Low", ROUND(G342*100,0)&lt;=9,"Medium", ROUND(G342*100,0)&lt;=15,"High")</f>
        <v>High</v>
      </c>
      <c r="O342" s="22" t="str">
        <f>TEXT(Table1[[#This Row],[Order date]],"mmmm")</f>
        <v>May</v>
      </c>
    </row>
    <row r="343" spans="1:15" ht="13.5" x14ac:dyDescent="0.25">
      <c r="A343" s="1" t="str">
        <f>"ORD"&amp;"-"&amp;_xlfn.XLOOKUP(C343,Guide!$B$22:$B$26,Guide!$C$22:$C$26)&amp;"-"&amp;_xlfn.XLOOKUP(D343,Guide!$B$29:$B$33,Guide!$C$29:$C$33)&amp;"-"&amp;TEXT(H343,"yyyymmdd")</f>
        <v>ORD-FRA-ENT-20140501</v>
      </c>
      <c r="B343" s="1" t="s">
        <v>386</v>
      </c>
      <c r="C343" s="1" t="s">
        <v>31</v>
      </c>
      <c r="D343" s="1" t="s">
        <v>45</v>
      </c>
      <c r="E343" s="1" t="s">
        <v>84</v>
      </c>
      <c r="F343" s="2">
        <v>1433</v>
      </c>
      <c r="G343" s="4">
        <v>0.11</v>
      </c>
      <c r="H343" s="3">
        <f t="shared" si="15"/>
        <v>41760</v>
      </c>
      <c r="I343" s="1">
        <f>_xlfn.XLOOKUP(E343,Product!$A$2:$A$7,Product!$C$2:$C$7)</f>
        <v>350</v>
      </c>
      <c r="J343" s="22">
        <f t="shared" si="16"/>
        <v>501550</v>
      </c>
      <c r="K343" s="22">
        <f t="shared" si="17"/>
        <v>446379.5</v>
      </c>
      <c r="L343" s="22">
        <f>K343-(_xlfn.XLOOKUP(E343,Product!$A$2:$A$7,Product!$B$2:$B$7)*F343)</f>
        <v>159779.5</v>
      </c>
      <c r="M343">
        <f>YEAR(Table1[[#This Row],[Order date]])</f>
        <v>2014</v>
      </c>
      <c r="N343" s="22" t="str" cm="1">
        <f t="array" ref="N343">_xlfn.IFS(G343=0,"No Discount", ROUND(G343*100,0)&lt;=4,"Low", ROUND(G343*100,0)&lt;=9,"Medium", ROUND(G343*100,0)&lt;=15,"High")</f>
        <v>High</v>
      </c>
      <c r="O343" s="22" t="str">
        <f>TEXT(Table1[[#This Row],[Order date]],"mmmm")</f>
        <v>May</v>
      </c>
    </row>
    <row r="344" spans="1:15" ht="13.5" x14ac:dyDescent="0.25">
      <c r="A344" s="1" t="str">
        <f>"ORD"&amp;"-"&amp;_xlfn.XLOOKUP(C344,Guide!$B$22:$B$26,Guide!$C$22:$C$26)&amp;"-"&amp;_xlfn.XLOOKUP(D344,Guide!$B$29:$B$33,Guide!$C$29:$C$33)&amp;"-"&amp;TEXT(H344,"yyyymmdd")</f>
        <v>ORD-CND-CPR-20140501</v>
      </c>
      <c r="B344" s="1" t="s">
        <v>387</v>
      </c>
      <c r="C344" s="1" t="s">
        <v>27</v>
      </c>
      <c r="D344" s="1" t="s">
        <v>43</v>
      </c>
      <c r="E344" s="1" t="s">
        <v>78</v>
      </c>
      <c r="F344" s="2">
        <v>2109</v>
      </c>
      <c r="G344" s="4">
        <v>0.12</v>
      </c>
      <c r="H344" s="3">
        <f t="shared" si="15"/>
        <v>41760</v>
      </c>
      <c r="I344" s="1">
        <f>_xlfn.XLOOKUP(E344,Product!$A$2:$A$7,Product!$C$2:$C$7)</f>
        <v>300</v>
      </c>
      <c r="J344" s="22">
        <f t="shared" si="16"/>
        <v>632700</v>
      </c>
      <c r="K344" s="22">
        <f t="shared" si="17"/>
        <v>556776</v>
      </c>
      <c r="L344" s="22">
        <f>K344-(_xlfn.XLOOKUP(E344,Product!$A$2:$A$7,Product!$B$2:$B$7)*F344)</f>
        <v>29526</v>
      </c>
      <c r="M344">
        <f>YEAR(Table1[[#This Row],[Order date]])</f>
        <v>2014</v>
      </c>
      <c r="N344" s="22" t="str" cm="1">
        <f t="array" ref="N344">_xlfn.IFS(G344=0,"No Discount", ROUND(G344*100,0)&lt;=4,"Low", ROUND(G344*100,0)&lt;=9,"Medium", ROUND(G344*100,0)&lt;=15,"High")</f>
        <v>High</v>
      </c>
      <c r="O344" s="22" t="str">
        <f>TEXT(Table1[[#This Row],[Order date]],"mmmm")</f>
        <v>May</v>
      </c>
    </row>
    <row r="345" spans="1:15" ht="13.5" x14ac:dyDescent="0.25">
      <c r="A345" s="1" t="str">
        <f>"ORD"&amp;"-"&amp;_xlfn.XLOOKUP(C345,Guide!$B$22:$B$26,Guide!$C$22:$C$26)&amp;"-"&amp;_xlfn.XLOOKUP(D345,Guide!$B$29:$B$33,Guide!$C$29:$C$33)&amp;"-"&amp;TEXT(H345,"yyyymmdd")</f>
        <v>ORD-MXC-CPR-20140501</v>
      </c>
      <c r="B345" s="1" t="s">
        <v>388</v>
      </c>
      <c r="C345" s="1" t="s">
        <v>33</v>
      </c>
      <c r="D345" s="1" t="s">
        <v>43</v>
      </c>
      <c r="E345" s="1" t="s">
        <v>82</v>
      </c>
      <c r="F345" s="2">
        <v>2661</v>
      </c>
      <c r="G345" s="4">
        <v>0.12000000000000001</v>
      </c>
      <c r="H345" s="3">
        <f t="shared" si="15"/>
        <v>41760</v>
      </c>
      <c r="I345" s="1">
        <f>_xlfn.XLOOKUP(E345,Product!$A$2:$A$7,Product!$C$2:$C$7)</f>
        <v>15</v>
      </c>
      <c r="J345" s="22">
        <f t="shared" si="16"/>
        <v>39915</v>
      </c>
      <c r="K345" s="22">
        <f t="shared" si="17"/>
        <v>35125.199999999997</v>
      </c>
      <c r="L345" s="22">
        <f>K345-(_xlfn.XLOOKUP(E345,Product!$A$2:$A$7,Product!$B$2:$B$7)*F345)</f>
        <v>21820.199999999997</v>
      </c>
      <c r="M345">
        <f>YEAR(Table1[[#This Row],[Order date]])</f>
        <v>2014</v>
      </c>
      <c r="N345" s="22" t="str" cm="1">
        <f t="array" ref="N345">_xlfn.IFS(G345=0,"No Discount", ROUND(G345*100,0)&lt;=4,"Low", ROUND(G345*100,0)&lt;=9,"Medium", ROUND(G345*100,0)&lt;=15,"High")</f>
        <v>High</v>
      </c>
      <c r="O345" s="22" t="str">
        <f>TEXT(Table1[[#This Row],[Order date]],"mmmm")</f>
        <v>May</v>
      </c>
    </row>
    <row r="346" spans="1:15" ht="13.5" x14ac:dyDescent="0.25">
      <c r="A346" s="1" t="str">
        <f>"ORD"&amp;"-"&amp;_xlfn.XLOOKUP(C346,Guide!$B$22:$B$26,Guide!$C$22:$C$26)&amp;"-"&amp;_xlfn.XLOOKUP(D346,Guide!$B$29:$B$33,Guide!$C$29:$C$33)&amp;"-"&amp;TEXT(H346,"yyyymmdd")</f>
        <v>ORD-USA-GOV-20140501</v>
      </c>
      <c r="B346" s="1" t="s">
        <v>389</v>
      </c>
      <c r="C346" s="1" t="s">
        <v>35</v>
      </c>
      <c r="D346" s="1" t="s">
        <v>39</v>
      </c>
      <c r="E346" s="1" t="s">
        <v>80</v>
      </c>
      <c r="F346" s="2">
        <v>1743</v>
      </c>
      <c r="G346" s="4">
        <v>0.13999999999999999</v>
      </c>
      <c r="H346" s="3">
        <f t="shared" si="15"/>
        <v>41760</v>
      </c>
      <c r="I346" s="1">
        <f>_xlfn.XLOOKUP(E346,Product!$A$2:$A$7,Product!$C$2:$C$7)</f>
        <v>20</v>
      </c>
      <c r="J346" s="22">
        <f t="shared" si="16"/>
        <v>34860</v>
      </c>
      <c r="K346" s="22">
        <f t="shared" si="17"/>
        <v>29979.599999999999</v>
      </c>
      <c r="L346" s="22">
        <f>K346-(_xlfn.XLOOKUP(E346,Product!$A$2:$A$7,Product!$B$2:$B$7)*F346)</f>
        <v>24750.6</v>
      </c>
      <c r="M346">
        <f>YEAR(Table1[[#This Row],[Order date]])</f>
        <v>2014</v>
      </c>
      <c r="N346" s="22" t="str" cm="1">
        <f t="array" ref="N346">_xlfn.IFS(G346=0,"No Discount", ROUND(G346*100,0)&lt;=4,"Low", ROUND(G346*100,0)&lt;=9,"Medium", ROUND(G346*100,0)&lt;=15,"High")</f>
        <v>High</v>
      </c>
      <c r="O346" s="22" t="str">
        <f>TEXT(Table1[[#This Row],[Order date]],"mmmm")</f>
        <v>May</v>
      </c>
    </row>
    <row r="347" spans="1:15" ht="13.5" x14ac:dyDescent="0.25">
      <c r="A347" s="1" t="str">
        <f>"ORD"&amp;"-"&amp;_xlfn.XLOOKUP(C347,Guide!$B$22:$B$26,Guide!$C$22:$C$26)&amp;"-"&amp;_xlfn.XLOOKUP(D347,Guide!$B$29:$B$33,Guide!$C$29:$C$33)&amp;"-"&amp;TEXT(H347,"yyyymmdd")</f>
        <v>ORD-CND-GOV-20140501</v>
      </c>
      <c r="B347" s="1" t="s">
        <v>390</v>
      </c>
      <c r="C347" s="1" t="s">
        <v>27</v>
      </c>
      <c r="D347" s="1" t="s">
        <v>39</v>
      </c>
      <c r="E347" s="1" t="s">
        <v>82</v>
      </c>
      <c r="F347" s="2">
        <v>200</v>
      </c>
      <c r="G347" s="4">
        <v>0.14000000000000001</v>
      </c>
      <c r="H347" s="3">
        <f t="shared" si="15"/>
        <v>41760</v>
      </c>
      <c r="I347" s="1">
        <f>_xlfn.XLOOKUP(E347,Product!$A$2:$A$7,Product!$C$2:$C$7)</f>
        <v>15</v>
      </c>
      <c r="J347" s="22">
        <f t="shared" si="16"/>
        <v>3000</v>
      </c>
      <c r="K347" s="22">
        <f t="shared" si="17"/>
        <v>2580</v>
      </c>
      <c r="L347" s="22">
        <f>K347-(_xlfn.XLOOKUP(E347,Product!$A$2:$A$7,Product!$B$2:$B$7)*F347)</f>
        <v>1580</v>
      </c>
      <c r="M347">
        <f>YEAR(Table1[[#This Row],[Order date]])</f>
        <v>2014</v>
      </c>
      <c r="N347" s="22" t="str" cm="1">
        <f t="array" ref="N347">_xlfn.IFS(G347=0,"No Discount", ROUND(G347*100,0)&lt;=4,"Low", ROUND(G347*100,0)&lt;=9,"Medium", ROUND(G347*100,0)&lt;=15,"High")</f>
        <v>High</v>
      </c>
      <c r="O347" s="22" t="str">
        <f>TEXT(Table1[[#This Row],[Order date]],"mmmm")</f>
        <v>May</v>
      </c>
    </row>
    <row r="348" spans="1:15" ht="13.5" x14ac:dyDescent="0.25">
      <c r="A348" s="1" t="str">
        <f>"ORD"&amp;"-"&amp;_xlfn.XLOOKUP(C348,Guide!$B$22:$B$26,Guide!$C$22:$C$26)&amp;"-"&amp;_xlfn.XLOOKUP(D348,Guide!$B$29:$B$33,Guide!$C$29:$C$33)&amp;"-"&amp;TEXT(H348,"yyyymmdd")</f>
        <v>ORD-USA-ENT-20140501</v>
      </c>
      <c r="B348" s="1" t="s">
        <v>391</v>
      </c>
      <c r="C348" s="1" t="s">
        <v>35</v>
      </c>
      <c r="D348" s="1" t="s">
        <v>45</v>
      </c>
      <c r="E348" s="1" t="s">
        <v>84</v>
      </c>
      <c r="F348" s="2">
        <v>2844</v>
      </c>
      <c r="G348" s="4">
        <v>0.14000000000000001</v>
      </c>
      <c r="H348" s="3">
        <f t="shared" si="15"/>
        <v>41760</v>
      </c>
      <c r="I348" s="1">
        <f>_xlfn.XLOOKUP(E348,Product!$A$2:$A$7,Product!$C$2:$C$7)</f>
        <v>350</v>
      </c>
      <c r="J348" s="22">
        <f t="shared" si="16"/>
        <v>995400</v>
      </c>
      <c r="K348" s="22">
        <f t="shared" si="17"/>
        <v>856044</v>
      </c>
      <c r="L348" s="22">
        <f>K348-(_xlfn.XLOOKUP(E348,Product!$A$2:$A$7,Product!$B$2:$B$7)*F348)</f>
        <v>287244</v>
      </c>
      <c r="M348">
        <f>YEAR(Table1[[#This Row],[Order date]])</f>
        <v>2014</v>
      </c>
      <c r="N348" s="22" t="str" cm="1">
        <f t="array" ref="N348">_xlfn.IFS(G348=0,"No Discount", ROUND(G348*100,0)&lt;=4,"Low", ROUND(G348*100,0)&lt;=9,"Medium", ROUND(G348*100,0)&lt;=15,"High")</f>
        <v>High</v>
      </c>
      <c r="O348" s="22" t="str">
        <f>TEXT(Table1[[#This Row],[Order date]],"mmmm")</f>
        <v>May</v>
      </c>
    </row>
    <row r="349" spans="1:15" ht="13.5" x14ac:dyDescent="0.25">
      <c r="A349" s="1" t="str">
        <f>"ORD"&amp;"-"&amp;_xlfn.XLOOKUP(C349,Guide!$B$22:$B$26,Guide!$C$22:$C$26)&amp;"-"&amp;_xlfn.XLOOKUP(D349,Guide!$B$29:$B$33,Guide!$C$29:$C$33)&amp;"-"&amp;TEXT(H349,"yyyymmdd")</f>
        <v>ORD-MXC-GOV-20140501</v>
      </c>
      <c r="B349" s="1" t="s">
        <v>392</v>
      </c>
      <c r="C349" s="1" t="s">
        <v>33</v>
      </c>
      <c r="D349" s="1" t="s">
        <v>39</v>
      </c>
      <c r="E349" s="1" t="s">
        <v>75</v>
      </c>
      <c r="F349" s="2">
        <v>2851</v>
      </c>
      <c r="G349" s="4">
        <v>0.15</v>
      </c>
      <c r="H349" s="3">
        <f t="shared" si="15"/>
        <v>41760</v>
      </c>
      <c r="I349" s="1">
        <f>_xlfn.XLOOKUP(E349,Product!$A$2:$A$7,Product!$C$2:$C$7)</f>
        <v>20</v>
      </c>
      <c r="J349" s="22">
        <f t="shared" si="16"/>
        <v>57020</v>
      </c>
      <c r="K349" s="22">
        <f t="shared" si="17"/>
        <v>48467</v>
      </c>
      <c r="L349" s="22">
        <f>K349-(_xlfn.XLOOKUP(E349,Product!$A$2:$A$7,Product!$B$2:$B$7)*F349)</f>
        <v>19957</v>
      </c>
      <c r="M349">
        <f>YEAR(Table1[[#This Row],[Order date]])</f>
        <v>2014</v>
      </c>
      <c r="N349" s="22" t="str" cm="1">
        <f t="array" ref="N349">_xlfn.IFS(G349=0,"No Discount", ROUND(G349*100,0)&lt;=4,"Low", ROUND(G349*100,0)&lt;=9,"Medium", ROUND(G349*100,0)&lt;=15,"High")</f>
        <v>High</v>
      </c>
      <c r="O349" s="22" t="str">
        <f>TEXT(Table1[[#This Row],[Order date]],"mmmm")</f>
        <v>May</v>
      </c>
    </row>
    <row r="350" spans="1:15" ht="13.5" x14ac:dyDescent="0.25">
      <c r="A350" s="1" t="str">
        <f>"ORD"&amp;"-"&amp;_xlfn.XLOOKUP(C350,Guide!$B$22:$B$26,Guide!$C$22:$C$26)&amp;"-"&amp;_xlfn.XLOOKUP(D350,Guide!$B$29:$B$33,Guide!$C$29:$C$33)&amp;"-"&amp;TEXT(H350,"yyyymmdd")</f>
        <v>ORD-FRA-MDM-20140501</v>
      </c>
      <c r="B350" s="1" t="s">
        <v>393</v>
      </c>
      <c r="C350" s="1" t="s">
        <v>31</v>
      </c>
      <c r="D350" s="1" t="s">
        <v>41</v>
      </c>
      <c r="E350" s="1" t="s">
        <v>88</v>
      </c>
      <c r="F350" s="2">
        <v>2826</v>
      </c>
      <c r="G350" s="4">
        <v>0.15</v>
      </c>
      <c r="H350" s="3">
        <f t="shared" si="15"/>
        <v>41760</v>
      </c>
      <c r="I350" s="1">
        <f>_xlfn.XLOOKUP(E350,Product!$A$2:$A$7,Product!$C$2:$C$7)</f>
        <v>180</v>
      </c>
      <c r="J350" s="22">
        <f t="shared" si="16"/>
        <v>508680</v>
      </c>
      <c r="K350" s="22">
        <f t="shared" si="17"/>
        <v>432378</v>
      </c>
      <c r="L350" s="22">
        <f>K350-(_xlfn.XLOOKUP(E350,Product!$A$2:$A$7,Product!$B$2:$B$7)*F350)</f>
        <v>93258</v>
      </c>
      <c r="M350">
        <f>YEAR(Table1[[#This Row],[Order date]])</f>
        <v>2014</v>
      </c>
      <c r="N350" s="22" t="str" cm="1">
        <f t="array" ref="N350">_xlfn.IFS(G350=0,"No Discount", ROUND(G350*100,0)&lt;=4,"Low", ROUND(G350*100,0)&lt;=9,"Medium", ROUND(G350*100,0)&lt;=15,"High")</f>
        <v>High</v>
      </c>
      <c r="O350" s="22" t="str">
        <f>TEXT(Table1[[#This Row],[Order date]],"mmmm")</f>
        <v>May</v>
      </c>
    </row>
    <row r="351" spans="1:15" ht="13.5" x14ac:dyDescent="0.25">
      <c r="A351" s="1" t="str">
        <f>"ORD"&amp;"-"&amp;_xlfn.XLOOKUP(C351,Guide!$B$22:$B$26,Guide!$C$22:$C$26)&amp;"-"&amp;_xlfn.XLOOKUP(D351,Guide!$B$29:$B$33,Guide!$C$29:$C$33)&amp;"-"&amp;TEXT(H351,"yyyymmdd")</f>
        <v>ORD-USA-CPR-20140501</v>
      </c>
      <c r="B351" s="1" t="s">
        <v>394</v>
      </c>
      <c r="C351" s="1" t="s">
        <v>35</v>
      </c>
      <c r="D351" s="1" t="s">
        <v>43</v>
      </c>
      <c r="E351" s="1" t="s">
        <v>78</v>
      </c>
      <c r="F351" s="2">
        <v>1806</v>
      </c>
      <c r="G351" s="4">
        <v>0.15000000000000002</v>
      </c>
      <c r="H351" s="3">
        <f t="shared" si="15"/>
        <v>41760</v>
      </c>
      <c r="I351" s="1">
        <f>_xlfn.XLOOKUP(E351,Product!$A$2:$A$7,Product!$C$2:$C$7)</f>
        <v>300</v>
      </c>
      <c r="J351" s="22">
        <f t="shared" si="16"/>
        <v>541800</v>
      </c>
      <c r="K351" s="22">
        <f t="shared" si="17"/>
        <v>460530</v>
      </c>
      <c r="L351" s="22">
        <f>K351-(_xlfn.XLOOKUP(E351,Product!$A$2:$A$7,Product!$B$2:$B$7)*F351)</f>
        <v>9030</v>
      </c>
      <c r="M351">
        <f>YEAR(Table1[[#This Row],[Order date]])</f>
        <v>2014</v>
      </c>
      <c r="N351" s="22" t="str" cm="1">
        <f t="array" ref="N351">_xlfn.IFS(G351=0,"No Discount", ROUND(G351*100,0)&lt;=4,"Low", ROUND(G351*100,0)&lt;=9,"Medium", ROUND(G351*100,0)&lt;=15,"High")</f>
        <v>High</v>
      </c>
      <c r="O351" s="22" t="str">
        <f>TEXT(Table1[[#This Row],[Order date]],"mmmm")</f>
        <v>May</v>
      </c>
    </row>
    <row r="352" spans="1:15" ht="13.5" x14ac:dyDescent="0.25">
      <c r="A352" s="1" t="str">
        <f>"ORD"&amp;"-"&amp;_xlfn.XLOOKUP(C352,Guide!$B$22:$B$26,Guide!$C$22:$C$26)&amp;"-"&amp;_xlfn.XLOOKUP(D352,Guide!$B$29:$B$33,Guide!$C$29:$C$33)&amp;"-"&amp;TEXT(H352,"yyyymmdd")</f>
        <v>ORD-GER-GOV-20140601</v>
      </c>
      <c r="B352" s="1" t="s">
        <v>395</v>
      </c>
      <c r="C352" s="1" t="s">
        <v>29</v>
      </c>
      <c r="D352" s="1" t="s">
        <v>39</v>
      </c>
      <c r="E352" s="1" t="s">
        <v>75</v>
      </c>
      <c r="F352" s="2">
        <v>1006</v>
      </c>
      <c r="G352" s="4">
        <v>0</v>
      </c>
      <c r="H352" s="3">
        <f t="shared" si="15"/>
        <v>41791</v>
      </c>
      <c r="I352" s="1">
        <f>_xlfn.XLOOKUP(E352,Product!$A$2:$A$7,Product!$C$2:$C$7)</f>
        <v>20</v>
      </c>
      <c r="J352" s="22">
        <f t="shared" si="16"/>
        <v>20120</v>
      </c>
      <c r="K352" s="22">
        <f t="shared" si="17"/>
        <v>20120</v>
      </c>
      <c r="L352" s="22">
        <f>K352-(_xlfn.XLOOKUP(E352,Product!$A$2:$A$7,Product!$B$2:$B$7)*F352)</f>
        <v>10060</v>
      </c>
      <c r="M352">
        <f>YEAR(Table1[[#This Row],[Order date]])</f>
        <v>2014</v>
      </c>
      <c r="N352" s="22" t="str" cm="1">
        <f t="array" ref="N352">_xlfn.IFS(G352=0,"No Discount", ROUND(G352*100,0)&lt;=4,"Low", ROUND(G352*100,0)&lt;=9,"Medium", ROUND(G352*100,0)&lt;=15,"High")</f>
        <v>No Discount</v>
      </c>
      <c r="O352" s="22" t="str">
        <f>TEXT(Table1[[#This Row],[Order date]],"mmmm")</f>
        <v>June</v>
      </c>
    </row>
    <row r="353" spans="1:15" ht="13.5" x14ac:dyDescent="0.25">
      <c r="A353" s="1" t="str">
        <f>"ORD"&amp;"-"&amp;_xlfn.XLOOKUP(C353,Guide!$B$22:$B$26,Guide!$C$22:$C$26)&amp;"-"&amp;_xlfn.XLOOKUP(D353,Guide!$B$29:$B$33,Guide!$C$29:$C$33)&amp;"-"&amp;TEXT(H353,"yyyymmdd")</f>
        <v>ORD-GER-MDM-20140601</v>
      </c>
      <c r="B353" s="1" t="s">
        <v>396</v>
      </c>
      <c r="C353" s="1" t="s">
        <v>29</v>
      </c>
      <c r="D353" s="1" t="s">
        <v>41</v>
      </c>
      <c r="E353" s="1" t="s">
        <v>80</v>
      </c>
      <c r="F353" s="2">
        <v>888</v>
      </c>
      <c r="G353" s="4">
        <v>0</v>
      </c>
      <c r="H353" s="3">
        <f t="shared" si="15"/>
        <v>41791</v>
      </c>
      <c r="I353" s="1">
        <f>_xlfn.XLOOKUP(E353,Product!$A$2:$A$7,Product!$C$2:$C$7)</f>
        <v>20</v>
      </c>
      <c r="J353" s="22">
        <f t="shared" si="16"/>
        <v>17760</v>
      </c>
      <c r="K353" s="22">
        <f t="shared" si="17"/>
        <v>17760</v>
      </c>
      <c r="L353" s="22">
        <f>K353-(_xlfn.XLOOKUP(E353,Product!$A$2:$A$7,Product!$B$2:$B$7)*F353)</f>
        <v>15096</v>
      </c>
      <c r="M353">
        <f>YEAR(Table1[[#This Row],[Order date]])</f>
        <v>2014</v>
      </c>
      <c r="N353" s="22" t="str" cm="1">
        <f t="array" ref="N353">_xlfn.IFS(G353=0,"No Discount", ROUND(G353*100,0)&lt;=4,"Low", ROUND(G353*100,0)&lt;=9,"Medium", ROUND(G353*100,0)&lt;=15,"High")</f>
        <v>No Discount</v>
      </c>
      <c r="O353" s="22" t="str">
        <f>TEXT(Table1[[#This Row],[Order date]],"mmmm")</f>
        <v>June</v>
      </c>
    </row>
    <row r="354" spans="1:15" ht="13.5" x14ac:dyDescent="0.25">
      <c r="A354" s="1" t="str">
        <f>"ORD"&amp;"-"&amp;_xlfn.XLOOKUP(C354,Guide!$B$22:$B$26,Guide!$C$22:$C$26)&amp;"-"&amp;_xlfn.XLOOKUP(D354,Guide!$B$29:$B$33,Guide!$C$29:$C$33)&amp;"-"&amp;TEXT(H354,"yyyymmdd")</f>
        <v>ORD-GER-CPR-20140601</v>
      </c>
      <c r="B354" s="1" t="s">
        <v>397</v>
      </c>
      <c r="C354" s="1" t="s">
        <v>29</v>
      </c>
      <c r="D354" s="1" t="s">
        <v>43</v>
      </c>
      <c r="E354" s="1" t="s">
        <v>82</v>
      </c>
      <c r="F354" s="2">
        <v>1545</v>
      </c>
      <c r="G354" s="4">
        <v>0</v>
      </c>
      <c r="H354" s="3">
        <f t="shared" si="15"/>
        <v>41791</v>
      </c>
      <c r="I354" s="1">
        <f>_xlfn.XLOOKUP(E354,Product!$A$2:$A$7,Product!$C$2:$C$7)</f>
        <v>15</v>
      </c>
      <c r="J354" s="22">
        <f t="shared" si="16"/>
        <v>23175</v>
      </c>
      <c r="K354" s="22">
        <f t="shared" si="17"/>
        <v>23175</v>
      </c>
      <c r="L354" s="22">
        <f>K354-(_xlfn.XLOOKUP(E354,Product!$A$2:$A$7,Product!$B$2:$B$7)*F354)</f>
        <v>15450</v>
      </c>
      <c r="M354">
        <f>YEAR(Table1[[#This Row],[Order date]])</f>
        <v>2014</v>
      </c>
      <c r="N354" s="22" t="str" cm="1">
        <f t="array" ref="N354">_xlfn.IFS(G354=0,"No Discount", ROUND(G354*100,0)&lt;=4,"Low", ROUND(G354*100,0)&lt;=9,"Medium", ROUND(G354*100,0)&lt;=15,"High")</f>
        <v>No Discount</v>
      </c>
      <c r="O354" s="22" t="str">
        <f>TEXT(Table1[[#This Row],[Order date]],"mmmm")</f>
        <v>June</v>
      </c>
    </row>
    <row r="355" spans="1:15" ht="13.5" x14ac:dyDescent="0.25">
      <c r="A355" s="1" t="str">
        <f>"ORD"&amp;"-"&amp;_xlfn.XLOOKUP(C355,Guide!$B$22:$B$26,Guide!$C$22:$C$26)&amp;"-"&amp;_xlfn.XLOOKUP(D355,Guide!$B$29:$B$33,Guide!$C$29:$C$33)&amp;"-"&amp;TEXT(H355,"yyyymmdd")</f>
        <v>ORD-FRA-GOV-20140601</v>
      </c>
      <c r="B355" s="1" t="s">
        <v>398</v>
      </c>
      <c r="C355" s="1" t="s">
        <v>31</v>
      </c>
      <c r="D355" s="1" t="s">
        <v>39</v>
      </c>
      <c r="E355" s="1" t="s">
        <v>82</v>
      </c>
      <c r="F355" s="2">
        <v>1899</v>
      </c>
      <c r="G355" s="4">
        <v>0</v>
      </c>
      <c r="H355" s="3">
        <f t="shared" si="15"/>
        <v>41791</v>
      </c>
      <c r="I355" s="1">
        <f>_xlfn.XLOOKUP(E355,Product!$A$2:$A$7,Product!$C$2:$C$7)</f>
        <v>15</v>
      </c>
      <c r="J355" s="22">
        <f t="shared" si="16"/>
        <v>28485</v>
      </c>
      <c r="K355" s="22">
        <f t="shared" si="17"/>
        <v>28485</v>
      </c>
      <c r="L355" s="22">
        <f>K355-(_xlfn.XLOOKUP(E355,Product!$A$2:$A$7,Product!$B$2:$B$7)*F355)</f>
        <v>18990</v>
      </c>
      <c r="M355">
        <f>YEAR(Table1[[#This Row],[Order date]])</f>
        <v>2014</v>
      </c>
      <c r="N355" s="22" t="str" cm="1">
        <f t="array" ref="N355">_xlfn.IFS(G355=0,"No Discount", ROUND(G355*100,0)&lt;=4,"Low", ROUND(G355*100,0)&lt;=9,"Medium", ROUND(G355*100,0)&lt;=15,"High")</f>
        <v>No Discount</v>
      </c>
      <c r="O355" s="22" t="str">
        <f>TEXT(Table1[[#This Row],[Order date]],"mmmm")</f>
        <v>June</v>
      </c>
    </row>
    <row r="356" spans="1:15" ht="13.5" x14ac:dyDescent="0.25">
      <c r="A356" s="1" t="str">
        <f>"ORD"&amp;"-"&amp;_xlfn.XLOOKUP(C356,Guide!$B$22:$B$26,Guide!$C$22:$C$26)&amp;"-"&amp;_xlfn.XLOOKUP(D356,Guide!$B$29:$B$33,Guide!$C$29:$C$33)&amp;"-"&amp;TEXT(H356,"yyyymmdd")</f>
        <v>ORD-MXC-MDM-20140601</v>
      </c>
      <c r="B356" s="1" t="s">
        <v>399</v>
      </c>
      <c r="C356" s="1" t="s">
        <v>33</v>
      </c>
      <c r="D356" s="1" t="s">
        <v>41</v>
      </c>
      <c r="E356" s="1" t="s">
        <v>82</v>
      </c>
      <c r="F356" s="2">
        <v>2470</v>
      </c>
      <c r="G356" s="4">
        <v>0</v>
      </c>
      <c r="H356" s="3">
        <f t="shared" si="15"/>
        <v>41791</v>
      </c>
      <c r="I356" s="1">
        <f>_xlfn.XLOOKUP(E356,Product!$A$2:$A$7,Product!$C$2:$C$7)</f>
        <v>15</v>
      </c>
      <c r="J356" s="22">
        <f t="shared" si="16"/>
        <v>37050</v>
      </c>
      <c r="K356" s="22">
        <f t="shared" si="17"/>
        <v>37050</v>
      </c>
      <c r="L356" s="22">
        <f>K356-(_xlfn.XLOOKUP(E356,Product!$A$2:$A$7,Product!$B$2:$B$7)*F356)</f>
        <v>24700</v>
      </c>
      <c r="M356">
        <f>YEAR(Table1[[#This Row],[Order date]])</f>
        <v>2014</v>
      </c>
      <c r="N356" s="22" t="str" cm="1">
        <f t="array" ref="N356">_xlfn.IFS(G356=0,"No Discount", ROUND(G356*100,0)&lt;=4,"Low", ROUND(G356*100,0)&lt;=9,"Medium", ROUND(G356*100,0)&lt;=15,"High")</f>
        <v>No Discount</v>
      </c>
      <c r="O356" s="22" t="str">
        <f>TEXT(Table1[[#This Row],[Order date]],"mmmm")</f>
        <v>June</v>
      </c>
    </row>
    <row r="357" spans="1:15" ht="13.5" x14ac:dyDescent="0.25">
      <c r="A357" s="1" t="str">
        <f>"ORD"&amp;"-"&amp;_xlfn.XLOOKUP(C357,Guide!$B$22:$B$26,Guide!$C$22:$C$26)&amp;"-"&amp;_xlfn.XLOOKUP(D357,Guide!$B$29:$B$33,Guide!$C$29:$C$33)&amp;"-"&amp;TEXT(H357,"yyyymmdd")</f>
        <v>ORD-CND-CPR-20140601</v>
      </c>
      <c r="B357" s="1" t="s">
        <v>400</v>
      </c>
      <c r="C357" s="1" t="s">
        <v>27</v>
      </c>
      <c r="D357" s="1" t="s">
        <v>43</v>
      </c>
      <c r="E357" s="1" t="s">
        <v>75</v>
      </c>
      <c r="F357" s="2">
        <v>2518</v>
      </c>
      <c r="G357" s="4">
        <v>0</v>
      </c>
      <c r="H357" s="3">
        <f t="shared" si="15"/>
        <v>41791</v>
      </c>
      <c r="I357" s="1">
        <f>_xlfn.XLOOKUP(E357,Product!$A$2:$A$7,Product!$C$2:$C$7)</f>
        <v>20</v>
      </c>
      <c r="J357" s="22">
        <f t="shared" si="16"/>
        <v>50360</v>
      </c>
      <c r="K357" s="22">
        <f t="shared" si="17"/>
        <v>50360</v>
      </c>
      <c r="L357" s="22">
        <f>K357-(_xlfn.XLOOKUP(E357,Product!$A$2:$A$7,Product!$B$2:$B$7)*F357)</f>
        <v>25180</v>
      </c>
      <c r="M357">
        <f>YEAR(Table1[[#This Row],[Order date]])</f>
        <v>2014</v>
      </c>
      <c r="N357" s="22" t="str" cm="1">
        <f t="array" ref="N357">_xlfn.IFS(G357=0,"No Discount", ROUND(G357*100,0)&lt;=4,"Low", ROUND(G357*100,0)&lt;=9,"Medium", ROUND(G357*100,0)&lt;=15,"High")</f>
        <v>No Discount</v>
      </c>
      <c r="O357" s="22" t="str">
        <f>TEXT(Table1[[#This Row],[Order date]],"mmmm")</f>
        <v>June</v>
      </c>
    </row>
    <row r="358" spans="1:15" ht="13.5" x14ac:dyDescent="0.25">
      <c r="A358" s="1" t="str">
        <f>"ORD"&amp;"-"&amp;_xlfn.XLOOKUP(C358,Guide!$B$22:$B$26,Guide!$C$22:$C$26)&amp;"-"&amp;_xlfn.XLOOKUP(D358,Guide!$B$29:$B$33,Guide!$C$29:$C$33)&amp;"-"&amp;TEXT(H358,"yyyymmdd")</f>
        <v>ORD-CND-CPR-20140601</v>
      </c>
      <c r="B358" s="1" t="s">
        <v>400</v>
      </c>
      <c r="C358" s="1" t="s">
        <v>27</v>
      </c>
      <c r="D358" s="1" t="s">
        <v>43</v>
      </c>
      <c r="E358" s="1" t="s">
        <v>82</v>
      </c>
      <c r="F358" s="2">
        <v>2518</v>
      </c>
      <c r="G358" s="4">
        <v>0</v>
      </c>
      <c r="H358" s="3">
        <f t="shared" si="15"/>
        <v>41791</v>
      </c>
      <c r="I358" s="1">
        <f>_xlfn.XLOOKUP(E358,Product!$A$2:$A$7,Product!$C$2:$C$7)</f>
        <v>15</v>
      </c>
      <c r="J358" s="22">
        <f t="shared" si="16"/>
        <v>37770</v>
      </c>
      <c r="K358" s="22">
        <f t="shared" si="17"/>
        <v>37770</v>
      </c>
      <c r="L358" s="22">
        <f>K358-(_xlfn.XLOOKUP(E358,Product!$A$2:$A$7,Product!$B$2:$B$7)*F358)</f>
        <v>25180</v>
      </c>
      <c r="M358">
        <f>YEAR(Table1[[#This Row],[Order date]])</f>
        <v>2014</v>
      </c>
      <c r="N358" s="22" t="str" cm="1">
        <f t="array" ref="N358">_xlfn.IFS(G358=0,"No Discount", ROUND(G358*100,0)&lt;=4,"Low", ROUND(G358*100,0)&lt;=9,"Medium", ROUND(G358*100,0)&lt;=15,"High")</f>
        <v>No Discount</v>
      </c>
      <c r="O358" s="22" t="str">
        <f>TEXT(Table1[[#This Row],[Order date]],"mmmm")</f>
        <v>June</v>
      </c>
    </row>
    <row r="359" spans="1:15" ht="13.5" x14ac:dyDescent="0.25">
      <c r="A359" s="1" t="str">
        <f>"ORD"&amp;"-"&amp;_xlfn.XLOOKUP(C359,Guide!$B$22:$B$26,Guide!$C$22:$C$26)&amp;"-"&amp;_xlfn.XLOOKUP(D359,Guide!$B$29:$B$33,Guide!$C$29:$C$33)&amp;"-"&amp;TEXT(H359,"yyyymmdd")</f>
        <v>ORD-FRA-MDM-20140601</v>
      </c>
      <c r="B359" s="1" t="s">
        <v>401</v>
      </c>
      <c r="C359" s="1" t="s">
        <v>31</v>
      </c>
      <c r="D359" s="1" t="s">
        <v>41</v>
      </c>
      <c r="E359" s="1" t="s">
        <v>80</v>
      </c>
      <c r="F359" s="2">
        <v>2178</v>
      </c>
      <c r="G359" s="4">
        <v>0</v>
      </c>
      <c r="H359" s="3">
        <f t="shared" si="15"/>
        <v>41791</v>
      </c>
      <c r="I359" s="1">
        <f>_xlfn.XLOOKUP(E359,Product!$A$2:$A$7,Product!$C$2:$C$7)</f>
        <v>20</v>
      </c>
      <c r="J359" s="22">
        <f t="shared" si="16"/>
        <v>43560</v>
      </c>
      <c r="K359" s="22">
        <f t="shared" si="17"/>
        <v>43560</v>
      </c>
      <c r="L359" s="22">
        <f>K359-(_xlfn.XLOOKUP(E359,Product!$A$2:$A$7,Product!$B$2:$B$7)*F359)</f>
        <v>37026</v>
      </c>
      <c r="M359">
        <f>YEAR(Table1[[#This Row],[Order date]])</f>
        <v>2014</v>
      </c>
      <c r="N359" s="22" t="str" cm="1">
        <f t="array" ref="N359">_xlfn.IFS(G359=0,"No Discount", ROUND(G359*100,0)&lt;=4,"Low", ROUND(G359*100,0)&lt;=9,"Medium", ROUND(G359*100,0)&lt;=15,"High")</f>
        <v>No Discount</v>
      </c>
      <c r="O359" s="22" t="str">
        <f>TEXT(Table1[[#This Row],[Order date]],"mmmm")</f>
        <v>June</v>
      </c>
    </row>
    <row r="360" spans="1:15" ht="13.5" x14ac:dyDescent="0.25">
      <c r="A360" s="1" t="str">
        <f>"ORD"&amp;"-"&amp;_xlfn.XLOOKUP(C360,Guide!$B$22:$B$26,Guide!$C$22:$C$26)&amp;"-"&amp;_xlfn.XLOOKUP(D360,Guide!$B$29:$B$33,Guide!$C$29:$C$33)&amp;"-"&amp;TEXT(H360,"yyyymmdd")</f>
        <v>ORD-MXC-MDM-20140601</v>
      </c>
      <c r="B360" s="1" t="s">
        <v>399</v>
      </c>
      <c r="C360" s="1" t="s">
        <v>33</v>
      </c>
      <c r="D360" s="1" t="s">
        <v>41</v>
      </c>
      <c r="E360" s="1" t="s">
        <v>80</v>
      </c>
      <c r="F360" s="2">
        <v>2470</v>
      </c>
      <c r="G360" s="4">
        <v>0</v>
      </c>
      <c r="H360" s="3">
        <f t="shared" si="15"/>
        <v>41791</v>
      </c>
      <c r="I360" s="1">
        <f>_xlfn.XLOOKUP(E360,Product!$A$2:$A$7,Product!$C$2:$C$7)</f>
        <v>20</v>
      </c>
      <c r="J360" s="22">
        <f t="shared" si="16"/>
        <v>49400</v>
      </c>
      <c r="K360" s="22">
        <f t="shared" si="17"/>
        <v>49400</v>
      </c>
      <c r="L360" s="22">
        <f>K360-(_xlfn.XLOOKUP(E360,Product!$A$2:$A$7,Product!$B$2:$B$7)*F360)</f>
        <v>41990</v>
      </c>
      <c r="M360">
        <f>YEAR(Table1[[#This Row],[Order date]])</f>
        <v>2014</v>
      </c>
      <c r="N360" s="22" t="str" cm="1">
        <f t="array" ref="N360">_xlfn.IFS(G360=0,"No Discount", ROUND(G360*100,0)&lt;=4,"Low", ROUND(G360*100,0)&lt;=9,"Medium", ROUND(G360*100,0)&lt;=15,"High")</f>
        <v>No Discount</v>
      </c>
      <c r="O360" s="22" t="str">
        <f>TEXT(Table1[[#This Row],[Order date]],"mmmm")</f>
        <v>June</v>
      </c>
    </row>
    <row r="361" spans="1:15" ht="13.5" x14ac:dyDescent="0.25">
      <c r="A361" s="1" t="str">
        <f>"ORD"&amp;"-"&amp;_xlfn.XLOOKUP(C361,Guide!$B$22:$B$26,Guide!$C$22:$C$26)&amp;"-"&amp;_xlfn.XLOOKUP(D361,Guide!$B$29:$B$33,Guide!$C$29:$C$33)&amp;"-"&amp;TEXT(H361,"yyyymmdd")</f>
        <v>ORD-GER-MDM-20140601</v>
      </c>
      <c r="B361" s="1" t="s">
        <v>396</v>
      </c>
      <c r="C361" s="1" t="s">
        <v>29</v>
      </c>
      <c r="D361" s="1" t="s">
        <v>41</v>
      </c>
      <c r="E361" s="1" t="s">
        <v>78</v>
      </c>
      <c r="F361" s="2">
        <v>888</v>
      </c>
      <c r="G361" s="4">
        <v>0</v>
      </c>
      <c r="H361" s="3">
        <f t="shared" si="15"/>
        <v>41791</v>
      </c>
      <c r="I361" s="1">
        <f>_xlfn.XLOOKUP(E361,Product!$A$2:$A$7,Product!$C$2:$C$7)</f>
        <v>300</v>
      </c>
      <c r="J361" s="22">
        <f t="shared" si="16"/>
        <v>266400</v>
      </c>
      <c r="K361" s="22">
        <f t="shared" si="17"/>
        <v>266400</v>
      </c>
      <c r="L361" s="22">
        <f>K361-(_xlfn.XLOOKUP(E361,Product!$A$2:$A$7,Product!$B$2:$B$7)*F361)</f>
        <v>44400</v>
      </c>
      <c r="M361">
        <f>YEAR(Table1[[#This Row],[Order date]])</f>
        <v>2014</v>
      </c>
      <c r="N361" s="22" t="str" cm="1">
        <f t="array" ref="N361">_xlfn.IFS(G361=0,"No Discount", ROUND(G361*100,0)&lt;=4,"Low", ROUND(G361*100,0)&lt;=9,"Medium", ROUND(G361*100,0)&lt;=15,"High")</f>
        <v>No Discount</v>
      </c>
      <c r="O361" s="22" t="str">
        <f>TEXT(Table1[[#This Row],[Order date]],"mmmm")</f>
        <v>June</v>
      </c>
    </row>
    <row r="362" spans="1:15" ht="13.5" x14ac:dyDescent="0.25">
      <c r="A362" s="1" t="str">
        <f>"ORD"&amp;"-"&amp;_xlfn.XLOOKUP(C362,Guide!$B$22:$B$26,Guide!$C$22:$C$26)&amp;"-"&amp;_xlfn.XLOOKUP(D362,Guide!$B$29:$B$33,Guide!$C$29:$C$33)&amp;"-"&amp;TEXT(H362,"yyyymmdd")</f>
        <v>ORD-GER-GOV-20140601</v>
      </c>
      <c r="B362" s="1" t="s">
        <v>395</v>
      </c>
      <c r="C362" s="1" t="s">
        <v>29</v>
      </c>
      <c r="D362" s="1" t="s">
        <v>39</v>
      </c>
      <c r="E362" s="1" t="s">
        <v>88</v>
      </c>
      <c r="F362" s="2">
        <v>1006</v>
      </c>
      <c r="G362" s="4">
        <v>0</v>
      </c>
      <c r="H362" s="3">
        <f t="shared" si="15"/>
        <v>41791</v>
      </c>
      <c r="I362" s="1">
        <f>_xlfn.XLOOKUP(E362,Product!$A$2:$A$7,Product!$C$2:$C$7)</f>
        <v>180</v>
      </c>
      <c r="J362" s="22">
        <f t="shared" si="16"/>
        <v>181080</v>
      </c>
      <c r="K362" s="22">
        <f t="shared" si="17"/>
        <v>181080</v>
      </c>
      <c r="L362" s="22">
        <f>K362-(_xlfn.XLOOKUP(E362,Product!$A$2:$A$7,Product!$B$2:$B$7)*F362)</f>
        <v>60360</v>
      </c>
      <c r="M362">
        <f>YEAR(Table1[[#This Row],[Order date]])</f>
        <v>2014</v>
      </c>
      <c r="N362" s="22" t="str" cm="1">
        <f t="array" ref="N362">_xlfn.IFS(G362=0,"No Discount", ROUND(G362*100,0)&lt;=4,"Low", ROUND(G362*100,0)&lt;=9,"Medium", ROUND(G362*100,0)&lt;=15,"High")</f>
        <v>No Discount</v>
      </c>
      <c r="O362" s="22" t="str">
        <f>TEXT(Table1[[#This Row],[Order date]],"mmmm")</f>
        <v>June</v>
      </c>
    </row>
    <row r="363" spans="1:15" ht="13.5" x14ac:dyDescent="0.25">
      <c r="A363" s="1" t="str">
        <f>"ORD"&amp;"-"&amp;_xlfn.XLOOKUP(C363,Guide!$B$22:$B$26,Guide!$C$22:$C$26)&amp;"-"&amp;_xlfn.XLOOKUP(D363,Guide!$B$29:$B$33,Guide!$C$29:$C$33)&amp;"-"&amp;TEXT(H363,"yyyymmdd")</f>
        <v>ORD-GER-CPR-20140601</v>
      </c>
      <c r="B363" s="1" t="s">
        <v>397</v>
      </c>
      <c r="C363" s="1" t="s">
        <v>29</v>
      </c>
      <c r="D363" s="1" t="s">
        <v>43</v>
      </c>
      <c r="E363" s="1" t="s">
        <v>88</v>
      </c>
      <c r="F363" s="2">
        <v>1545</v>
      </c>
      <c r="G363" s="4">
        <v>0</v>
      </c>
      <c r="H363" s="3">
        <f t="shared" si="15"/>
        <v>41791</v>
      </c>
      <c r="I363" s="1">
        <f>_xlfn.XLOOKUP(E363,Product!$A$2:$A$7,Product!$C$2:$C$7)</f>
        <v>180</v>
      </c>
      <c r="J363" s="22">
        <f t="shared" si="16"/>
        <v>278100</v>
      </c>
      <c r="K363" s="22">
        <f t="shared" si="17"/>
        <v>278100</v>
      </c>
      <c r="L363" s="22">
        <f>K363-(_xlfn.XLOOKUP(E363,Product!$A$2:$A$7,Product!$B$2:$B$7)*F363)</f>
        <v>92700</v>
      </c>
      <c r="M363">
        <f>YEAR(Table1[[#This Row],[Order date]])</f>
        <v>2014</v>
      </c>
      <c r="N363" s="22" t="str" cm="1">
        <f t="array" ref="N363">_xlfn.IFS(G363=0,"No Discount", ROUND(G363*100,0)&lt;=4,"Low", ROUND(G363*100,0)&lt;=9,"Medium", ROUND(G363*100,0)&lt;=15,"High")</f>
        <v>No Discount</v>
      </c>
      <c r="O363" s="22" t="str">
        <f>TEXT(Table1[[#This Row],[Order date]],"mmmm")</f>
        <v>June</v>
      </c>
    </row>
    <row r="364" spans="1:15" ht="13.5" x14ac:dyDescent="0.25">
      <c r="A364" s="1" t="str">
        <f>"ORD"&amp;"-"&amp;_xlfn.XLOOKUP(C364,Guide!$B$22:$B$26,Guide!$C$22:$C$26)&amp;"-"&amp;_xlfn.XLOOKUP(D364,Guide!$B$29:$B$33,Guide!$C$29:$C$33)&amp;"-"&amp;TEXT(H364,"yyyymmdd")</f>
        <v>ORD-FRA-MDM-20140601</v>
      </c>
      <c r="B364" s="1" t="s">
        <v>401</v>
      </c>
      <c r="C364" s="1" t="s">
        <v>31</v>
      </c>
      <c r="D364" s="1" t="s">
        <v>41</v>
      </c>
      <c r="E364" s="1" t="s">
        <v>78</v>
      </c>
      <c r="F364" s="2">
        <v>2178</v>
      </c>
      <c r="G364" s="4">
        <v>0</v>
      </c>
      <c r="H364" s="3">
        <f t="shared" si="15"/>
        <v>41791</v>
      </c>
      <c r="I364" s="1">
        <f>_xlfn.XLOOKUP(E364,Product!$A$2:$A$7,Product!$C$2:$C$7)</f>
        <v>300</v>
      </c>
      <c r="J364" s="22">
        <f t="shared" si="16"/>
        <v>653400</v>
      </c>
      <c r="K364" s="22">
        <f t="shared" si="17"/>
        <v>653400</v>
      </c>
      <c r="L364" s="22">
        <f>K364-(_xlfn.XLOOKUP(E364,Product!$A$2:$A$7,Product!$B$2:$B$7)*F364)</f>
        <v>108900</v>
      </c>
      <c r="M364">
        <f>YEAR(Table1[[#This Row],[Order date]])</f>
        <v>2014</v>
      </c>
      <c r="N364" s="22" t="str" cm="1">
        <f t="array" ref="N364">_xlfn.IFS(G364=0,"No Discount", ROUND(G364*100,0)&lt;=4,"Low", ROUND(G364*100,0)&lt;=9,"Medium", ROUND(G364*100,0)&lt;=15,"High")</f>
        <v>No Discount</v>
      </c>
      <c r="O364" s="22" t="str">
        <f>TEXT(Table1[[#This Row],[Order date]],"mmmm")</f>
        <v>June</v>
      </c>
    </row>
    <row r="365" spans="1:15" ht="13.5" x14ac:dyDescent="0.25">
      <c r="A365" s="1" t="str">
        <f>"ORD"&amp;"-"&amp;_xlfn.XLOOKUP(C365,Guide!$B$22:$B$26,Guide!$C$22:$C$26)&amp;"-"&amp;_xlfn.XLOOKUP(D365,Guide!$B$29:$B$33,Guide!$C$29:$C$33)&amp;"-"&amp;TEXT(H365,"yyyymmdd")</f>
        <v>ORD-FRA-GOV-20140601</v>
      </c>
      <c r="B365" s="1" t="s">
        <v>398</v>
      </c>
      <c r="C365" s="1" t="s">
        <v>31</v>
      </c>
      <c r="D365" s="1" t="s">
        <v>39</v>
      </c>
      <c r="E365" s="1" t="s">
        <v>84</v>
      </c>
      <c r="F365" s="2">
        <v>1899</v>
      </c>
      <c r="G365" s="4">
        <v>0</v>
      </c>
      <c r="H365" s="3">
        <f t="shared" si="15"/>
        <v>41791</v>
      </c>
      <c r="I365" s="1">
        <f>_xlfn.XLOOKUP(E365,Product!$A$2:$A$7,Product!$C$2:$C$7)</f>
        <v>350</v>
      </c>
      <c r="J365" s="22">
        <f t="shared" si="16"/>
        <v>664650</v>
      </c>
      <c r="K365" s="22">
        <f t="shared" si="17"/>
        <v>664650</v>
      </c>
      <c r="L365" s="22">
        <f>K365-(_xlfn.XLOOKUP(E365,Product!$A$2:$A$7,Product!$B$2:$B$7)*F365)</f>
        <v>284850</v>
      </c>
      <c r="M365">
        <f>YEAR(Table1[[#This Row],[Order date]])</f>
        <v>2014</v>
      </c>
      <c r="N365" s="22" t="str" cm="1">
        <f t="array" ref="N365">_xlfn.IFS(G365=0,"No Discount", ROUND(G365*100,0)&lt;=4,"Low", ROUND(G365*100,0)&lt;=9,"Medium", ROUND(G365*100,0)&lt;=15,"High")</f>
        <v>No Discount</v>
      </c>
      <c r="O365" s="22" t="str">
        <f>TEXT(Table1[[#This Row],[Order date]],"mmmm")</f>
        <v>June</v>
      </c>
    </row>
    <row r="366" spans="1:15" ht="13.5" x14ac:dyDescent="0.25">
      <c r="A366" s="1" t="str">
        <f>"ORD"&amp;"-"&amp;_xlfn.XLOOKUP(C366,Guide!$B$22:$B$26,Guide!$C$22:$C$26)&amp;"-"&amp;_xlfn.XLOOKUP(D366,Guide!$B$29:$B$33,Guide!$C$29:$C$33)&amp;"-"&amp;TEXT(H366,"yyyymmdd")</f>
        <v>ORD-USA-ENT-20140601</v>
      </c>
      <c r="B366" s="1" t="s">
        <v>402</v>
      </c>
      <c r="C366" s="1" t="s">
        <v>35</v>
      </c>
      <c r="D366" s="1" t="s">
        <v>45</v>
      </c>
      <c r="E366" s="1" t="s">
        <v>75</v>
      </c>
      <c r="F366" s="2">
        <v>727</v>
      </c>
      <c r="G366" s="4">
        <v>0.01</v>
      </c>
      <c r="H366" s="3">
        <f t="shared" si="15"/>
        <v>41791</v>
      </c>
      <c r="I366" s="1">
        <f>_xlfn.XLOOKUP(E366,Product!$A$2:$A$7,Product!$C$2:$C$7)</f>
        <v>20</v>
      </c>
      <c r="J366" s="22">
        <f t="shared" si="16"/>
        <v>14540</v>
      </c>
      <c r="K366" s="22">
        <f t="shared" si="17"/>
        <v>14394.6</v>
      </c>
      <c r="L366" s="22">
        <f>K366-(_xlfn.XLOOKUP(E366,Product!$A$2:$A$7,Product!$B$2:$B$7)*F366)</f>
        <v>7124.6</v>
      </c>
      <c r="M366">
        <f>YEAR(Table1[[#This Row],[Order date]])</f>
        <v>2014</v>
      </c>
      <c r="N366" s="22" t="str" cm="1">
        <f t="array" ref="N366">_xlfn.IFS(G366=0,"No Discount", ROUND(G366*100,0)&lt;=4,"Low", ROUND(G366*100,0)&lt;=9,"Medium", ROUND(G366*100,0)&lt;=15,"High")</f>
        <v>Low</v>
      </c>
      <c r="O366" s="22" t="str">
        <f>TEXT(Table1[[#This Row],[Order date]],"mmmm")</f>
        <v>June</v>
      </c>
    </row>
    <row r="367" spans="1:15" ht="13.5" x14ac:dyDescent="0.25">
      <c r="A367" s="1" t="str">
        <f>"ORD"&amp;"-"&amp;_xlfn.XLOOKUP(C367,Guide!$B$22:$B$26,Guide!$C$22:$C$26)&amp;"-"&amp;_xlfn.XLOOKUP(D367,Guide!$B$29:$B$33,Guide!$C$29:$C$33)&amp;"-"&amp;TEXT(H367,"yyyymmdd")</f>
        <v>ORD-FRA-ENT-20140601</v>
      </c>
      <c r="B367" s="1" t="s">
        <v>403</v>
      </c>
      <c r="C367" s="1" t="s">
        <v>31</v>
      </c>
      <c r="D367" s="1" t="s">
        <v>45</v>
      </c>
      <c r="E367" s="1" t="s">
        <v>75</v>
      </c>
      <c r="F367" s="2">
        <v>787</v>
      </c>
      <c r="G367" s="4">
        <v>0.01</v>
      </c>
      <c r="H367" s="3">
        <f t="shared" si="15"/>
        <v>41791</v>
      </c>
      <c r="I367" s="1">
        <f>_xlfn.XLOOKUP(E367,Product!$A$2:$A$7,Product!$C$2:$C$7)</f>
        <v>20</v>
      </c>
      <c r="J367" s="22">
        <f t="shared" si="16"/>
        <v>15740</v>
      </c>
      <c r="K367" s="22">
        <f t="shared" si="17"/>
        <v>15582.6</v>
      </c>
      <c r="L367" s="22">
        <f>K367-(_xlfn.XLOOKUP(E367,Product!$A$2:$A$7,Product!$B$2:$B$7)*F367)</f>
        <v>7712.6</v>
      </c>
      <c r="M367">
        <f>YEAR(Table1[[#This Row],[Order date]])</f>
        <v>2014</v>
      </c>
      <c r="N367" s="22" t="str" cm="1">
        <f t="array" ref="N367">_xlfn.IFS(G367=0,"No Discount", ROUND(G367*100,0)&lt;=4,"Low", ROUND(G367*100,0)&lt;=9,"Medium", ROUND(G367*100,0)&lt;=15,"High")</f>
        <v>Low</v>
      </c>
      <c r="O367" s="22" t="str">
        <f>TEXT(Table1[[#This Row],[Order date]],"mmmm")</f>
        <v>June</v>
      </c>
    </row>
    <row r="368" spans="1:15" ht="13.5" x14ac:dyDescent="0.25">
      <c r="A368" s="1" t="str">
        <f>"ORD"&amp;"-"&amp;_xlfn.XLOOKUP(C368,Guide!$B$22:$B$26,Guide!$C$22:$C$26)&amp;"-"&amp;_xlfn.XLOOKUP(D368,Guide!$B$29:$B$33,Guide!$C$29:$C$33)&amp;"-"&amp;TEXT(H368,"yyyymmdd")</f>
        <v>ORD-USA-ENT-20140601</v>
      </c>
      <c r="B368" s="1" t="s">
        <v>402</v>
      </c>
      <c r="C368" s="1" t="s">
        <v>35</v>
      </c>
      <c r="D368" s="1" t="s">
        <v>45</v>
      </c>
      <c r="E368" s="1" t="s">
        <v>78</v>
      </c>
      <c r="F368" s="2">
        <v>727</v>
      </c>
      <c r="G368" s="4">
        <v>0.01</v>
      </c>
      <c r="H368" s="3">
        <f t="shared" si="15"/>
        <v>41791</v>
      </c>
      <c r="I368" s="1">
        <f>_xlfn.XLOOKUP(E368,Product!$A$2:$A$7,Product!$C$2:$C$7)</f>
        <v>300</v>
      </c>
      <c r="J368" s="22">
        <f t="shared" si="16"/>
        <v>218100</v>
      </c>
      <c r="K368" s="22">
        <f t="shared" si="17"/>
        <v>215919</v>
      </c>
      <c r="L368" s="22">
        <f>K368-(_xlfn.XLOOKUP(E368,Product!$A$2:$A$7,Product!$B$2:$B$7)*F368)</f>
        <v>34169</v>
      </c>
      <c r="M368">
        <f>YEAR(Table1[[#This Row],[Order date]])</f>
        <v>2014</v>
      </c>
      <c r="N368" s="22" t="str" cm="1">
        <f t="array" ref="N368">_xlfn.IFS(G368=0,"No Discount", ROUND(G368*100,0)&lt;=4,"Low", ROUND(G368*100,0)&lt;=9,"Medium", ROUND(G368*100,0)&lt;=15,"High")</f>
        <v>Low</v>
      </c>
      <c r="O368" s="22" t="str">
        <f>TEXT(Table1[[#This Row],[Order date]],"mmmm")</f>
        <v>June</v>
      </c>
    </row>
    <row r="369" spans="1:15" ht="13.5" x14ac:dyDescent="0.25">
      <c r="A369" s="1" t="str">
        <f>"ORD"&amp;"-"&amp;_xlfn.XLOOKUP(C369,Guide!$B$22:$B$26,Guide!$C$22:$C$26)&amp;"-"&amp;_xlfn.XLOOKUP(D369,Guide!$B$29:$B$33,Guide!$C$29:$C$33)&amp;"-"&amp;TEXT(H369,"yyyymmdd")</f>
        <v>ORD-FRA-ENT-20140601</v>
      </c>
      <c r="B369" s="1" t="s">
        <v>403</v>
      </c>
      <c r="C369" s="1" t="s">
        <v>31</v>
      </c>
      <c r="D369" s="1" t="s">
        <v>45</v>
      </c>
      <c r="E369" s="1" t="s">
        <v>78</v>
      </c>
      <c r="F369" s="2">
        <v>787</v>
      </c>
      <c r="G369" s="4">
        <v>0.01</v>
      </c>
      <c r="H369" s="3">
        <f t="shared" si="15"/>
        <v>41791</v>
      </c>
      <c r="I369" s="1">
        <f>_xlfn.XLOOKUP(E369,Product!$A$2:$A$7,Product!$C$2:$C$7)</f>
        <v>300</v>
      </c>
      <c r="J369" s="22">
        <f t="shared" si="16"/>
        <v>236100</v>
      </c>
      <c r="K369" s="22">
        <f t="shared" si="17"/>
        <v>233739</v>
      </c>
      <c r="L369" s="22">
        <f>K369-(_xlfn.XLOOKUP(E369,Product!$A$2:$A$7,Product!$B$2:$B$7)*F369)</f>
        <v>36989</v>
      </c>
      <c r="M369">
        <f>YEAR(Table1[[#This Row],[Order date]])</f>
        <v>2014</v>
      </c>
      <c r="N369" s="22" t="str" cm="1">
        <f t="array" ref="N369">_xlfn.IFS(G369=0,"No Discount", ROUND(G369*100,0)&lt;=4,"Low", ROUND(G369*100,0)&lt;=9,"Medium", ROUND(G369*100,0)&lt;=15,"High")</f>
        <v>Low</v>
      </c>
      <c r="O369" s="22" t="str">
        <f>TEXT(Table1[[#This Row],[Order date]],"mmmm")</f>
        <v>June</v>
      </c>
    </row>
    <row r="370" spans="1:15" ht="13.5" x14ac:dyDescent="0.25">
      <c r="A370" s="1" t="str">
        <f>"ORD"&amp;"-"&amp;_xlfn.XLOOKUP(C370,Guide!$B$22:$B$26,Guide!$C$22:$C$26)&amp;"-"&amp;_xlfn.XLOOKUP(D370,Guide!$B$29:$B$33,Guide!$C$29:$C$33)&amp;"-"&amp;TEXT(H370,"yyyymmdd")</f>
        <v>ORD-MXC-ENT-20140601</v>
      </c>
      <c r="B370" s="1" t="s">
        <v>404</v>
      </c>
      <c r="C370" s="1" t="s">
        <v>33</v>
      </c>
      <c r="D370" s="1" t="s">
        <v>45</v>
      </c>
      <c r="E370" s="1" t="s">
        <v>75</v>
      </c>
      <c r="F370" s="2">
        <v>662</v>
      </c>
      <c r="G370" s="4">
        <v>0.02</v>
      </c>
      <c r="H370" s="3">
        <f t="shared" si="15"/>
        <v>41791</v>
      </c>
      <c r="I370" s="1">
        <f>_xlfn.XLOOKUP(E370,Product!$A$2:$A$7,Product!$C$2:$C$7)</f>
        <v>20</v>
      </c>
      <c r="J370" s="22">
        <f t="shared" si="16"/>
        <v>13240</v>
      </c>
      <c r="K370" s="22">
        <f t="shared" si="17"/>
        <v>12975.199999999999</v>
      </c>
      <c r="L370" s="22">
        <f>K370-(_xlfn.XLOOKUP(E370,Product!$A$2:$A$7,Product!$B$2:$B$7)*F370)</f>
        <v>6355.1999999999989</v>
      </c>
      <c r="M370">
        <f>YEAR(Table1[[#This Row],[Order date]])</f>
        <v>2014</v>
      </c>
      <c r="N370" s="22" t="str" cm="1">
        <f t="array" ref="N370">_xlfn.IFS(G370=0,"No Discount", ROUND(G370*100,0)&lt;=4,"Low", ROUND(G370*100,0)&lt;=9,"Medium", ROUND(G370*100,0)&lt;=15,"High")</f>
        <v>Low</v>
      </c>
      <c r="O370" s="22" t="str">
        <f>TEXT(Table1[[#This Row],[Order date]],"mmmm")</f>
        <v>June</v>
      </c>
    </row>
    <row r="371" spans="1:15" ht="13.5" x14ac:dyDescent="0.25">
      <c r="A371" s="1" t="str">
        <f>"ORD"&amp;"-"&amp;_xlfn.XLOOKUP(C371,Guide!$B$22:$B$26,Guide!$C$22:$C$26)&amp;"-"&amp;_xlfn.XLOOKUP(D371,Guide!$B$29:$B$33,Guide!$C$29:$C$33)&amp;"-"&amp;TEXT(H371,"yyyymmdd")</f>
        <v>ORD-USA-CPR-20140601</v>
      </c>
      <c r="B371" s="1" t="s">
        <v>405</v>
      </c>
      <c r="C371" s="1" t="s">
        <v>35</v>
      </c>
      <c r="D371" s="1" t="s">
        <v>43</v>
      </c>
      <c r="E371" s="1" t="s">
        <v>75</v>
      </c>
      <c r="F371" s="2">
        <v>1142</v>
      </c>
      <c r="G371" s="4">
        <v>0.02</v>
      </c>
      <c r="H371" s="3">
        <f t="shared" si="15"/>
        <v>41791</v>
      </c>
      <c r="I371" s="1">
        <f>_xlfn.XLOOKUP(E371,Product!$A$2:$A$7,Product!$C$2:$C$7)</f>
        <v>20</v>
      </c>
      <c r="J371" s="22">
        <f t="shared" si="16"/>
        <v>22840</v>
      </c>
      <c r="K371" s="22">
        <f t="shared" si="17"/>
        <v>22383.200000000001</v>
      </c>
      <c r="L371" s="22">
        <f>K371-(_xlfn.XLOOKUP(E371,Product!$A$2:$A$7,Product!$B$2:$B$7)*F371)</f>
        <v>10963.2</v>
      </c>
      <c r="M371">
        <f>YEAR(Table1[[#This Row],[Order date]])</f>
        <v>2014</v>
      </c>
      <c r="N371" s="22" t="str" cm="1">
        <f t="array" ref="N371">_xlfn.IFS(G371=0,"No Discount", ROUND(G371*100,0)&lt;=4,"Low", ROUND(G371*100,0)&lt;=9,"Medium", ROUND(G371*100,0)&lt;=15,"High")</f>
        <v>Low</v>
      </c>
      <c r="O371" s="22" t="str">
        <f>TEXT(Table1[[#This Row],[Order date]],"mmmm")</f>
        <v>June</v>
      </c>
    </row>
    <row r="372" spans="1:15" ht="13.5" x14ac:dyDescent="0.25">
      <c r="A372" s="1" t="str">
        <f>"ORD"&amp;"-"&amp;_xlfn.XLOOKUP(C372,Guide!$B$22:$B$26,Guide!$C$22:$C$26)&amp;"-"&amp;_xlfn.XLOOKUP(D372,Guide!$B$29:$B$33,Guide!$C$29:$C$33)&amp;"-"&amp;TEXT(H372,"yyyymmdd")</f>
        <v>ORD-USA-CPR-20140601</v>
      </c>
      <c r="B372" s="1" t="s">
        <v>405</v>
      </c>
      <c r="C372" s="1" t="s">
        <v>35</v>
      </c>
      <c r="D372" s="1" t="s">
        <v>43</v>
      </c>
      <c r="E372" s="1" t="s">
        <v>82</v>
      </c>
      <c r="F372" s="2">
        <v>1142</v>
      </c>
      <c r="G372" s="4">
        <v>0.02</v>
      </c>
      <c r="H372" s="3">
        <f t="shared" si="15"/>
        <v>41791</v>
      </c>
      <c r="I372" s="1">
        <f>_xlfn.XLOOKUP(E372,Product!$A$2:$A$7,Product!$C$2:$C$7)</f>
        <v>15</v>
      </c>
      <c r="J372" s="22">
        <f t="shared" si="16"/>
        <v>17130</v>
      </c>
      <c r="K372" s="22">
        <f t="shared" si="17"/>
        <v>16787.400000000001</v>
      </c>
      <c r="L372" s="22">
        <f>K372-(_xlfn.XLOOKUP(E372,Product!$A$2:$A$7,Product!$B$2:$B$7)*F372)</f>
        <v>11077.400000000001</v>
      </c>
      <c r="M372">
        <f>YEAR(Table1[[#This Row],[Order date]])</f>
        <v>2014</v>
      </c>
      <c r="N372" s="22" t="str" cm="1">
        <f t="array" ref="N372">_xlfn.IFS(G372=0,"No Discount", ROUND(G372*100,0)&lt;=4,"Low", ROUND(G372*100,0)&lt;=9,"Medium", ROUND(G372*100,0)&lt;=15,"High")</f>
        <v>Low</v>
      </c>
      <c r="O372" s="22" t="str">
        <f>TEXT(Table1[[#This Row],[Order date]],"mmmm")</f>
        <v>June</v>
      </c>
    </row>
    <row r="373" spans="1:15" ht="13.5" x14ac:dyDescent="0.25">
      <c r="A373" s="1" t="str">
        <f>"ORD"&amp;"-"&amp;_xlfn.XLOOKUP(C373,Guide!$B$22:$B$26,Guide!$C$22:$C$26)&amp;"-"&amp;_xlfn.XLOOKUP(D373,Guide!$B$29:$B$33,Guide!$C$29:$C$33)&amp;"-"&amp;TEXT(H373,"yyyymmdd")</f>
        <v>ORD-MXC-ENT-20140601</v>
      </c>
      <c r="B373" s="1" t="s">
        <v>404</v>
      </c>
      <c r="C373" s="1" t="s">
        <v>33</v>
      </c>
      <c r="D373" s="1" t="s">
        <v>45</v>
      </c>
      <c r="E373" s="1" t="s">
        <v>78</v>
      </c>
      <c r="F373" s="2">
        <v>662</v>
      </c>
      <c r="G373" s="4">
        <v>0.02</v>
      </c>
      <c r="H373" s="3">
        <f t="shared" si="15"/>
        <v>41791</v>
      </c>
      <c r="I373" s="1">
        <f>_xlfn.XLOOKUP(E373,Product!$A$2:$A$7,Product!$C$2:$C$7)</f>
        <v>300</v>
      </c>
      <c r="J373" s="22">
        <f t="shared" si="16"/>
        <v>198600</v>
      </c>
      <c r="K373" s="22">
        <f t="shared" si="17"/>
        <v>194628</v>
      </c>
      <c r="L373" s="22">
        <f>K373-(_xlfn.XLOOKUP(E373,Product!$A$2:$A$7,Product!$B$2:$B$7)*F373)</f>
        <v>29128</v>
      </c>
      <c r="M373">
        <f>YEAR(Table1[[#This Row],[Order date]])</f>
        <v>2014</v>
      </c>
      <c r="N373" s="22" t="str" cm="1">
        <f t="array" ref="N373">_xlfn.IFS(G373=0,"No Discount", ROUND(G373*100,0)&lt;=4,"Low", ROUND(G373*100,0)&lt;=9,"Medium", ROUND(G373*100,0)&lt;=15,"High")</f>
        <v>Low</v>
      </c>
      <c r="O373" s="22" t="str">
        <f>TEXT(Table1[[#This Row],[Order date]],"mmmm")</f>
        <v>June</v>
      </c>
    </row>
    <row r="374" spans="1:15" ht="13.5" x14ac:dyDescent="0.25">
      <c r="A374" s="1" t="str">
        <f>"ORD"&amp;"-"&amp;_xlfn.XLOOKUP(C374,Guide!$B$22:$B$26,Guide!$C$22:$C$26)&amp;"-"&amp;_xlfn.XLOOKUP(D374,Guide!$B$29:$B$33,Guide!$C$29:$C$33)&amp;"-"&amp;TEXT(H374,"yyyymmdd")</f>
        <v>ORD-GER-SMB-20140601</v>
      </c>
      <c r="B374" s="1" t="s">
        <v>406</v>
      </c>
      <c r="C374" s="1" t="s">
        <v>29</v>
      </c>
      <c r="D374" s="1" t="s">
        <v>47</v>
      </c>
      <c r="E374" s="1" t="s">
        <v>75</v>
      </c>
      <c r="F374" s="2">
        <v>689</v>
      </c>
      <c r="G374" s="4">
        <v>0.03</v>
      </c>
      <c r="H374" s="3">
        <f t="shared" si="15"/>
        <v>41791</v>
      </c>
      <c r="I374" s="1">
        <f>_xlfn.XLOOKUP(E374,Product!$A$2:$A$7,Product!$C$2:$C$7)</f>
        <v>20</v>
      </c>
      <c r="J374" s="22">
        <f t="shared" si="16"/>
        <v>13780</v>
      </c>
      <c r="K374" s="22">
        <f t="shared" si="17"/>
        <v>13366.6</v>
      </c>
      <c r="L374" s="22">
        <f>K374-(_xlfn.XLOOKUP(E374,Product!$A$2:$A$7,Product!$B$2:$B$7)*F374)</f>
        <v>6476.6</v>
      </c>
      <c r="M374">
        <f>YEAR(Table1[[#This Row],[Order date]])</f>
        <v>2014</v>
      </c>
      <c r="N374" s="22" t="str" cm="1">
        <f t="array" ref="N374">_xlfn.IFS(G374=0,"No Discount", ROUND(G374*100,0)&lt;=4,"Low", ROUND(G374*100,0)&lt;=9,"Medium", ROUND(G374*100,0)&lt;=15,"High")</f>
        <v>Low</v>
      </c>
      <c r="O374" s="22" t="str">
        <f>TEXT(Table1[[#This Row],[Order date]],"mmmm")</f>
        <v>June</v>
      </c>
    </row>
    <row r="375" spans="1:15" ht="13.5" x14ac:dyDescent="0.25">
      <c r="A375" s="1" t="str">
        <f>"ORD"&amp;"-"&amp;_xlfn.XLOOKUP(C375,Guide!$B$22:$B$26,Guide!$C$22:$C$26)&amp;"-"&amp;_xlfn.XLOOKUP(D375,Guide!$B$29:$B$33,Guide!$C$29:$C$33)&amp;"-"&amp;TEXT(H375,"yyyymmdd")</f>
        <v>ORD-GER-SMB-20140601</v>
      </c>
      <c r="B375" s="1" t="s">
        <v>406</v>
      </c>
      <c r="C375" s="1" t="s">
        <v>29</v>
      </c>
      <c r="D375" s="1" t="s">
        <v>47</v>
      </c>
      <c r="E375" s="1" t="s">
        <v>80</v>
      </c>
      <c r="F375" s="2">
        <v>689</v>
      </c>
      <c r="G375" s="4">
        <v>0.03</v>
      </c>
      <c r="H375" s="3">
        <f t="shared" si="15"/>
        <v>41791</v>
      </c>
      <c r="I375" s="1">
        <f>_xlfn.XLOOKUP(E375,Product!$A$2:$A$7,Product!$C$2:$C$7)</f>
        <v>20</v>
      </c>
      <c r="J375" s="22">
        <f t="shared" si="16"/>
        <v>13780</v>
      </c>
      <c r="K375" s="22">
        <f t="shared" si="17"/>
        <v>13366.6</v>
      </c>
      <c r="L375" s="22">
        <f>K375-(_xlfn.XLOOKUP(E375,Product!$A$2:$A$7,Product!$B$2:$B$7)*F375)</f>
        <v>11299.6</v>
      </c>
      <c r="M375">
        <f>YEAR(Table1[[#This Row],[Order date]])</f>
        <v>2014</v>
      </c>
      <c r="N375" s="22" t="str" cm="1">
        <f t="array" ref="N375">_xlfn.IFS(G375=0,"No Discount", ROUND(G375*100,0)&lt;=4,"Low", ROUND(G375*100,0)&lt;=9,"Medium", ROUND(G375*100,0)&lt;=15,"High")</f>
        <v>Low</v>
      </c>
      <c r="O375" s="22" t="str">
        <f>TEXT(Table1[[#This Row],[Order date]],"mmmm")</f>
        <v>June</v>
      </c>
    </row>
    <row r="376" spans="1:15" ht="13.5" x14ac:dyDescent="0.25">
      <c r="A376" s="1" t="str">
        <f>"ORD"&amp;"-"&amp;_xlfn.XLOOKUP(C376,Guide!$B$22:$B$26,Guide!$C$22:$C$26)&amp;"-"&amp;_xlfn.XLOOKUP(D376,Guide!$B$29:$B$33,Guide!$C$29:$C$33)&amp;"-"&amp;TEXT(H376,"yyyymmdd")</f>
        <v>ORD-GER-ENT-20140601</v>
      </c>
      <c r="B376" s="1" t="s">
        <v>407</v>
      </c>
      <c r="C376" s="1" t="s">
        <v>29</v>
      </c>
      <c r="D376" s="1" t="s">
        <v>45</v>
      </c>
      <c r="E376" s="1" t="s">
        <v>75</v>
      </c>
      <c r="F376" s="2">
        <v>1570</v>
      </c>
      <c r="G376" s="4">
        <v>0.03</v>
      </c>
      <c r="H376" s="3">
        <f t="shared" si="15"/>
        <v>41791</v>
      </c>
      <c r="I376" s="1">
        <f>_xlfn.XLOOKUP(E376,Product!$A$2:$A$7,Product!$C$2:$C$7)</f>
        <v>20</v>
      </c>
      <c r="J376" s="22">
        <f t="shared" si="16"/>
        <v>31400</v>
      </c>
      <c r="K376" s="22">
        <f t="shared" si="17"/>
        <v>30458</v>
      </c>
      <c r="L376" s="22">
        <f>K376-(_xlfn.XLOOKUP(E376,Product!$A$2:$A$7,Product!$B$2:$B$7)*F376)</f>
        <v>14758</v>
      </c>
      <c r="M376">
        <f>YEAR(Table1[[#This Row],[Order date]])</f>
        <v>2014</v>
      </c>
      <c r="N376" s="22" t="str" cm="1">
        <f t="array" ref="N376">_xlfn.IFS(G376=0,"No Discount", ROUND(G376*100,0)&lt;=4,"Low", ROUND(G376*100,0)&lt;=9,"Medium", ROUND(G376*100,0)&lt;=15,"High")</f>
        <v>Low</v>
      </c>
      <c r="O376" s="22" t="str">
        <f>TEXT(Table1[[#This Row],[Order date]],"mmmm")</f>
        <v>June</v>
      </c>
    </row>
    <row r="377" spans="1:15" ht="13.5" x14ac:dyDescent="0.25">
      <c r="A377" s="1" t="str">
        <f>"ORD"&amp;"-"&amp;_xlfn.XLOOKUP(C377,Guide!$B$22:$B$26,Guide!$C$22:$C$26)&amp;"-"&amp;_xlfn.XLOOKUP(D377,Guide!$B$29:$B$33,Guide!$C$29:$C$33)&amp;"-"&amp;TEXT(H377,"yyyymmdd")</f>
        <v>ORD-FRA-CPR-20140601</v>
      </c>
      <c r="B377" s="1" t="s">
        <v>408</v>
      </c>
      <c r="C377" s="1" t="s">
        <v>31</v>
      </c>
      <c r="D377" s="1" t="s">
        <v>43</v>
      </c>
      <c r="E377" s="1" t="s">
        <v>75</v>
      </c>
      <c r="F377" s="2">
        <v>1901</v>
      </c>
      <c r="G377" s="4">
        <v>0.03</v>
      </c>
      <c r="H377" s="3">
        <f t="shared" si="15"/>
        <v>41791</v>
      </c>
      <c r="I377" s="1">
        <f>_xlfn.XLOOKUP(E377,Product!$A$2:$A$7,Product!$C$2:$C$7)</f>
        <v>20</v>
      </c>
      <c r="J377" s="22">
        <f t="shared" si="16"/>
        <v>38020</v>
      </c>
      <c r="K377" s="22">
        <f t="shared" si="17"/>
        <v>36879.4</v>
      </c>
      <c r="L377" s="22">
        <f>K377-(_xlfn.XLOOKUP(E377,Product!$A$2:$A$7,Product!$B$2:$B$7)*F377)</f>
        <v>17869.400000000001</v>
      </c>
      <c r="M377">
        <f>YEAR(Table1[[#This Row],[Order date]])</f>
        <v>2014</v>
      </c>
      <c r="N377" s="22" t="str" cm="1">
        <f t="array" ref="N377">_xlfn.IFS(G377=0,"No Discount", ROUND(G377*100,0)&lt;=4,"Low", ROUND(G377*100,0)&lt;=9,"Medium", ROUND(G377*100,0)&lt;=15,"High")</f>
        <v>Low</v>
      </c>
      <c r="O377" s="22" t="str">
        <f>TEXT(Table1[[#This Row],[Order date]],"mmmm")</f>
        <v>June</v>
      </c>
    </row>
    <row r="378" spans="1:15" ht="13.5" x14ac:dyDescent="0.25">
      <c r="A378" s="1" t="str">
        <f>"ORD"&amp;"-"&amp;_xlfn.XLOOKUP(C378,Guide!$B$22:$B$26,Guide!$C$22:$C$26)&amp;"-"&amp;_xlfn.XLOOKUP(D378,Guide!$B$29:$B$33,Guide!$C$29:$C$33)&amp;"-"&amp;TEXT(H378,"yyyymmdd")</f>
        <v>ORD-FRA-CPR-20140601</v>
      </c>
      <c r="B378" s="1" t="s">
        <v>408</v>
      </c>
      <c r="C378" s="1" t="s">
        <v>31</v>
      </c>
      <c r="D378" s="1" t="s">
        <v>43</v>
      </c>
      <c r="E378" s="1" t="s">
        <v>82</v>
      </c>
      <c r="F378" s="2">
        <v>1901</v>
      </c>
      <c r="G378" s="4">
        <v>0.03</v>
      </c>
      <c r="H378" s="3">
        <f t="shared" si="15"/>
        <v>41791</v>
      </c>
      <c r="I378" s="1">
        <f>_xlfn.XLOOKUP(E378,Product!$A$2:$A$7,Product!$C$2:$C$7)</f>
        <v>15</v>
      </c>
      <c r="J378" s="22">
        <f t="shared" si="16"/>
        <v>28515</v>
      </c>
      <c r="K378" s="22">
        <f t="shared" si="17"/>
        <v>27659.55</v>
      </c>
      <c r="L378" s="22">
        <f>K378-(_xlfn.XLOOKUP(E378,Product!$A$2:$A$7,Product!$B$2:$B$7)*F378)</f>
        <v>18154.55</v>
      </c>
      <c r="M378">
        <f>YEAR(Table1[[#This Row],[Order date]])</f>
        <v>2014</v>
      </c>
      <c r="N378" s="22" t="str" cm="1">
        <f t="array" ref="N378">_xlfn.IFS(G378=0,"No Discount", ROUND(G378*100,0)&lt;=4,"Low", ROUND(G378*100,0)&lt;=9,"Medium", ROUND(G378*100,0)&lt;=15,"High")</f>
        <v>Low</v>
      </c>
      <c r="O378" s="22" t="str">
        <f>TEXT(Table1[[#This Row],[Order date]],"mmmm")</f>
        <v>June</v>
      </c>
    </row>
    <row r="379" spans="1:15" ht="13.5" x14ac:dyDescent="0.25">
      <c r="A379" s="1" t="str">
        <f>"ORD"&amp;"-"&amp;_xlfn.XLOOKUP(C379,Guide!$B$22:$B$26,Guide!$C$22:$C$26)&amp;"-"&amp;_xlfn.XLOOKUP(D379,Guide!$B$29:$B$33,Guide!$C$29:$C$33)&amp;"-"&amp;TEXT(H379,"yyyymmdd")</f>
        <v>ORD-GER-ENT-20140601</v>
      </c>
      <c r="B379" s="1" t="s">
        <v>407</v>
      </c>
      <c r="C379" s="1" t="s">
        <v>29</v>
      </c>
      <c r="D379" s="1" t="s">
        <v>45</v>
      </c>
      <c r="E379" s="1" t="s">
        <v>78</v>
      </c>
      <c r="F379" s="2">
        <v>1570</v>
      </c>
      <c r="G379" s="4">
        <v>0.03</v>
      </c>
      <c r="H379" s="3">
        <f t="shared" si="15"/>
        <v>41791</v>
      </c>
      <c r="I379" s="1">
        <f>_xlfn.XLOOKUP(E379,Product!$A$2:$A$7,Product!$C$2:$C$7)</f>
        <v>300</v>
      </c>
      <c r="J379" s="22">
        <f t="shared" si="16"/>
        <v>471000</v>
      </c>
      <c r="K379" s="22">
        <f t="shared" si="17"/>
        <v>456870</v>
      </c>
      <c r="L379" s="22">
        <f>K379-(_xlfn.XLOOKUP(E379,Product!$A$2:$A$7,Product!$B$2:$B$7)*F379)</f>
        <v>64370</v>
      </c>
      <c r="M379">
        <f>YEAR(Table1[[#This Row],[Order date]])</f>
        <v>2014</v>
      </c>
      <c r="N379" s="22" t="str" cm="1">
        <f t="array" ref="N379">_xlfn.IFS(G379=0,"No Discount", ROUND(G379*100,0)&lt;=4,"Low", ROUND(G379*100,0)&lt;=9,"Medium", ROUND(G379*100,0)&lt;=15,"High")</f>
        <v>Low</v>
      </c>
      <c r="O379" s="22" t="str">
        <f>TEXT(Table1[[#This Row],[Order date]],"mmmm")</f>
        <v>June</v>
      </c>
    </row>
    <row r="380" spans="1:15" ht="13.5" x14ac:dyDescent="0.25">
      <c r="A380" s="1" t="str">
        <f>"ORD"&amp;"-"&amp;_xlfn.XLOOKUP(C380,Guide!$B$22:$B$26,Guide!$C$22:$C$26)&amp;"-"&amp;_xlfn.XLOOKUP(D380,Guide!$B$29:$B$33,Guide!$C$29:$C$33)&amp;"-"&amp;TEXT(H380,"yyyymmdd")</f>
        <v>ORD-USA-GOV-20140601</v>
      </c>
      <c r="B380" s="1" t="s">
        <v>409</v>
      </c>
      <c r="C380" s="1" t="s">
        <v>35</v>
      </c>
      <c r="D380" s="1" t="s">
        <v>39</v>
      </c>
      <c r="E380" s="1" t="s">
        <v>75</v>
      </c>
      <c r="F380" s="2">
        <v>602</v>
      </c>
      <c r="G380" s="4">
        <v>0.05</v>
      </c>
      <c r="H380" s="3">
        <f t="shared" si="15"/>
        <v>41791</v>
      </c>
      <c r="I380" s="1">
        <f>_xlfn.XLOOKUP(E380,Product!$A$2:$A$7,Product!$C$2:$C$7)</f>
        <v>20</v>
      </c>
      <c r="J380" s="22">
        <f t="shared" si="16"/>
        <v>12040</v>
      </c>
      <c r="K380" s="22">
        <f t="shared" si="17"/>
        <v>11438</v>
      </c>
      <c r="L380" s="22">
        <f>K380-(_xlfn.XLOOKUP(E380,Product!$A$2:$A$7,Product!$B$2:$B$7)*F380)</f>
        <v>5418</v>
      </c>
      <c r="M380">
        <f>YEAR(Table1[[#This Row],[Order date]])</f>
        <v>2014</v>
      </c>
      <c r="N380" s="22" t="str" cm="1">
        <f t="array" ref="N380">_xlfn.IFS(G380=0,"No Discount", ROUND(G380*100,0)&lt;=4,"Low", ROUND(G380*100,0)&lt;=9,"Medium", ROUND(G380*100,0)&lt;=15,"High")</f>
        <v>Medium</v>
      </c>
      <c r="O380" s="22" t="str">
        <f>TEXT(Table1[[#This Row],[Order date]],"mmmm")</f>
        <v>June</v>
      </c>
    </row>
    <row r="381" spans="1:15" ht="13.5" x14ac:dyDescent="0.25">
      <c r="A381" s="1" t="str">
        <f>"ORD"&amp;"-"&amp;_xlfn.XLOOKUP(C381,Guide!$B$22:$B$26,Guide!$C$22:$C$26)&amp;"-"&amp;_xlfn.XLOOKUP(D381,Guide!$B$29:$B$33,Guide!$C$29:$C$33)&amp;"-"&amp;TEXT(H381,"yyyymmdd")</f>
        <v>ORD-USA-SMB-20140601</v>
      </c>
      <c r="B381" s="1" t="s">
        <v>410</v>
      </c>
      <c r="C381" s="1" t="s">
        <v>35</v>
      </c>
      <c r="D381" s="1" t="s">
        <v>47</v>
      </c>
      <c r="E381" s="1" t="s">
        <v>75</v>
      </c>
      <c r="F381" s="2">
        <v>991</v>
      </c>
      <c r="G381" s="4">
        <v>0.05</v>
      </c>
      <c r="H381" s="3">
        <f t="shared" si="15"/>
        <v>41791</v>
      </c>
      <c r="I381" s="1">
        <f>_xlfn.XLOOKUP(E381,Product!$A$2:$A$7,Product!$C$2:$C$7)</f>
        <v>20</v>
      </c>
      <c r="J381" s="22">
        <f t="shared" si="16"/>
        <v>19820</v>
      </c>
      <c r="K381" s="22">
        <f t="shared" si="17"/>
        <v>18829</v>
      </c>
      <c r="L381" s="22">
        <f>K381-(_xlfn.XLOOKUP(E381,Product!$A$2:$A$7,Product!$B$2:$B$7)*F381)</f>
        <v>8919</v>
      </c>
      <c r="M381">
        <f>YEAR(Table1[[#This Row],[Order date]])</f>
        <v>2014</v>
      </c>
      <c r="N381" s="22" t="str" cm="1">
        <f t="array" ref="N381">_xlfn.IFS(G381=0,"No Discount", ROUND(G381*100,0)&lt;=4,"Low", ROUND(G381*100,0)&lt;=9,"Medium", ROUND(G381*100,0)&lt;=15,"High")</f>
        <v>Medium</v>
      </c>
      <c r="O381" s="22" t="str">
        <f>TEXT(Table1[[#This Row],[Order date]],"mmmm")</f>
        <v>June</v>
      </c>
    </row>
    <row r="382" spans="1:15" ht="13.5" x14ac:dyDescent="0.25">
      <c r="A382" s="1" t="str">
        <f>"ORD"&amp;"-"&amp;_xlfn.XLOOKUP(C382,Guide!$B$22:$B$26,Guide!$C$22:$C$26)&amp;"-"&amp;_xlfn.XLOOKUP(D382,Guide!$B$29:$B$33,Guide!$C$29:$C$33)&amp;"-"&amp;TEXT(H382,"yyyymmdd")</f>
        <v>ORD-USA-SMB-20140601</v>
      </c>
      <c r="B382" s="1" t="s">
        <v>410</v>
      </c>
      <c r="C382" s="1" t="s">
        <v>35</v>
      </c>
      <c r="D382" s="1" t="s">
        <v>47</v>
      </c>
      <c r="E382" s="1" t="s">
        <v>80</v>
      </c>
      <c r="F382" s="2">
        <v>991</v>
      </c>
      <c r="G382" s="4">
        <v>0.05</v>
      </c>
      <c r="H382" s="3">
        <f t="shared" si="15"/>
        <v>41791</v>
      </c>
      <c r="I382" s="1">
        <f>_xlfn.XLOOKUP(E382,Product!$A$2:$A$7,Product!$C$2:$C$7)</f>
        <v>20</v>
      </c>
      <c r="J382" s="22">
        <f t="shared" si="16"/>
        <v>19820</v>
      </c>
      <c r="K382" s="22">
        <f t="shared" si="17"/>
        <v>18829</v>
      </c>
      <c r="L382" s="22">
        <f>K382-(_xlfn.XLOOKUP(E382,Product!$A$2:$A$7,Product!$B$2:$B$7)*F382)</f>
        <v>15856</v>
      </c>
      <c r="M382">
        <f>YEAR(Table1[[#This Row],[Order date]])</f>
        <v>2014</v>
      </c>
      <c r="N382" s="22" t="str" cm="1">
        <f t="array" ref="N382">_xlfn.IFS(G382=0,"No Discount", ROUND(G382*100,0)&lt;=4,"Low", ROUND(G382*100,0)&lt;=9,"Medium", ROUND(G382*100,0)&lt;=15,"High")</f>
        <v>Medium</v>
      </c>
      <c r="O382" s="22" t="str">
        <f>TEXT(Table1[[#This Row],[Order date]],"mmmm")</f>
        <v>June</v>
      </c>
    </row>
    <row r="383" spans="1:15" ht="13.5" x14ac:dyDescent="0.25">
      <c r="A383" s="1" t="str">
        <f>"ORD"&amp;"-"&amp;_xlfn.XLOOKUP(C383,Guide!$B$22:$B$26,Guide!$C$22:$C$26)&amp;"-"&amp;_xlfn.XLOOKUP(D383,Guide!$B$29:$B$33,Guide!$C$29:$C$33)&amp;"-"&amp;TEXT(H383,"yyyymmdd")</f>
        <v>ORD-USA-GOV-20140601</v>
      </c>
      <c r="B383" s="1" t="s">
        <v>409</v>
      </c>
      <c r="C383" s="1" t="s">
        <v>35</v>
      </c>
      <c r="D383" s="1" t="s">
        <v>39</v>
      </c>
      <c r="E383" s="1" t="s">
        <v>88</v>
      </c>
      <c r="F383" s="2">
        <v>602</v>
      </c>
      <c r="G383" s="4">
        <v>0.05</v>
      </c>
      <c r="H383" s="3">
        <f t="shared" si="15"/>
        <v>41791</v>
      </c>
      <c r="I383" s="1">
        <f>_xlfn.XLOOKUP(E383,Product!$A$2:$A$7,Product!$C$2:$C$7)</f>
        <v>180</v>
      </c>
      <c r="J383" s="22">
        <f t="shared" si="16"/>
        <v>108360</v>
      </c>
      <c r="K383" s="22">
        <f t="shared" si="17"/>
        <v>102942</v>
      </c>
      <c r="L383" s="22">
        <f>K383-(_xlfn.XLOOKUP(E383,Product!$A$2:$A$7,Product!$B$2:$B$7)*F383)</f>
        <v>30702</v>
      </c>
      <c r="M383">
        <f>YEAR(Table1[[#This Row],[Order date]])</f>
        <v>2014</v>
      </c>
      <c r="N383" s="22" t="str" cm="1">
        <f t="array" ref="N383">_xlfn.IFS(G383=0,"No Discount", ROUND(G383*100,0)&lt;=4,"Low", ROUND(G383*100,0)&lt;=9,"Medium", ROUND(G383*100,0)&lt;=15,"High")</f>
        <v>Medium</v>
      </c>
      <c r="O383" s="22" t="str">
        <f>TEXT(Table1[[#This Row],[Order date]],"mmmm")</f>
        <v>June</v>
      </c>
    </row>
    <row r="384" spans="1:15" ht="13.5" x14ac:dyDescent="0.25">
      <c r="A384" s="1" t="str">
        <f>"ORD"&amp;"-"&amp;_xlfn.XLOOKUP(C384,Guide!$B$22:$B$26,Guide!$C$22:$C$26)&amp;"-"&amp;_xlfn.XLOOKUP(D384,Guide!$B$29:$B$33,Guide!$C$29:$C$33)&amp;"-"&amp;TEXT(H384,"yyyymmdd")</f>
        <v>ORD-FRA-GOV-20140601</v>
      </c>
      <c r="B384" s="1" t="s">
        <v>411</v>
      </c>
      <c r="C384" s="1" t="s">
        <v>31</v>
      </c>
      <c r="D384" s="1" t="s">
        <v>39</v>
      </c>
      <c r="E384" s="1" t="s">
        <v>75</v>
      </c>
      <c r="F384" s="2">
        <v>1496</v>
      </c>
      <c r="G384" s="4">
        <v>0.06</v>
      </c>
      <c r="H384" s="3">
        <f t="shared" si="15"/>
        <v>41791</v>
      </c>
      <c r="I384" s="1">
        <f>_xlfn.XLOOKUP(E384,Product!$A$2:$A$7,Product!$C$2:$C$7)</f>
        <v>20</v>
      </c>
      <c r="J384" s="22">
        <f t="shared" si="16"/>
        <v>29920</v>
      </c>
      <c r="K384" s="22">
        <f t="shared" si="17"/>
        <v>28124.799999999999</v>
      </c>
      <c r="L384" s="22">
        <f>K384-(_xlfn.XLOOKUP(E384,Product!$A$2:$A$7,Product!$B$2:$B$7)*F384)</f>
        <v>13164.8</v>
      </c>
      <c r="M384">
        <f>YEAR(Table1[[#This Row],[Order date]])</f>
        <v>2014</v>
      </c>
      <c r="N384" s="22" t="str" cm="1">
        <f t="array" ref="N384">_xlfn.IFS(G384=0,"No Discount", ROUND(G384*100,0)&lt;=4,"Low", ROUND(G384*100,0)&lt;=9,"Medium", ROUND(G384*100,0)&lt;=15,"High")</f>
        <v>Medium</v>
      </c>
      <c r="O384" s="22" t="str">
        <f>TEXT(Table1[[#This Row],[Order date]],"mmmm")</f>
        <v>June</v>
      </c>
    </row>
    <row r="385" spans="1:15" ht="13.5" x14ac:dyDescent="0.25">
      <c r="A385" s="1" t="str">
        <f>"ORD"&amp;"-"&amp;_xlfn.XLOOKUP(C385,Guide!$B$22:$B$26,Guide!$C$22:$C$26)&amp;"-"&amp;_xlfn.XLOOKUP(D385,Guide!$B$29:$B$33,Guide!$C$29:$C$33)&amp;"-"&amp;TEXT(H385,"yyyymmdd")</f>
        <v>ORD-CND-MDM-20140601</v>
      </c>
      <c r="B385" s="1" t="s">
        <v>412</v>
      </c>
      <c r="C385" s="1" t="s">
        <v>27</v>
      </c>
      <c r="D385" s="1" t="s">
        <v>41</v>
      </c>
      <c r="E385" s="1" t="s">
        <v>80</v>
      </c>
      <c r="F385" s="2">
        <v>2844</v>
      </c>
      <c r="G385" s="4">
        <v>0.06</v>
      </c>
      <c r="H385" s="3">
        <f t="shared" si="15"/>
        <v>41791</v>
      </c>
      <c r="I385" s="1">
        <f>_xlfn.XLOOKUP(E385,Product!$A$2:$A$7,Product!$C$2:$C$7)</f>
        <v>20</v>
      </c>
      <c r="J385" s="22">
        <f t="shared" si="16"/>
        <v>56880</v>
      </c>
      <c r="K385" s="22">
        <f t="shared" si="17"/>
        <v>53467.199999999997</v>
      </c>
      <c r="L385" s="22">
        <f>K385-(_xlfn.XLOOKUP(E385,Product!$A$2:$A$7,Product!$B$2:$B$7)*F385)</f>
        <v>44935.199999999997</v>
      </c>
      <c r="M385">
        <f>YEAR(Table1[[#This Row],[Order date]])</f>
        <v>2014</v>
      </c>
      <c r="N385" s="22" t="str" cm="1">
        <f t="array" ref="N385">_xlfn.IFS(G385=0,"No Discount", ROUND(G385*100,0)&lt;=4,"Low", ROUND(G385*100,0)&lt;=9,"Medium", ROUND(G385*100,0)&lt;=15,"High")</f>
        <v>Medium</v>
      </c>
      <c r="O385" s="22" t="str">
        <f>TEXT(Table1[[#This Row],[Order date]],"mmmm")</f>
        <v>June</v>
      </c>
    </row>
    <row r="386" spans="1:15" ht="13.5" x14ac:dyDescent="0.25">
      <c r="A386" s="1" t="str">
        <f>"ORD"&amp;"-"&amp;_xlfn.XLOOKUP(C386,Guide!$B$22:$B$26,Guide!$C$22:$C$26)&amp;"-"&amp;_xlfn.XLOOKUP(D386,Guide!$B$29:$B$33,Guide!$C$29:$C$33)&amp;"-"&amp;TEXT(H386,"yyyymmdd")</f>
        <v>ORD-MXC-GOV-20140601</v>
      </c>
      <c r="B386" s="1" t="s">
        <v>413</v>
      </c>
      <c r="C386" s="1" t="s">
        <v>33</v>
      </c>
      <c r="D386" s="1" t="s">
        <v>39</v>
      </c>
      <c r="E386" s="1" t="s">
        <v>78</v>
      </c>
      <c r="F386" s="2">
        <v>1498</v>
      </c>
      <c r="G386" s="4">
        <v>0.06</v>
      </c>
      <c r="H386" s="3">
        <f t="shared" ref="H386:H449" si="18">DATE(VALUE(_xlfn.TEXTBEFORE(_xlfn.TEXTAFTER(B386,"""year"": """),"""")),VALUE(_xlfn.TEXTBEFORE(_xlfn.TEXTAFTER(B386,"""month"": """),"""")),VALUE(_xlfn.TEXTBEFORE(_xlfn.TEXTAFTER(B386,"""date"": """),""""))
)</f>
        <v>41791</v>
      </c>
      <c r="I386" s="1">
        <f>_xlfn.XLOOKUP(E386,Product!$A$2:$A$7,Product!$C$2:$C$7)</f>
        <v>300</v>
      </c>
      <c r="J386" s="22">
        <f t="shared" ref="J386:J449" si="19">I386*F386</f>
        <v>449400</v>
      </c>
      <c r="K386" s="22">
        <f t="shared" ref="K386:K449" si="20">J386*(1-IF(G386="-",0,G386))</f>
        <v>422436</v>
      </c>
      <c r="L386" s="22">
        <f>K386-(_xlfn.XLOOKUP(E386,Product!$A$2:$A$7,Product!$B$2:$B$7)*F386)</f>
        <v>47936</v>
      </c>
      <c r="M386">
        <f>YEAR(Table1[[#This Row],[Order date]])</f>
        <v>2014</v>
      </c>
      <c r="N386" s="22" t="str" cm="1">
        <f t="array" ref="N386">_xlfn.IFS(G386=0,"No Discount", ROUND(G386*100,0)&lt;=4,"Low", ROUND(G386*100,0)&lt;=9,"Medium", ROUND(G386*100,0)&lt;=15,"High")</f>
        <v>Medium</v>
      </c>
      <c r="O386" s="22" t="str">
        <f>TEXT(Table1[[#This Row],[Order date]],"mmmm")</f>
        <v>June</v>
      </c>
    </row>
    <row r="387" spans="1:15" ht="13.5" x14ac:dyDescent="0.25">
      <c r="A387" s="1" t="str">
        <f>"ORD"&amp;"-"&amp;_xlfn.XLOOKUP(C387,Guide!$B$22:$B$26,Guide!$C$22:$C$26)&amp;"-"&amp;_xlfn.XLOOKUP(D387,Guide!$B$29:$B$33,Guide!$C$29:$C$33)&amp;"-"&amp;TEXT(H387,"yyyymmdd")</f>
        <v>ORD-FRA-GOV-20140601</v>
      </c>
      <c r="B387" s="1" t="s">
        <v>411</v>
      </c>
      <c r="C387" s="1" t="s">
        <v>31</v>
      </c>
      <c r="D387" s="1" t="s">
        <v>39</v>
      </c>
      <c r="E387" s="1" t="s">
        <v>88</v>
      </c>
      <c r="F387" s="2">
        <v>1496</v>
      </c>
      <c r="G387" s="4">
        <v>0.06</v>
      </c>
      <c r="H387" s="3">
        <f t="shared" si="18"/>
        <v>41791</v>
      </c>
      <c r="I387" s="1">
        <f>_xlfn.XLOOKUP(E387,Product!$A$2:$A$7,Product!$C$2:$C$7)</f>
        <v>180</v>
      </c>
      <c r="J387" s="22">
        <f t="shared" si="19"/>
        <v>269280</v>
      </c>
      <c r="K387" s="22">
        <f t="shared" si="20"/>
        <v>253123.19999999998</v>
      </c>
      <c r="L387" s="22">
        <f>K387-(_xlfn.XLOOKUP(E387,Product!$A$2:$A$7,Product!$B$2:$B$7)*F387)</f>
        <v>73603.199999999983</v>
      </c>
      <c r="M387">
        <f>YEAR(Table1[[#This Row],[Order date]])</f>
        <v>2014</v>
      </c>
      <c r="N387" s="22" t="str" cm="1">
        <f t="array" ref="N387">_xlfn.IFS(G387=0,"No Discount", ROUND(G387*100,0)&lt;=4,"Low", ROUND(G387*100,0)&lt;=9,"Medium", ROUND(G387*100,0)&lt;=15,"High")</f>
        <v>Medium</v>
      </c>
      <c r="O387" s="22" t="str">
        <f>TEXT(Table1[[#This Row],[Order date]],"mmmm")</f>
        <v>June</v>
      </c>
    </row>
    <row r="388" spans="1:15" ht="13.5" x14ac:dyDescent="0.25">
      <c r="A388" s="1" t="str">
        <f>"ORD"&amp;"-"&amp;_xlfn.XLOOKUP(C388,Guide!$B$22:$B$26,Guide!$C$22:$C$26)&amp;"-"&amp;_xlfn.XLOOKUP(D388,Guide!$B$29:$B$33,Guide!$C$29:$C$33)&amp;"-"&amp;TEXT(H388,"yyyymmdd")</f>
        <v>ORD-MXC-GOV-20140601</v>
      </c>
      <c r="B388" s="1" t="s">
        <v>413</v>
      </c>
      <c r="C388" s="1" t="s">
        <v>33</v>
      </c>
      <c r="D388" s="1" t="s">
        <v>39</v>
      </c>
      <c r="E388" s="1" t="s">
        <v>88</v>
      </c>
      <c r="F388" s="2">
        <v>1498</v>
      </c>
      <c r="G388" s="4">
        <v>0.06</v>
      </c>
      <c r="H388" s="3">
        <f t="shared" si="18"/>
        <v>41791</v>
      </c>
      <c r="I388" s="1">
        <f>_xlfn.XLOOKUP(E388,Product!$A$2:$A$7,Product!$C$2:$C$7)</f>
        <v>180</v>
      </c>
      <c r="J388" s="22">
        <f t="shared" si="19"/>
        <v>269640</v>
      </c>
      <c r="K388" s="22">
        <f t="shared" si="20"/>
        <v>253461.59999999998</v>
      </c>
      <c r="L388" s="22">
        <f>K388-(_xlfn.XLOOKUP(E388,Product!$A$2:$A$7,Product!$B$2:$B$7)*F388)</f>
        <v>73701.599999999977</v>
      </c>
      <c r="M388">
        <f>YEAR(Table1[[#This Row],[Order date]])</f>
        <v>2014</v>
      </c>
      <c r="N388" s="22" t="str" cm="1">
        <f t="array" ref="N388">_xlfn.IFS(G388=0,"No Discount", ROUND(G388*100,0)&lt;=4,"Low", ROUND(G388*100,0)&lt;=9,"Medium", ROUND(G388*100,0)&lt;=15,"High")</f>
        <v>Medium</v>
      </c>
      <c r="O388" s="22" t="str">
        <f>TEXT(Table1[[#This Row],[Order date]],"mmmm")</f>
        <v>June</v>
      </c>
    </row>
    <row r="389" spans="1:15" ht="13.5" x14ac:dyDescent="0.25">
      <c r="A389" s="1" t="str">
        <f>"ORD"&amp;"-"&amp;_xlfn.XLOOKUP(C389,Guide!$B$22:$B$26,Guide!$C$22:$C$26)&amp;"-"&amp;_xlfn.XLOOKUP(D389,Guide!$B$29:$B$33,Guide!$C$29:$C$33)&amp;"-"&amp;TEXT(H389,"yyyymmdd")</f>
        <v>ORD-CND-MDM-20140601</v>
      </c>
      <c r="B389" s="1" t="s">
        <v>412</v>
      </c>
      <c r="C389" s="1" t="s">
        <v>27</v>
      </c>
      <c r="D389" s="1" t="s">
        <v>41</v>
      </c>
      <c r="E389" s="1" t="s">
        <v>78</v>
      </c>
      <c r="F389" s="2">
        <v>2844</v>
      </c>
      <c r="G389" s="4">
        <v>0.06</v>
      </c>
      <c r="H389" s="3">
        <f t="shared" si="18"/>
        <v>41791</v>
      </c>
      <c r="I389" s="1">
        <f>_xlfn.XLOOKUP(E389,Product!$A$2:$A$7,Product!$C$2:$C$7)</f>
        <v>300</v>
      </c>
      <c r="J389" s="22">
        <f t="shared" si="19"/>
        <v>853200</v>
      </c>
      <c r="K389" s="22">
        <f t="shared" si="20"/>
        <v>802008</v>
      </c>
      <c r="L389" s="22">
        <f>K389-(_xlfn.XLOOKUP(E389,Product!$A$2:$A$7,Product!$B$2:$B$7)*F389)</f>
        <v>91008</v>
      </c>
      <c r="M389">
        <f>YEAR(Table1[[#This Row],[Order date]])</f>
        <v>2014</v>
      </c>
      <c r="N389" s="22" t="str" cm="1">
        <f t="array" ref="N389">_xlfn.IFS(G389=0,"No Discount", ROUND(G389*100,0)&lt;=4,"Low", ROUND(G389*100,0)&lt;=9,"Medium", ROUND(G389*100,0)&lt;=15,"High")</f>
        <v>Medium</v>
      </c>
      <c r="O389" s="22" t="str">
        <f>TEXT(Table1[[#This Row],[Order date]],"mmmm")</f>
        <v>June</v>
      </c>
    </row>
    <row r="390" spans="1:15" ht="13.5" x14ac:dyDescent="0.25">
      <c r="A390" s="1" t="str">
        <f>"ORD"&amp;"-"&amp;_xlfn.XLOOKUP(C390,Guide!$B$22:$B$26,Guide!$C$22:$C$26)&amp;"-"&amp;_xlfn.XLOOKUP(D390,Guide!$B$29:$B$33,Guide!$C$29:$C$33)&amp;"-"&amp;TEXT(H390,"yyyymmdd")</f>
        <v>ORD-CND-GOV-20140601</v>
      </c>
      <c r="B390" s="1" t="s">
        <v>414</v>
      </c>
      <c r="C390" s="1" t="s">
        <v>27</v>
      </c>
      <c r="D390" s="1" t="s">
        <v>39</v>
      </c>
      <c r="E390" s="1" t="s">
        <v>88</v>
      </c>
      <c r="F390" s="2">
        <v>1135</v>
      </c>
      <c r="G390" s="4">
        <v>6.9999999999999993E-2</v>
      </c>
      <c r="H390" s="3">
        <f t="shared" si="18"/>
        <v>41791</v>
      </c>
      <c r="I390" s="1">
        <f>_xlfn.XLOOKUP(E390,Product!$A$2:$A$7,Product!$C$2:$C$7)</f>
        <v>180</v>
      </c>
      <c r="J390" s="22">
        <f t="shared" si="19"/>
        <v>204300</v>
      </c>
      <c r="K390" s="22">
        <f t="shared" si="20"/>
        <v>189999</v>
      </c>
      <c r="L390" s="22">
        <f>K390-(_xlfn.XLOOKUP(E390,Product!$A$2:$A$7,Product!$B$2:$B$7)*F390)</f>
        <v>53799</v>
      </c>
      <c r="M390">
        <f>YEAR(Table1[[#This Row],[Order date]])</f>
        <v>2014</v>
      </c>
      <c r="N390" s="22" t="str" cm="1">
        <f t="array" ref="N390">_xlfn.IFS(G390=0,"No Discount", ROUND(G390*100,0)&lt;=4,"Low", ROUND(G390*100,0)&lt;=9,"Medium", ROUND(G390*100,0)&lt;=15,"High")</f>
        <v>Medium</v>
      </c>
      <c r="O390" s="22" t="str">
        <f>TEXT(Table1[[#This Row],[Order date]],"mmmm")</f>
        <v>June</v>
      </c>
    </row>
    <row r="391" spans="1:15" ht="13.5" x14ac:dyDescent="0.25">
      <c r="A391" s="1" t="str">
        <f>"ORD"&amp;"-"&amp;_xlfn.XLOOKUP(C391,Guide!$B$22:$B$26,Guide!$C$22:$C$26)&amp;"-"&amp;_xlfn.XLOOKUP(D391,Guide!$B$29:$B$33,Guide!$C$29:$C$33)&amp;"-"&amp;TEXT(H391,"yyyymmdd")</f>
        <v>ORD-CND-GOV-20140601</v>
      </c>
      <c r="B391" s="1" t="s">
        <v>414</v>
      </c>
      <c r="C391" s="1" t="s">
        <v>27</v>
      </c>
      <c r="D391" s="1" t="s">
        <v>39</v>
      </c>
      <c r="E391" s="1" t="s">
        <v>84</v>
      </c>
      <c r="F391" s="2">
        <v>1135</v>
      </c>
      <c r="G391" s="4">
        <v>6.9999999999999993E-2</v>
      </c>
      <c r="H391" s="3">
        <f t="shared" si="18"/>
        <v>41791</v>
      </c>
      <c r="I391" s="1">
        <f>_xlfn.XLOOKUP(E391,Product!$A$2:$A$7,Product!$C$2:$C$7)</f>
        <v>350</v>
      </c>
      <c r="J391" s="22">
        <f t="shared" si="19"/>
        <v>397250</v>
      </c>
      <c r="K391" s="22">
        <f t="shared" si="20"/>
        <v>369442.5</v>
      </c>
      <c r="L391" s="22">
        <f>K391-(_xlfn.XLOOKUP(E391,Product!$A$2:$A$7,Product!$B$2:$B$7)*F391)</f>
        <v>142442.5</v>
      </c>
      <c r="M391">
        <f>YEAR(Table1[[#This Row],[Order date]])</f>
        <v>2014</v>
      </c>
      <c r="N391" s="22" t="str" cm="1">
        <f t="array" ref="N391">_xlfn.IFS(G391=0,"No Discount", ROUND(G391*100,0)&lt;=4,"Low", ROUND(G391*100,0)&lt;=9,"Medium", ROUND(G391*100,0)&lt;=15,"High")</f>
        <v>Medium</v>
      </c>
      <c r="O391" s="22" t="str">
        <f>TEXT(Table1[[#This Row],[Order date]],"mmmm")</f>
        <v>June</v>
      </c>
    </row>
    <row r="392" spans="1:15" ht="13.5" x14ac:dyDescent="0.25">
      <c r="A392" s="1" t="str">
        <f>"ORD"&amp;"-"&amp;_xlfn.XLOOKUP(C392,Guide!$B$22:$B$26,Guide!$C$22:$C$26)&amp;"-"&amp;_xlfn.XLOOKUP(D392,Guide!$B$29:$B$33,Guide!$C$29:$C$33)&amp;"-"&amp;TEXT(H392,"yyyymmdd")</f>
        <v>ORD-FRA-SMB-20140601</v>
      </c>
      <c r="B392" s="1" t="s">
        <v>415</v>
      </c>
      <c r="C392" s="1" t="s">
        <v>31</v>
      </c>
      <c r="D392" s="1" t="s">
        <v>47</v>
      </c>
      <c r="E392" s="1" t="s">
        <v>75</v>
      </c>
      <c r="F392" s="2">
        <v>448</v>
      </c>
      <c r="G392" s="4">
        <v>7.0000000000000007E-2</v>
      </c>
      <c r="H392" s="3">
        <f t="shared" si="18"/>
        <v>41791</v>
      </c>
      <c r="I392" s="1">
        <f>_xlfn.XLOOKUP(E392,Product!$A$2:$A$7,Product!$C$2:$C$7)</f>
        <v>20</v>
      </c>
      <c r="J392" s="22">
        <f t="shared" si="19"/>
        <v>8960</v>
      </c>
      <c r="K392" s="22">
        <f t="shared" si="20"/>
        <v>8332.7999999999993</v>
      </c>
      <c r="L392" s="22">
        <f>K392-(_xlfn.XLOOKUP(E392,Product!$A$2:$A$7,Product!$B$2:$B$7)*F392)</f>
        <v>3852.7999999999993</v>
      </c>
      <c r="M392">
        <f>YEAR(Table1[[#This Row],[Order date]])</f>
        <v>2014</v>
      </c>
      <c r="N392" s="22" t="str" cm="1">
        <f t="array" ref="N392">_xlfn.IFS(G392=0,"No Discount", ROUND(G392*100,0)&lt;=4,"Low", ROUND(G392*100,0)&lt;=9,"Medium", ROUND(G392*100,0)&lt;=15,"High")</f>
        <v>Medium</v>
      </c>
      <c r="O392" s="22" t="str">
        <f>TEXT(Table1[[#This Row],[Order date]],"mmmm")</f>
        <v>June</v>
      </c>
    </row>
    <row r="393" spans="1:15" ht="13.5" x14ac:dyDescent="0.25">
      <c r="A393" s="1" t="str">
        <f>"ORD"&amp;"-"&amp;_xlfn.XLOOKUP(C393,Guide!$B$22:$B$26,Guide!$C$22:$C$26)&amp;"-"&amp;_xlfn.XLOOKUP(D393,Guide!$B$29:$B$33,Guide!$C$29:$C$33)&amp;"-"&amp;TEXT(H393,"yyyymmdd")</f>
        <v>ORD-FRA-SMB-20140601</v>
      </c>
      <c r="B393" s="1" t="s">
        <v>415</v>
      </c>
      <c r="C393" s="1" t="s">
        <v>31</v>
      </c>
      <c r="D393" s="1" t="s">
        <v>47</v>
      </c>
      <c r="E393" s="1" t="s">
        <v>80</v>
      </c>
      <c r="F393" s="2">
        <v>448</v>
      </c>
      <c r="G393" s="4">
        <v>7.0000000000000007E-2</v>
      </c>
      <c r="H393" s="3">
        <f t="shared" si="18"/>
        <v>41791</v>
      </c>
      <c r="I393" s="1">
        <f>_xlfn.XLOOKUP(E393,Product!$A$2:$A$7,Product!$C$2:$C$7)</f>
        <v>20</v>
      </c>
      <c r="J393" s="22">
        <f t="shared" si="19"/>
        <v>8960</v>
      </c>
      <c r="K393" s="22">
        <f t="shared" si="20"/>
        <v>8332.7999999999993</v>
      </c>
      <c r="L393" s="22">
        <f>K393-(_xlfn.XLOOKUP(E393,Product!$A$2:$A$7,Product!$B$2:$B$7)*F393)</f>
        <v>6988.7999999999993</v>
      </c>
      <c r="M393">
        <f>YEAR(Table1[[#This Row],[Order date]])</f>
        <v>2014</v>
      </c>
      <c r="N393" s="22" t="str" cm="1">
        <f t="array" ref="N393">_xlfn.IFS(G393=0,"No Discount", ROUND(G393*100,0)&lt;=4,"Low", ROUND(G393*100,0)&lt;=9,"Medium", ROUND(G393*100,0)&lt;=15,"High")</f>
        <v>Medium</v>
      </c>
      <c r="O393" s="22" t="str">
        <f>TEXT(Table1[[#This Row],[Order date]],"mmmm")</f>
        <v>June</v>
      </c>
    </row>
    <row r="394" spans="1:15" ht="13.5" x14ac:dyDescent="0.25">
      <c r="A394" s="1" t="str">
        <f>"ORD"&amp;"-"&amp;_xlfn.XLOOKUP(C394,Guide!$B$22:$B$26,Guide!$C$22:$C$26)&amp;"-"&amp;_xlfn.XLOOKUP(D394,Guide!$B$29:$B$33,Guide!$C$29:$C$33)&amp;"-"&amp;TEXT(H394,"yyyymmdd")</f>
        <v>ORD-USA-GOV-20140601</v>
      </c>
      <c r="B394" s="1" t="s">
        <v>416</v>
      </c>
      <c r="C394" s="1" t="s">
        <v>35</v>
      </c>
      <c r="D394" s="1" t="s">
        <v>39</v>
      </c>
      <c r="E394" s="1" t="s">
        <v>82</v>
      </c>
      <c r="F394" s="2">
        <v>1282</v>
      </c>
      <c r="G394" s="4">
        <v>7.9999999999999988E-2</v>
      </c>
      <c r="H394" s="3">
        <f t="shared" si="18"/>
        <v>41791</v>
      </c>
      <c r="I394" s="1">
        <f>_xlfn.XLOOKUP(E394,Product!$A$2:$A$7,Product!$C$2:$C$7)</f>
        <v>15</v>
      </c>
      <c r="J394" s="22">
        <f t="shared" si="19"/>
        <v>19230</v>
      </c>
      <c r="K394" s="22">
        <f t="shared" si="20"/>
        <v>17691.600000000002</v>
      </c>
      <c r="L394" s="22">
        <f>K394-(_xlfn.XLOOKUP(E394,Product!$A$2:$A$7,Product!$B$2:$B$7)*F394)</f>
        <v>11281.600000000002</v>
      </c>
      <c r="M394">
        <f>YEAR(Table1[[#This Row],[Order date]])</f>
        <v>2014</v>
      </c>
      <c r="N394" s="22" t="str" cm="1">
        <f t="array" ref="N394">_xlfn.IFS(G394=0,"No Discount", ROUND(G394*100,0)&lt;=4,"Low", ROUND(G394*100,0)&lt;=9,"Medium", ROUND(G394*100,0)&lt;=15,"High")</f>
        <v>Medium</v>
      </c>
      <c r="O394" s="22" t="str">
        <f>TEXT(Table1[[#This Row],[Order date]],"mmmm")</f>
        <v>June</v>
      </c>
    </row>
    <row r="395" spans="1:15" ht="13.5" x14ac:dyDescent="0.25">
      <c r="A395" s="1" t="str">
        <f>"ORD"&amp;"-"&amp;_xlfn.XLOOKUP(C395,Guide!$B$22:$B$26,Guide!$C$22:$C$26)&amp;"-"&amp;_xlfn.XLOOKUP(D395,Guide!$B$29:$B$33,Guide!$C$29:$C$33)&amp;"-"&amp;TEXT(H395,"yyyymmdd")</f>
        <v>ORD-USA-GOV-20140601</v>
      </c>
      <c r="B395" s="1" t="s">
        <v>416</v>
      </c>
      <c r="C395" s="1" t="s">
        <v>35</v>
      </c>
      <c r="D395" s="1" t="s">
        <v>39</v>
      </c>
      <c r="E395" s="1" t="s">
        <v>84</v>
      </c>
      <c r="F395" s="2">
        <v>1282</v>
      </c>
      <c r="G395" s="4">
        <v>7.9999999999999988E-2</v>
      </c>
      <c r="H395" s="3">
        <f t="shared" si="18"/>
        <v>41791</v>
      </c>
      <c r="I395" s="1">
        <f>_xlfn.XLOOKUP(E395,Product!$A$2:$A$7,Product!$C$2:$C$7)</f>
        <v>350</v>
      </c>
      <c r="J395" s="22">
        <f t="shared" si="19"/>
        <v>448700</v>
      </c>
      <c r="K395" s="22">
        <f t="shared" si="20"/>
        <v>412804</v>
      </c>
      <c r="L395" s="22">
        <f>K395-(_xlfn.XLOOKUP(E395,Product!$A$2:$A$7,Product!$B$2:$B$7)*F395)</f>
        <v>156404</v>
      </c>
      <c r="M395">
        <f>YEAR(Table1[[#This Row],[Order date]])</f>
        <v>2014</v>
      </c>
      <c r="N395" s="22" t="str" cm="1">
        <f t="array" ref="N395">_xlfn.IFS(G395=0,"No Discount", ROUND(G395*100,0)&lt;=4,"Low", ROUND(G395*100,0)&lt;=9,"Medium", ROUND(G395*100,0)&lt;=15,"High")</f>
        <v>Medium</v>
      </c>
      <c r="O395" s="22" t="str">
        <f>TEXT(Table1[[#This Row],[Order date]],"mmmm")</f>
        <v>June</v>
      </c>
    </row>
    <row r="396" spans="1:15" ht="13.5" x14ac:dyDescent="0.25">
      <c r="A396" s="1" t="str">
        <f>"ORD"&amp;"-"&amp;_xlfn.XLOOKUP(C396,Guide!$B$22:$B$26,Guide!$C$22:$C$26)&amp;"-"&amp;_xlfn.XLOOKUP(D396,Guide!$B$29:$B$33,Guide!$C$29:$C$33)&amp;"-"&amp;TEXT(H396,"yyyymmdd")</f>
        <v>ORD-CND-GOV-20140601</v>
      </c>
      <c r="B396" s="1" t="s">
        <v>417</v>
      </c>
      <c r="C396" s="1" t="s">
        <v>27</v>
      </c>
      <c r="D396" s="1" t="s">
        <v>39</v>
      </c>
      <c r="E396" s="1" t="s">
        <v>82</v>
      </c>
      <c r="F396" s="2">
        <v>708</v>
      </c>
      <c r="G396" s="4">
        <v>0.08</v>
      </c>
      <c r="H396" s="3">
        <f t="shared" si="18"/>
        <v>41791</v>
      </c>
      <c r="I396" s="1">
        <f>_xlfn.XLOOKUP(E396,Product!$A$2:$A$7,Product!$C$2:$C$7)</f>
        <v>15</v>
      </c>
      <c r="J396" s="22">
        <f t="shared" si="19"/>
        <v>10620</v>
      </c>
      <c r="K396" s="22">
        <f t="shared" si="20"/>
        <v>9770.4</v>
      </c>
      <c r="L396" s="22">
        <f>K396-(_xlfn.XLOOKUP(E396,Product!$A$2:$A$7,Product!$B$2:$B$7)*F396)</f>
        <v>6230.4</v>
      </c>
      <c r="M396">
        <f>YEAR(Table1[[#This Row],[Order date]])</f>
        <v>2014</v>
      </c>
      <c r="N396" s="22" t="str" cm="1">
        <f t="array" ref="N396">_xlfn.IFS(G396=0,"No Discount", ROUND(G396*100,0)&lt;=4,"Low", ROUND(G396*100,0)&lt;=9,"Medium", ROUND(G396*100,0)&lt;=15,"High")</f>
        <v>Medium</v>
      </c>
      <c r="O396" s="22" t="str">
        <f>TEXT(Table1[[#This Row],[Order date]],"mmmm")</f>
        <v>June</v>
      </c>
    </row>
    <row r="397" spans="1:15" ht="13.5" x14ac:dyDescent="0.25">
      <c r="A397" s="1" t="str">
        <f>"ORD"&amp;"-"&amp;_xlfn.XLOOKUP(C397,Guide!$B$22:$B$26,Guide!$C$22:$C$26)&amp;"-"&amp;_xlfn.XLOOKUP(D397,Guide!$B$29:$B$33,Guide!$C$29:$C$33)&amp;"-"&amp;TEXT(H397,"yyyymmdd")</f>
        <v>ORD-GER-GOV-20140601</v>
      </c>
      <c r="B397" s="1" t="s">
        <v>418</v>
      </c>
      <c r="C397" s="1" t="s">
        <v>29</v>
      </c>
      <c r="D397" s="1" t="s">
        <v>39</v>
      </c>
      <c r="E397" s="1" t="s">
        <v>75</v>
      </c>
      <c r="F397" s="2">
        <v>1366</v>
      </c>
      <c r="G397" s="4">
        <v>0.08</v>
      </c>
      <c r="H397" s="3">
        <f t="shared" si="18"/>
        <v>41791</v>
      </c>
      <c r="I397" s="1">
        <f>_xlfn.XLOOKUP(E397,Product!$A$2:$A$7,Product!$C$2:$C$7)</f>
        <v>20</v>
      </c>
      <c r="J397" s="22">
        <f t="shared" si="19"/>
        <v>27320</v>
      </c>
      <c r="K397" s="22">
        <f t="shared" si="20"/>
        <v>25134.400000000001</v>
      </c>
      <c r="L397" s="22">
        <f>K397-(_xlfn.XLOOKUP(E397,Product!$A$2:$A$7,Product!$B$2:$B$7)*F397)</f>
        <v>11474.400000000001</v>
      </c>
      <c r="M397">
        <f>YEAR(Table1[[#This Row],[Order date]])</f>
        <v>2014</v>
      </c>
      <c r="N397" s="22" t="str" cm="1">
        <f t="array" ref="N397">_xlfn.IFS(G397=0,"No Discount", ROUND(G397*100,0)&lt;=4,"Low", ROUND(G397*100,0)&lt;=9,"Medium", ROUND(G397*100,0)&lt;=15,"High")</f>
        <v>Medium</v>
      </c>
      <c r="O397" s="22" t="str">
        <f>TEXT(Table1[[#This Row],[Order date]],"mmmm")</f>
        <v>June</v>
      </c>
    </row>
    <row r="398" spans="1:15" ht="13.5" x14ac:dyDescent="0.25">
      <c r="A398" s="1" t="str">
        <f>"ORD"&amp;"-"&amp;_xlfn.XLOOKUP(C398,Guide!$B$22:$B$26,Guide!$C$22:$C$26)&amp;"-"&amp;_xlfn.XLOOKUP(D398,Guide!$B$29:$B$33,Guide!$C$29:$C$33)&amp;"-"&amp;TEXT(H398,"yyyymmdd")</f>
        <v>ORD-MXC-SMB-20140601</v>
      </c>
      <c r="B398" s="1" t="s">
        <v>419</v>
      </c>
      <c r="C398" s="1" t="s">
        <v>33</v>
      </c>
      <c r="D398" s="1" t="s">
        <v>47</v>
      </c>
      <c r="E398" s="1" t="s">
        <v>75</v>
      </c>
      <c r="F398" s="2">
        <v>2460</v>
      </c>
      <c r="G398" s="4">
        <v>0.08</v>
      </c>
      <c r="H398" s="3">
        <f t="shared" si="18"/>
        <v>41791</v>
      </c>
      <c r="I398" s="1">
        <f>_xlfn.XLOOKUP(E398,Product!$A$2:$A$7,Product!$C$2:$C$7)</f>
        <v>20</v>
      </c>
      <c r="J398" s="22">
        <f t="shared" si="19"/>
        <v>49200</v>
      </c>
      <c r="K398" s="22">
        <f t="shared" si="20"/>
        <v>45264</v>
      </c>
      <c r="L398" s="22">
        <f>K398-(_xlfn.XLOOKUP(E398,Product!$A$2:$A$7,Product!$B$2:$B$7)*F398)</f>
        <v>20664</v>
      </c>
      <c r="M398">
        <f>YEAR(Table1[[#This Row],[Order date]])</f>
        <v>2014</v>
      </c>
      <c r="N398" s="22" t="str" cm="1">
        <f t="array" ref="N398">_xlfn.IFS(G398=0,"No Discount", ROUND(G398*100,0)&lt;=4,"Low", ROUND(G398*100,0)&lt;=9,"Medium", ROUND(G398*100,0)&lt;=15,"High")</f>
        <v>Medium</v>
      </c>
      <c r="O398" s="22" t="str">
        <f>TEXT(Table1[[#This Row],[Order date]],"mmmm")</f>
        <v>June</v>
      </c>
    </row>
    <row r="399" spans="1:15" ht="13.5" x14ac:dyDescent="0.25">
      <c r="A399" s="1" t="str">
        <f>"ORD"&amp;"-"&amp;_xlfn.XLOOKUP(C399,Guide!$B$22:$B$26,Guide!$C$22:$C$26)&amp;"-"&amp;_xlfn.XLOOKUP(D399,Guide!$B$29:$B$33,Guide!$C$29:$C$33)&amp;"-"&amp;TEXT(H399,"yyyymmdd")</f>
        <v>ORD-GER-GOV-20140601</v>
      </c>
      <c r="B399" s="1" t="s">
        <v>420</v>
      </c>
      <c r="C399" s="1" t="s">
        <v>29</v>
      </c>
      <c r="D399" s="1" t="s">
        <v>39</v>
      </c>
      <c r="E399" s="1" t="s">
        <v>78</v>
      </c>
      <c r="F399" s="2">
        <v>2338</v>
      </c>
      <c r="G399" s="4">
        <v>0.08</v>
      </c>
      <c r="H399" s="3">
        <f t="shared" si="18"/>
        <v>41791</v>
      </c>
      <c r="I399" s="1">
        <f>_xlfn.XLOOKUP(E399,Product!$A$2:$A$7,Product!$C$2:$C$7)</f>
        <v>300</v>
      </c>
      <c r="J399" s="22">
        <f t="shared" si="19"/>
        <v>701400</v>
      </c>
      <c r="K399" s="22">
        <f t="shared" si="20"/>
        <v>645288</v>
      </c>
      <c r="L399" s="22">
        <f>K399-(_xlfn.XLOOKUP(E399,Product!$A$2:$A$7,Product!$B$2:$B$7)*F399)</f>
        <v>60788</v>
      </c>
      <c r="M399">
        <f>YEAR(Table1[[#This Row],[Order date]])</f>
        <v>2014</v>
      </c>
      <c r="N399" s="22" t="str" cm="1">
        <f t="array" ref="N399">_xlfn.IFS(G399=0,"No Discount", ROUND(G399*100,0)&lt;=4,"Low", ROUND(G399*100,0)&lt;=9,"Medium", ROUND(G399*100,0)&lt;=15,"High")</f>
        <v>Medium</v>
      </c>
      <c r="O399" s="22" t="str">
        <f>TEXT(Table1[[#This Row],[Order date]],"mmmm")</f>
        <v>June</v>
      </c>
    </row>
    <row r="400" spans="1:15" ht="13.5" x14ac:dyDescent="0.25">
      <c r="A400" s="1" t="str">
        <f>"ORD"&amp;"-"&amp;_xlfn.XLOOKUP(C400,Guide!$B$22:$B$26,Guide!$C$22:$C$26)&amp;"-"&amp;_xlfn.XLOOKUP(D400,Guide!$B$29:$B$33,Guide!$C$29:$C$33)&amp;"-"&amp;TEXT(H400,"yyyymmdd")</f>
        <v>ORD-CND-GOV-20140601</v>
      </c>
      <c r="B400" s="1" t="s">
        <v>417</v>
      </c>
      <c r="C400" s="1" t="s">
        <v>27</v>
      </c>
      <c r="D400" s="1" t="s">
        <v>39</v>
      </c>
      <c r="E400" s="1" t="s">
        <v>84</v>
      </c>
      <c r="F400" s="2">
        <v>708</v>
      </c>
      <c r="G400" s="4">
        <v>0.08</v>
      </c>
      <c r="H400" s="3">
        <f t="shared" si="18"/>
        <v>41791</v>
      </c>
      <c r="I400" s="1">
        <f>_xlfn.XLOOKUP(E400,Product!$A$2:$A$7,Product!$C$2:$C$7)</f>
        <v>350</v>
      </c>
      <c r="J400" s="22">
        <f t="shared" si="19"/>
        <v>247800</v>
      </c>
      <c r="K400" s="22">
        <f t="shared" si="20"/>
        <v>227976</v>
      </c>
      <c r="L400" s="22">
        <f>K400-(_xlfn.XLOOKUP(E400,Product!$A$2:$A$7,Product!$B$2:$B$7)*F400)</f>
        <v>86376</v>
      </c>
      <c r="M400">
        <f>YEAR(Table1[[#This Row],[Order date]])</f>
        <v>2014</v>
      </c>
      <c r="N400" s="22" t="str" cm="1">
        <f t="array" ref="N400">_xlfn.IFS(G400=0,"No Discount", ROUND(G400*100,0)&lt;=4,"Low", ROUND(G400*100,0)&lt;=9,"Medium", ROUND(G400*100,0)&lt;=15,"High")</f>
        <v>Medium</v>
      </c>
      <c r="O400" s="22" t="str">
        <f>TEXT(Table1[[#This Row],[Order date]],"mmmm")</f>
        <v>June</v>
      </c>
    </row>
    <row r="401" spans="1:15" ht="13.5" x14ac:dyDescent="0.25">
      <c r="A401" s="1" t="str">
        <f>"ORD"&amp;"-"&amp;_xlfn.XLOOKUP(C401,Guide!$B$22:$B$26,Guide!$C$22:$C$26)&amp;"-"&amp;_xlfn.XLOOKUP(D401,Guide!$B$29:$B$33,Guide!$C$29:$C$33)&amp;"-"&amp;TEXT(H401,"yyyymmdd")</f>
        <v>ORD-GER-GOV-20140601</v>
      </c>
      <c r="B401" s="1" t="s">
        <v>420</v>
      </c>
      <c r="C401" s="1" t="s">
        <v>29</v>
      </c>
      <c r="D401" s="1" t="s">
        <v>39</v>
      </c>
      <c r="E401" s="1" t="s">
        <v>88</v>
      </c>
      <c r="F401" s="2">
        <v>2338</v>
      </c>
      <c r="G401" s="4">
        <v>0.08</v>
      </c>
      <c r="H401" s="3">
        <f t="shared" si="18"/>
        <v>41791</v>
      </c>
      <c r="I401" s="1">
        <f>_xlfn.XLOOKUP(E401,Product!$A$2:$A$7,Product!$C$2:$C$7)</f>
        <v>180</v>
      </c>
      <c r="J401" s="22">
        <f t="shared" si="19"/>
        <v>420840</v>
      </c>
      <c r="K401" s="22">
        <f t="shared" si="20"/>
        <v>387172.8</v>
      </c>
      <c r="L401" s="22">
        <f>K401-(_xlfn.XLOOKUP(E401,Product!$A$2:$A$7,Product!$B$2:$B$7)*F401)</f>
        <v>106612.79999999999</v>
      </c>
      <c r="M401">
        <f>YEAR(Table1[[#This Row],[Order date]])</f>
        <v>2014</v>
      </c>
      <c r="N401" s="22" t="str" cm="1">
        <f t="array" ref="N401">_xlfn.IFS(G401=0,"No Discount", ROUND(G401*100,0)&lt;=4,"Low", ROUND(G401*100,0)&lt;=9,"Medium", ROUND(G401*100,0)&lt;=15,"High")</f>
        <v>Medium</v>
      </c>
      <c r="O401" s="22" t="str">
        <f>TEXT(Table1[[#This Row],[Order date]],"mmmm")</f>
        <v>June</v>
      </c>
    </row>
    <row r="402" spans="1:15" ht="13.5" x14ac:dyDescent="0.25">
      <c r="A402" s="1" t="str">
        <f>"ORD"&amp;"-"&amp;_xlfn.XLOOKUP(C402,Guide!$B$22:$B$26,Guide!$C$22:$C$26)&amp;"-"&amp;_xlfn.XLOOKUP(D402,Guide!$B$29:$B$33,Guide!$C$29:$C$33)&amp;"-"&amp;TEXT(H402,"yyyymmdd")</f>
        <v>ORD-USA-GOV-20140601</v>
      </c>
      <c r="B402" s="1" t="s">
        <v>421</v>
      </c>
      <c r="C402" s="1" t="s">
        <v>35</v>
      </c>
      <c r="D402" s="1" t="s">
        <v>39</v>
      </c>
      <c r="E402" s="1" t="s">
        <v>88</v>
      </c>
      <c r="F402" s="2">
        <v>2907</v>
      </c>
      <c r="G402" s="4">
        <v>0.08</v>
      </c>
      <c r="H402" s="3">
        <f t="shared" si="18"/>
        <v>41791</v>
      </c>
      <c r="I402" s="1">
        <f>_xlfn.XLOOKUP(E402,Product!$A$2:$A$7,Product!$C$2:$C$7)</f>
        <v>180</v>
      </c>
      <c r="J402" s="22">
        <f t="shared" si="19"/>
        <v>523260</v>
      </c>
      <c r="K402" s="22">
        <f t="shared" si="20"/>
        <v>481399.2</v>
      </c>
      <c r="L402" s="22">
        <f>K402-(_xlfn.XLOOKUP(E402,Product!$A$2:$A$7,Product!$B$2:$B$7)*F402)</f>
        <v>132559.20000000001</v>
      </c>
      <c r="M402">
        <f>YEAR(Table1[[#This Row],[Order date]])</f>
        <v>2014</v>
      </c>
      <c r="N402" s="22" t="str" cm="1">
        <f t="array" ref="N402">_xlfn.IFS(G402=0,"No Discount", ROUND(G402*100,0)&lt;=4,"Low", ROUND(G402*100,0)&lt;=9,"Medium", ROUND(G402*100,0)&lt;=15,"High")</f>
        <v>Medium</v>
      </c>
      <c r="O402" s="22" t="str">
        <f>TEXT(Table1[[#This Row],[Order date]],"mmmm")</f>
        <v>June</v>
      </c>
    </row>
    <row r="403" spans="1:15" ht="13.5" x14ac:dyDescent="0.25">
      <c r="A403" s="1" t="str">
        <f>"ORD"&amp;"-"&amp;_xlfn.XLOOKUP(C403,Guide!$B$22:$B$26,Guide!$C$22:$C$26)&amp;"-"&amp;_xlfn.XLOOKUP(D403,Guide!$B$29:$B$33,Guide!$C$29:$C$33)&amp;"-"&amp;TEXT(H403,"yyyymmdd")</f>
        <v>ORD-GER-GOV-20140601</v>
      </c>
      <c r="B403" s="1" t="s">
        <v>418</v>
      </c>
      <c r="C403" s="1" t="s">
        <v>29</v>
      </c>
      <c r="D403" s="1" t="s">
        <v>39</v>
      </c>
      <c r="E403" s="1" t="s">
        <v>84</v>
      </c>
      <c r="F403" s="2">
        <v>1366</v>
      </c>
      <c r="G403" s="4">
        <v>0.08</v>
      </c>
      <c r="H403" s="3">
        <f t="shared" si="18"/>
        <v>41791</v>
      </c>
      <c r="I403" s="1">
        <f>_xlfn.XLOOKUP(E403,Product!$A$2:$A$7,Product!$C$2:$C$7)</f>
        <v>350</v>
      </c>
      <c r="J403" s="22">
        <f t="shared" si="19"/>
        <v>478100</v>
      </c>
      <c r="K403" s="22">
        <f t="shared" si="20"/>
        <v>439852</v>
      </c>
      <c r="L403" s="22">
        <f>K403-(_xlfn.XLOOKUP(E403,Product!$A$2:$A$7,Product!$B$2:$B$7)*F403)</f>
        <v>166652</v>
      </c>
      <c r="M403">
        <f>YEAR(Table1[[#This Row],[Order date]])</f>
        <v>2014</v>
      </c>
      <c r="N403" s="22" t="str" cm="1">
        <f t="array" ref="N403">_xlfn.IFS(G403=0,"No Discount", ROUND(G403*100,0)&lt;=4,"Low", ROUND(G403*100,0)&lt;=9,"Medium", ROUND(G403*100,0)&lt;=15,"High")</f>
        <v>Medium</v>
      </c>
      <c r="O403" s="22" t="str">
        <f>TEXT(Table1[[#This Row],[Order date]],"mmmm")</f>
        <v>June</v>
      </c>
    </row>
    <row r="404" spans="1:15" ht="13.5" x14ac:dyDescent="0.25">
      <c r="A404" s="1" t="str">
        <f>"ORD"&amp;"-"&amp;_xlfn.XLOOKUP(C404,Guide!$B$22:$B$26,Guide!$C$22:$C$26)&amp;"-"&amp;_xlfn.XLOOKUP(D404,Guide!$B$29:$B$33,Guide!$C$29:$C$33)&amp;"-"&amp;TEXT(H404,"yyyymmdd")</f>
        <v>ORD-MXC-SMB-20140601</v>
      </c>
      <c r="B404" s="1" t="s">
        <v>419</v>
      </c>
      <c r="C404" s="1" t="s">
        <v>33</v>
      </c>
      <c r="D404" s="1" t="s">
        <v>47</v>
      </c>
      <c r="E404" s="1" t="s">
        <v>84</v>
      </c>
      <c r="F404" s="2">
        <v>2460</v>
      </c>
      <c r="G404" s="4">
        <v>0.08</v>
      </c>
      <c r="H404" s="3">
        <f t="shared" si="18"/>
        <v>41791</v>
      </c>
      <c r="I404" s="1">
        <f>_xlfn.XLOOKUP(E404,Product!$A$2:$A$7,Product!$C$2:$C$7)</f>
        <v>350</v>
      </c>
      <c r="J404" s="22">
        <f t="shared" si="19"/>
        <v>861000</v>
      </c>
      <c r="K404" s="22">
        <f t="shared" si="20"/>
        <v>792120</v>
      </c>
      <c r="L404" s="22">
        <f>K404-(_xlfn.XLOOKUP(E404,Product!$A$2:$A$7,Product!$B$2:$B$7)*F404)</f>
        <v>300120</v>
      </c>
      <c r="M404">
        <f>YEAR(Table1[[#This Row],[Order date]])</f>
        <v>2014</v>
      </c>
      <c r="N404" s="22" t="str" cm="1">
        <f t="array" ref="N404">_xlfn.IFS(G404=0,"No Discount", ROUND(G404*100,0)&lt;=4,"Low", ROUND(G404*100,0)&lt;=9,"Medium", ROUND(G404*100,0)&lt;=15,"High")</f>
        <v>Medium</v>
      </c>
      <c r="O404" s="22" t="str">
        <f>TEXT(Table1[[#This Row],[Order date]],"mmmm")</f>
        <v>June</v>
      </c>
    </row>
    <row r="405" spans="1:15" ht="13.5" x14ac:dyDescent="0.25">
      <c r="A405" s="1" t="str">
        <f>"ORD"&amp;"-"&amp;_xlfn.XLOOKUP(C405,Guide!$B$22:$B$26,Guide!$C$22:$C$26)&amp;"-"&amp;_xlfn.XLOOKUP(D405,Guide!$B$29:$B$33,Guide!$C$29:$C$33)&amp;"-"&amp;TEXT(H405,"yyyymmdd")</f>
        <v>ORD-USA-GOV-20140601</v>
      </c>
      <c r="B405" s="1" t="s">
        <v>421</v>
      </c>
      <c r="C405" s="1" t="s">
        <v>35</v>
      </c>
      <c r="D405" s="1" t="s">
        <v>39</v>
      </c>
      <c r="E405" s="1" t="s">
        <v>84</v>
      </c>
      <c r="F405" s="2">
        <v>2907</v>
      </c>
      <c r="G405" s="4">
        <v>0.08</v>
      </c>
      <c r="H405" s="3">
        <f t="shared" si="18"/>
        <v>41791</v>
      </c>
      <c r="I405" s="1">
        <f>_xlfn.XLOOKUP(E405,Product!$A$2:$A$7,Product!$C$2:$C$7)</f>
        <v>350</v>
      </c>
      <c r="J405" s="22">
        <f t="shared" si="19"/>
        <v>1017450</v>
      </c>
      <c r="K405" s="22">
        <f t="shared" si="20"/>
        <v>936054</v>
      </c>
      <c r="L405" s="22">
        <f>K405-(_xlfn.XLOOKUP(E405,Product!$A$2:$A$7,Product!$B$2:$B$7)*F405)</f>
        <v>354654</v>
      </c>
      <c r="M405">
        <f>YEAR(Table1[[#This Row],[Order date]])</f>
        <v>2014</v>
      </c>
      <c r="N405" s="22" t="str" cm="1">
        <f t="array" ref="N405">_xlfn.IFS(G405=0,"No Discount", ROUND(G405*100,0)&lt;=4,"Low", ROUND(G405*100,0)&lt;=9,"Medium", ROUND(G405*100,0)&lt;=15,"High")</f>
        <v>Medium</v>
      </c>
      <c r="O405" s="22" t="str">
        <f>TEXT(Table1[[#This Row],[Order date]],"mmmm")</f>
        <v>June</v>
      </c>
    </row>
    <row r="406" spans="1:15" ht="13.5" x14ac:dyDescent="0.25">
      <c r="A406" s="1" t="str">
        <f>"ORD"&amp;"-"&amp;_xlfn.XLOOKUP(C406,Guide!$B$22:$B$26,Guide!$C$22:$C$26)&amp;"-"&amp;_xlfn.XLOOKUP(D406,Guide!$B$29:$B$33,Guide!$C$29:$C$33)&amp;"-"&amp;TEXT(H406,"yyyymmdd")</f>
        <v>ORD-CND-SMB-20140601</v>
      </c>
      <c r="B406" s="1" t="s">
        <v>422</v>
      </c>
      <c r="C406" s="1" t="s">
        <v>27</v>
      </c>
      <c r="D406" s="1" t="s">
        <v>47</v>
      </c>
      <c r="E406" s="1" t="s">
        <v>75</v>
      </c>
      <c r="F406" s="2">
        <v>1094</v>
      </c>
      <c r="G406" s="4">
        <v>0.09</v>
      </c>
      <c r="H406" s="3">
        <f t="shared" si="18"/>
        <v>41791</v>
      </c>
      <c r="I406" s="1">
        <f>_xlfn.XLOOKUP(E406,Product!$A$2:$A$7,Product!$C$2:$C$7)</f>
        <v>20</v>
      </c>
      <c r="J406" s="22">
        <f t="shared" si="19"/>
        <v>21880</v>
      </c>
      <c r="K406" s="22">
        <f t="shared" si="20"/>
        <v>19910.8</v>
      </c>
      <c r="L406" s="22">
        <f>K406-(_xlfn.XLOOKUP(E406,Product!$A$2:$A$7,Product!$B$2:$B$7)*F406)</f>
        <v>8970.7999999999993</v>
      </c>
      <c r="M406">
        <f>YEAR(Table1[[#This Row],[Order date]])</f>
        <v>2014</v>
      </c>
      <c r="N406" s="22" t="str" cm="1">
        <f t="array" ref="N406">_xlfn.IFS(G406=0,"No Discount", ROUND(G406*100,0)&lt;=4,"Low", ROUND(G406*100,0)&lt;=9,"Medium", ROUND(G406*100,0)&lt;=15,"High")</f>
        <v>Medium</v>
      </c>
      <c r="O406" s="22" t="str">
        <f>TEXT(Table1[[#This Row],[Order date]],"mmmm")</f>
        <v>June</v>
      </c>
    </row>
    <row r="407" spans="1:15" ht="13.5" x14ac:dyDescent="0.25">
      <c r="A407" s="1" t="str">
        <f>"ORD"&amp;"-"&amp;_xlfn.XLOOKUP(C407,Guide!$B$22:$B$26,Guide!$C$22:$C$26)&amp;"-"&amp;_xlfn.XLOOKUP(D407,Guide!$B$29:$B$33,Guide!$C$29:$C$33)&amp;"-"&amp;TEXT(H407,"yyyymmdd")</f>
        <v>ORD-CND-SMB-20140601</v>
      </c>
      <c r="B407" s="1" t="s">
        <v>422</v>
      </c>
      <c r="C407" s="1" t="s">
        <v>27</v>
      </c>
      <c r="D407" s="1" t="s">
        <v>47</v>
      </c>
      <c r="E407" s="1" t="s">
        <v>80</v>
      </c>
      <c r="F407" s="2">
        <v>1094</v>
      </c>
      <c r="G407" s="4">
        <v>0.09</v>
      </c>
      <c r="H407" s="3">
        <f t="shared" si="18"/>
        <v>41791</v>
      </c>
      <c r="I407" s="1">
        <f>_xlfn.XLOOKUP(E407,Product!$A$2:$A$7,Product!$C$2:$C$7)</f>
        <v>20</v>
      </c>
      <c r="J407" s="22">
        <f t="shared" si="19"/>
        <v>21880</v>
      </c>
      <c r="K407" s="22">
        <f t="shared" si="20"/>
        <v>19910.8</v>
      </c>
      <c r="L407" s="22">
        <f>K407-(_xlfn.XLOOKUP(E407,Product!$A$2:$A$7,Product!$B$2:$B$7)*F407)</f>
        <v>16628.8</v>
      </c>
      <c r="M407">
        <f>YEAR(Table1[[#This Row],[Order date]])</f>
        <v>2014</v>
      </c>
      <c r="N407" s="22" t="str" cm="1">
        <f t="array" ref="N407">_xlfn.IFS(G407=0,"No Discount", ROUND(G407*100,0)&lt;=4,"Low", ROUND(G407*100,0)&lt;=9,"Medium", ROUND(G407*100,0)&lt;=15,"High")</f>
        <v>Medium</v>
      </c>
      <c r="O407" s="22" t="str">
        <f>TEXT(Table1[[#This Row],[Order date]],"mmmm")</f>
        <v>June</v>
      </c>
    </row>
    <row r="408" spans="1:15" ht="13.5" x14ac:dyDescent="0.25">
      <c r="A408" s="1" t="str">
        <f>"ORD"&amp;"-"&amp;_xlfn.XLOOKUP(C408,Guide!$B$22:$B$26,Guide!$C$22:$C$26)&amp;"-"&amp;_xlfn.XLOOKUP(D408,Guide!$B$29:$B$33,Guide!$C$29:$C$33)&amp;"-"&amp;TEXT(H408,"yyyymmdd")</f>
        <v>ORD-MXC-GOV-20140601</v>
      </c>
      <c r="B408" s="1" t="s">
        <v>423</v>
      </c>
      <c r="C408" s="1" t="s">
        <v>33</v>
      </c>
      <c r="D408" s="1" t="s">
        <v>39</v>
      </c>
      <c r="E408" s="1" t="s">
        <v>75</v>
      </c>
      <c r="F408" s="2">
        <v>1038</v>
      </c>
      <c r="G408" s="4">
        <v>9.0000000000000011E-2</v>
      </c>
      <c r="H408" s="3">
        <f t="shared" si="18"/>
        <v>41791</v>
      </c>
      <c r="I408" s="1">
        <f>_xlfn.XLOOKUP(E408,Product!$A$2:$A$7,Product!$C$2:$C$7)</f>
        <v>20</v>
      </c>
      <c r="J408" s="22">
        <f t="shared" si="19"/>
        <v>20760</v>
      </c>
      <c r="K408" s="22">
        <f t="shared" si="20"/>
        <v>18891.600000000002</v>
      </c>
      <c r="L408" s="22">
        <f>K408-(_xlfn.XLOOKUP(E408,Product!$A$2:$A$7,Product!$B$2:$B$7)*F408)</f>
        <v>8511.6000000000022</v>
      </c>
      <c r="M408">
        <f>YEAR(Table1[[#This Row],[Order date]])</f>
        <v>2014</v>
      </c>
      <c r="N408" s="22" t="str" cm="1">
        <f t="array" ref="N408">_xlfn.IFS(G408=0,"No Discount", ROUND(G408*100,0)&lt;=4,"Low", ROUND(G408*100,0)&lt;=9,"Medium", ROUND(G408*100,0)&lt;=15,"High")</f>
        <v>Medium</v>
      </c>
      <c r="O408" s="22" t="str">
        <f>TEXT(Table1[[#This Row],[Order date]],"mmmm")</f>
        <v>June</v>
      </c>
    </row>
    <row r="409" spans="1:15" ht="13.5" x14ac:dyDescent="0.25">
      <c r="A409" s="1" t="str">
        <f>"ORD"&amp;"-"&amp;_xlfn.XLOOKUP(C409,Guide!$B$22:$B$26,Guide!$C$22:$C$26)&amp;"-"&amp;_xlfn.XLOOKUP(D409,Guide!$B$29:$B$33,Guide!$C$29:$C$33)&amp;"-"&amp;TEXT(H409,"yyyymmdd")</f>
        <v>ORD-MXC-GOV-20140601</v>
      </c>
      <c r="B409" s="1" t="s">
        <v>423</v>
      </c>
      <c r="C409" s="1" t="s">
        <v>33</v>
      </c>
      <c r="D409" s="1" t="s">
        <v>39</v>
      </c>
      <c r="E409" s="1" t="s">
        <v>84</v>
      </c>
      <c r="F409" s="2">
        <v>1038</v>
      </c>
      <c r="G409" s="4">
        <v>9.0000000000000011E-2</v>
      </c>
      <c r="H409" s="3">
        <f t="shared" si="18"/>
        <v>41791</v>
      </c>
      <c r="I409" s="1">
        <f>_xlfn.XLOOKUP(E409,Product!$A$2:$A$7,Product!$C$2:$C$7)</f>
        <v>350</v>
      </c>
      <c r="J409" s="22">
        <f t="shared" si="19"/>
        <v>363300</v>
      </c>
      <c r="K409" s="22">
        <f t="shared" si="20"/>
        <v>330603</v>
      </c>
      <c r="L409" s="22">
        <f>K409-(_xlfn.XLOOKUP(E409,Product!$A$2:$A$7,Product!$B$2:$B$7)*F409)</f>
        <v>123003</v>
      </c>
      <c r="M409">
        <f>YEAR(Table1[[#This Row],[Order date]])</f>
        <v>2014</v>
      </c>
      <c r="N409" s="22" t="str" cm="1">
        <f t="array" ref="N409">_xlfn.IFS(G409=0,"No Discount", ROUND(G409*100,0)&lt;=4,"Low", ROUND(G409*100,0)&lt;=9,"Medium", ROUND(G409*100,0)&lt;=15,"High")</f>
        <v>Medium</v>
      </c>
      <c r="O409" s="22" t="str">
        <f>TEXT(Table1[[#This Row],[Order date]],"mmmm")</f>
        <v>June</v>
      </c>
    </row>
    <row r="410" spans="1:15" ht="13.5" x14ac:dyDescent="0.25">
      <c r="A410" s="1" t="str">
        <f>"ORD"&amp;"-"&amp;_xlfn.XLOOKUP(C410,Guide!$B$22:$B$26,Guide!$C$22:$C$26)&amp;"-"&amp;_xlfn.XLOOKUP(D410,Guide!$B$29:$B$33,Guide!$C$29:$C$33)&amp;"-"&amp;TEXT(H410,"yyyymmdd")</f>
        <v>ORD-MXC-GOV-20140601</v>
      </c>
      <c r="B410" s="1" t="s">
        <v>424</v>
      </c>
      <c r="C410" s="1" t="s">
        <v>33</v>
      </c>
      <c r="D410" s="1" t="s">
        <v>39</v>
      </c>
      <c r="E410" s="1" t="s">
        <v>75</v>
      </c>
      <c r="F410" s="2">
        <v>886</v>
      </c>
      <c r="G410" s="4">
        <v>0.12</v>
      </c>
      <c r="H410" s="3">
        <f t="shared" si="18"/>
        <v>41791</v>
      </c>
      <c r="I410" s="1">
        <f>_xlfn.XLOOKUP(E410,Product!$A$2:$A$7,Product!$C$2:$C$7)</f>
        <v>20</v>
      </c>
      <c r="J410" s="22">
        <f t="shared" si="19"/>
        <v>17720</v>
      </c>
      <c r="K410" s="22">
        <f t="shared" si="20"/>
        <v>15593.6</v>
      </c>
      <c r="L410" s="22">
        <f>K410-(_xlfn.XLOOKUP(E410,Product!$A$2:$A$7,Product!$B$2:$B$7)*F410)</f>
        <v>6733.6</v>
      </c>
      <c r="M410">
        <f>YEAR(Table1[[#This Row],[Order date]])</f>
        <v>2014</v>
      </c>
      <c r="N410" s="22" t="str" cm="1">
        <f t="array" ref="N410">_xlfn.IFS(G410=0,"No Discount", ROUND(G410*100,0)&lt;=4,"Low", ROUND(G410*100,0)&lt;=9,"Medium", ROUND(G410*100,0)&lt;=15,"High")</f>
        <v>High</v>
      </c>
      <c r="O410" s="22" t="str">
        <f>TEXT(Table1[[#This Row],[Order date]],"mmmm")</f>
        <v>June</v>
      </c>
    </row>
    <row r="411" spans="1:15" ht="13.5" x14ac:dyDescent="0.25">
      <c r="A411" s="1" t="str">
        <f>"ORD"&amp;"-"&amp;_xlfn.XLOOKUP(C411,Guide!$B$22:$B$26,Guide!$C$22:$C$26)&amp;"-"&amp;_xlfn.XLOOKUP(D411,Guide!$B$29:$B$33,Guide!$C$29:$C$33)&amp;"-"&amp;TEXT(H411,"yyyymmdd")</f>
        <v>ORD-MXC-GOV-20140601</v>
      </c>
      <c r="B411" s="1" t="s">
        <v>424</v>
      </c>
      <c r="C411" s="1" t="s">
        <v>33</v>
      </c>
      <c r="D411" s="1" t="s">
        <v>39</v>
      </c>
      <c r="E411" s="1" t="s">
        <v>80</v>
      </c>
      <c r="F411" s="2">
        <v>886</v>
      </c>
      <c r="G411" s="4">
        <v>0.12</v>
      </c>
      <c r="H411" s="3">
        <f t="shared" si="18"/>
        <v>41791</v>
      </c>
      <c r="I411" s="1">
        <f>_xlfn.XLOOKUP(E411,Product!$A$2:$A$7,Product!$C$2:$C$7)</f>
        <v>20</v>
      </c>
      <c r="J411" s="22">
        <f t="shared" si="19"/>
        <v>17720</v>
      </c>
      <c r="K411" s="22">
        <f t="shared" si="20"/>
        <v>15593.6</v>
      </c>
      <c r="L411" s="22">
        <f>K411-(_xlfn.XLOOKUP(E411,Product!$A$2:$A$7,Product!$B$2:$B$7)*F411)</f>
        <v>12935.6</v>
      </c>
      <c r="M411">
        <f>YEAR(Table1[[#This Row],[Order date]])</f>
        <v>2014</v>
      </c>
      <c r="N411" s="22" t="str" cm="1">
        <f t="array" ref="N411">_xlfn.IFS(G411=0,"No Discount", ROUND(G411*100,0)&lt;=4,"Low", ROUND(G411*100,0)&lt;=9,"Medium", ROUND(G411*100,0)&lt;=15,"High")</f>
        <v>High</v>
      </c>
      <c r="O411" s="22" t="str">
        <f>TEXT(Table1[[#This Row],[Order date]],"mmmm")</f>
        <v>June</v>
      </c>
    </row>
    <row r="412" spans="1:15" ht="13.5" x14ac:dyDescent="0.25">
      <c r="A412" s="1" t="str">
        <f>"ORD"&amp;"-"&amp;_xlfn.XLOOKUP(C412,Guide!$B$22:$B$26,Guide!$C$22:$C$26)&amp;"-"&amp;_xlfn.XLOOKUP(D412,Guide!$B$29:$B$33,Guide!$C$29:$C$33)&amp;"-"&amp;TEXT(H412,"yyyymmdd")</f>
        <v>ORD-USA-MDM-20140601</v>
      </c>
      <c r="B412" s="1" t="s">
        <v>425</v>
      </c>
      <c r="C412" s="1" t="s">
        <v>35</v>
      </c>
      <c r="D412" s="1" t="s">
        <v>41</v>
      </c>
      <c r="E412" s="1" t="s">
        <v>78</v>
      </c>
      <c r="F412" s="2">
        <v>2567</v>
      </c>
      <c r="G412" s="4">
        <v>0.12999999999999998</v>
      </c>
      <c r="H412" s="3">
        <f t="shared" si="18"/>
        <v>41791</v>
      </c>
      <c r="I412" s="1">
        <f>_xlfn.XLOOKUP(E412,Product!$A$2:$A$7,Product!$C$2:$C$7)</f>
        <v>300</v>
      </c>
      <c r="J412" s="22">
        <f t="shared" si="19"/>
        <v>770100</v>
      </c>
      <c r="K412" s="22">
        <f t="shared" si="20"/>
        <v>669987</v>
      </c>
      <c r="L412" s="22">
        <f>K412-(_xlfn.XLOOKUP(E412,Product!$A$2:$A$7,Product!$B$2:$B$7)*F412)</f>
        <v>28237</v>
      </c>
      <c r="M412">
        <f>YEAR(Table1[[#This Row],[Order date]])</f>
        <v>2014</v>
      </c>
      <c r="N412" s="22" t="str" cm="1">
        <f t="array" ref="N412">_xlfn.IFS(G412=0,"No Discount", ROUND(G412*100,0)&lt;=4,"Low", ROUND(G412*100,0)&lt;=9,"Medium", ROUND(G412*100,0)&lt;=15,"High")</f>
        <v>High</v>
      </c>
      <c r="O412" s="22" t="str">
        <f>TEXT(Table1[[#This Row],[Order date]],"mmmm")</f>
        <v>June</v>
      </c>
    </row>
    <row r="413" spans="1:15" ht="13.5" x14ac:dyDescent="0.25">
      <c r="A413" s="1" t="str">
        <f>"ORD"&amp;"-"&amp;_xlfn.XLOOKUP(C413,Guide!$B$22:$B$26,Guide!$C$22:$C$26)&amp;"-"&amp;_xlfn.XLOOKUP(D413,Guide!$B$29:$B$33,Guide!$C$29:$C$33)&amp;"-"&amp;TEXT(H413,"yyyymmdd")</f>
        <v>ORD-USA-MDM-20140601</v>
      </c>
      <c r="B413" s="1" t="s">
        <v>425</v>
      </c>
      <c r="C413" s="1" t="s">
        <v>35</v>
      </c>
      <c r="D413" s="1" t="s">
        <v>41</v>
      </c>
      <c r="E413" s="1" t="s">
        <v>80</v>
      </c>
      <c r="F413" s="2">
        <v>2567</v>
      </c>
      <c r="G413" s="4">
        <v>0.12999999999999998</v>
      </c>
      <c r="H413" s="3">
        <f t="shared" si="18"/>
        <v>41791</v>
      </c>
      <c r="I413" s="1">
        <f>_xlfn.XLOOKUP(E413,Product!$A$2:$A$7,Product!$C$2:$C$7)</f>
        <v>20</v>
      </c>
      <c r="J413" s="22">
        <f t="shared" si="19"/>
        <v>51340</v>
      </c>
      <c r="K413" s="22">
        <f t="shared" si="20"/>
        <v>44665.8</v>
      </c>
      <c r="L413" s="22">
        <f>K413-(_xlfn.XLOOKUP(E413,Product!$A$2:$A$7,Product!$B$2:$B$7)*F413)</f>
        <v>36964.800000000003</v>
      </c>
      <c r="M413">
        <f>YEAR(Table1[[#This Row],[Order date]])</f>
        <v>2014</v>
      </c>
      <c r="N413" s="22" t="str" cm="1">
        <f t="array" ref="N413">_xlfn.IFS(G413=0,"No Discount", ROUND(G413*100,0)&lt;=4,"Low", ROUND(G413*100,0)&lt;=9,"Medium", ROUND(G413*100,0)&lt;=15,"High")</f>
        <v>High</v>
      </c>
      <c r="O413" s="22" t="str">
        <f>TEXT(Table1[[#This Row],[Order date]],"mmmm")</f>
        <v>June</v>
      </c>
    </row>
    <row r="414" spans="1:15" ht="13.5" x14ac:dyDescent="0.25">
      <c r="A414" s="1" t="str">
        <f>"ORD"&amp;"-"&amp;_xlfn.XLOOKUP(C414,Guide!$B$22:$B$26,Guide!$C$22:$C$26)&amp;"-"&amp;_xlfn.XLOOKUP(D414,Guide!$B$29:$B$33,Guide!$C$29:$C$33)&amp;"-"&amp;TEXT(H414,"yyyymmdd")</f>
        <v>ORD-MXC-CPR-20140601</v>
      </c>
      <c r="B414" s="1" t="s">
        <v>426</v>
      </c>
      <c r="C414" s="1" t="s">
        <v>33</v>
      </c>
      <c r="D414" s="1" t="s">
        <v>43</v>
      </c>
      <c r="E414" s="1" t="s">
        <v>82</v>
      </c>
      <c r="F414" s="2">
        <v>604</v>
      </c>
      <c r="G414" s="4">
        <v>0.13</v>
      </c>
      <c r="H414" s="3">
        <f t="shared" si="18"/>
        <v>41791</v>
      </c>
      <c r="I414" s="1">
        <f>_xlfn.XLOOKUP(E414,Product!$A$2:$A$7,Product!$C$2:$C$7)</f>
        <v>15</v>
      </c>
      <c r="J414" s="22">
        <f t="shared" si="19"/>
        <v>9060</v>
      </c>
      <c r="K414" s="22">
        <f t="shared" si="20"/>
        <v>7882.2</v>
      </c>
      <c r="L414" s="22">
        <f>K414-(_xlfn.XLOOKUP(E414,Product!$A$2:$A$7,Product!$B$2:$B$7)*F414)</f>
        <v>4862.2</v>
      </c>
      <c r="M414">
        <f>YEAR(Table1[[#This Row],[Order date]])</f>
        <v>2014</v>
      </c>
      <c r="N414" s="22" t="str" cm="1">
        <f t="array" ref="N414">_xlfn.IFS(G414=0,"No Discount", ROUND(G414*100,0)&lt;=4,"Low", ROUND(G414*100,0)&lt;=9,"Medium", ROUND(G414*100,0)&lt;=15,"High")</f>
        <v>High</v>
      </c>
      <c r="O414" s="22" t="str">
        <f>TEXT(Table1[[#This Row],[Order date]],"mmmm")</f>
        <v>June</v>
      </c>
    </row>
    <row r="415" spans="1:15" ht="13.5" x14ac:dyDescent="0.25">
      <c r="A415" s="1" t="str">
        <f>"ORD"&amp;"-"&amp;_xlfn.XLOOKUP(C415,Guide!$B$22:$B$26,Guide!$C$22:$C$26)&amp;"-"&amp;_xlfn.XLOOKUP(D415,Guide!$B$29:$B$33,Guide!$C$29:$C$33)&amp;"-"&amp;TEXT(H415,"yyyymmdd")</f>
        <v>ORD-CND-ENT-20140601</v>
      </c>
      <c r="B415" s="1" t="s">
        <v>427</v>
      </c>
      <c r="C415" s="1" t="s">
        <v>27</v>
      </c>
      <c r="D415" s="1" t="s">
        <v>45</v>
      </c>
      <c r="E415" s="1" t="s">
        <v>75</v>
      </c>
      <c r="F415" s="2">
        <v>1583</v>
      </c>
      <c r="G415" s="4">
        <v>0.13</v>
      </c>
      <c r="H415" s="3">
        <f t="shared" si="18"/>
        <v>41791</v>
      </c>
      <c r="I415" s="1">
        <f>_xlfn.XLOOKUP(E415,Product!$A$2:$A$7,Product!$C$2:$C$7)</f>
        <v>20</v>
      </c>
      <c r="J415" s="22">
        <f t="shared" si="19"/>
        <v>31660</v>
      </c>
      <c r="K415" s="22">
        <f t="shared" si="20"/>
        <v>27544.2</v>
      </c>
      <c r="L415" s="22">
        <f>K415-(_xlfn.XLOOKUP(E415,Product!$A$2:$A$7,Product!$B$2:$B$7)*F415)</f>
        <v>11714.2</v>
      </c>
      <c r="M415">
        <f>YEAR(Table1[[#This Row],[Order date]])</f>
        <v>2014</v>
      </c>
      <c r="N415" s="22" t="str" cm="1">
        <f t="array" ref="N415">_xlfn.IFS(G415=0,"No Discount", ROUND(G415*100,0)&lt;=4,"Low", ROUND(G415*100,0)&lt;=9,"Medium", ROUND(G415*100,0)&lt;=15,"High")</f>
        <v>High</v>
      </c>
      <c r="O415" s="22" t="str">
        <f>TEXT(Table1[[#This Row],[Order date]],"mmmm")</f>
        <v>June</v>
      </c>
    </row>
    <row r="416" spans="1:15" ht="13.5" x14ac:dyDescent="0.25">
      <c r="A416" s="1" t="str">
        <f>"ORD"&amp;"-"&amp;_xlfn.XLOOKUP(C416,Guide!$B$22:$B$26,Guide!$C$22:$C$26)&amp;"-"&amp;_xlfn.XLOOKUP(D416,Guide!$B$29:$B$33,Guide!$C$29:$C$33)&amp;"-"&amp;TEXT(H416,"yyyymmdd")</f>
        <v>ORD-CND-ENT-20140601</v>
      </c>
      <c r="B416" s="1" t="s">
        <v>427</v>
      </c>
      <c r="C416" s="1" t="s">
        <v>27</v>
      </c>
      <c r="D416" s="1" t="s">
        <v>45</v>
      </c>
      <c r="E416" s="1" t="s">
        <v>78</v>
      </c>
      <c r="F416" s="2">
        <v>1583</v>
      </c>
      <c r="G416" s="4">
        <v>0.13</v>
      </c>
      <c r="H416" s="3">
        <f t="shared" si="18"/>
        <v>41791</v>
      </c>
      <c r="I416" s="1">
        <f>_xlfn.XLOOKUP(E416,Product!$A$2:$A$7,Product!$C$2:$C$7)</f>
        <v>300</v>
      </c>
      <c r="J416" s="22">
        <f t="shared" si="19"/>
        <v>474900</v>
      </c>
      <c r="K416" s="22">
        <f t="shared" si="20"/>
        <v>413163</v>
      </c>
      <c r="L416" s="22">
        <f>K416-(_xlfn.XLOOKUP(E416,Product!$A$2:$A$7,Product!$B$2:$B$7)*F416)</f>
        <v>17413</v>
      </c>
      <c r="M416">
        <f>YEAR(Table1[[#This Row],[Order date]])</f>
        <v>2014</v>
      </c>
      <c r="N416" s="22" t="str" cm="1">
        <f t="array" ref="N416">_xlfn.IFS(G416=0,"No Discount", ROUND(G416*100,0)&lt;=4,"Low", ROUND(G416*100,0)&lt;=9,"Medium", ROUND(G416*100,0)&lt;=15,"High")</f>
        <v>High</v>
      </c>
      <c r="O416" s="22" t="str">
        <f>TEXT(Table1[[#This Row],[Order date]],"mmmm")</f>
        <v>June</v>
      </c>
    </row>
    <row r="417" spans="1:15" ht="13.5" x14ac:dyDescent="0.25">
      <c r="A417" s="1" t="str">
        <f>"ORD"&amp;"-"&amp;_xlfn.XLOOKUP(C417,Guide!$B$22:$B$26,Guide!$C$22:$C$26)&amp;"-"&amp;_xlfn.XLOOKUP(D417,Guide!$B$29:$B$33,Guide!$C$29:$C$33)&amp;"-"&amp;TEXT(H417,"yyyymmdd")</f>
        <v>ORD-CND-GOV-20140601</v>
      </c>
      <c r="B417" s="1" t="s">
        <v>428</v>
      </c>
      <c r="C417" s="1" t="s">
        <v>27</v>
      </c>
      <c r="D417" s="1" t="s">
        <v>39</v>
      </c>
      <c r="E417" s="1" t="s">
        <v>75</v>
      </c>
      <c r="F417" s="2">
        <v>2632</v>
      </c>
      <c r="G417" s="4">
        <v>0.13</v>
      </c>
      <c r="H417" s="3">
        <f t="shared" si="18"/>
        <v>41791</v>
      </c>
      <c r="I417" s="1">
        <f>_xlfn.XLOOKUP(E417,Product!$A$2:$A$7,Product!$C$2:$C$7)</f>
        <v>20</v>
      </c>
      <c r="J417" s="22">
        <f t="shared" si="19"/>
        <v>52640</v>
      </c>
      <c r="K417" s="22">
        <f t="shared" si="20"/>
        <v>45796.800000000003</v>
      </c>
      <c r="L417" s="22">
        <f>K417-(_xlfn.XLOOKUP(E417,Product!$A$2:$A$7,Product!$B$2:$B$7)*F417)</f>
        <v>19476.800000000003</v>
      </c>
      <c r="M417">
        <f>YEAR(Table1[[#This Row],[Order date]])</f>
        <v>2014</v>
      </c>
      <c r="N417" s="22" t="str" cm="1">
        <f t="array" ref="N417">_xlfn.IFS(G417=0,"No Discount", ROUND(G417*100,0)&lt;=4,"Low", ROUND(G417*100,0)&lt;=9,"Medium", ROUND(G417*100,0)&lt;=15,"High")</f>
        <v>High</v>
      </c>
      <c r="O417" s="22" t="str">
        <f>TEXT(Table1[[#This Row],[Order date]],"mmmm")</f>
        <v>June</v>
      </c>
    </row>
    <row r="418" spans="1:15" ht="13.5" x14ac:dyDescent="0.25">
      <c r="A418" s="1" t="str">
        <f>"ORD"&amp;"-"&amp;_xlfn.XLOOKUP(C418,Guide!$B$22:$B$26,Guide!$C$22:$C$26)&amp;"-"&amp;_xlfn.XLOOKUP(D418,Guide!$B$29:$B$33,Guide!$C$29:$C$33)&amp;"-"&amp;TEXT(H418,"yyyymmdd")</f>
        <v>ORD-MXC-CPR-20140601</v>
      </c>
      <c r="B418" s="1" t="s">
        <v>426</v>
      </c>
      <c r="C418" s="1" t="s">
        <v>33</v>
      </c>
      <c r="D418" s="1" t="s">
        <v>43</v>
      </c>
      <c r="E418" s="1" t="s">
        <v>88</v>
      </c>
      <c r="F418" s="2">
        <v>604</v>
      </c>
      <c r="G418" s="4">
        <v>0.13</v>
      </c>
      <c r="H418" s="3">
        <f t="shared" si="18"/>
        <v>41791</v>
      </c>
      <c r="I418" s="1">
        <f>_xlfn.XLOOKUP(E418,Product!$A$2:$A$7,Product!$C$2:$C$7)</f>
        <v>180</v>
      </c>
      <c r="J418" s="22">
        <f t="shared" si="19"/>
        <v>108720</v>
      </c>
      <c r="K418" s="22">
        <f t="shared" si="20"/>
        <v>94586.4</v>
      </c>
      <c r="L418" s="22">
        <f>K418-(_xlfn.XLOOKUP(E418,Product!$A$2:$A$7,Product!$B$2:$B$7)*F418)</f>
        <v>22106.399999999994</v>
      </c>
      <c r="M418">
        <f>YEAR(Table1[[#This Row],[Order date]])</f>
        <v>2014</v>
      </c>
      <c r="N418" s="22" t="str" cm="1">
        <f t="array" ref="N418">_xlfn.IFS(G418=0,"No Discount", ROUND(G418*100,0)&lt;=4,"Low", ROUND(G418*100,0)&lt;=9,"Medium", ROUND(G418*100,0)&lt;=15,"High")</f>
        <v>High</v>
      </c>
      <c r="O418" s="22" t="str">
        <f>TEXT(Table1[[#This Row],[Order date]],"mmmm")</f>
        <v>June</v>
      </c>
    </row>
    <row r="419" spans="1:15" ht="13.5" x14ac:dyDescent="0.25">
      <c r="A419" s="1" t="str">
        <f>"ORD"&amp;"-"&amp;_xlfn.XLOOKUP(C419,Guide!$B$22:$B$26,Guide!$C$22:$C$26)&amp;"-"&amp;_xlfn.XLOOKUP(D419,Guide!$B$29:$B$33,Guide!$C$29:$C$33)&amp;"-"&amp;TEXT(H419,"yyyymmdd")</f>
        <v>ORD-FRA-GOV-20140601</v>
      </c>
      <c r="B419" s="1" t="s">
        <v>429</v>
      </c>
      <c r="C419" s="1" t="s">
        <v>31</v>
      </c>
      <c r="D419" s="1" t="s">
        <v>39</v>
      </c>
      <c r="E419" s="1" t="s">
        <v>88</v>
      </c>
      <c r="F419" s="2">
        <v>1190</v>
      </c>
      <c r="G419" s="4">
        <v>0.13</v>
      </c>
      <c r="H419" s="3">
        <f t="shared" si="18"/>
        <v>41791</v>
      </c>
      <c r="I419" s="1">
        <f>_xlfn.XLOOKUP(E419,Product!$A$2:$A$7,Product!$C$2:$C$7)</f>
        <v>180</v>
      </c>
      <c r="J419" s="22">
        <f t="shared" si="19"/>
        <v>214200</v>
      </c>
      <c r="K419" s="22">
        <f t="shared" si="20"/>
        <v>186354</v>
      </c>
      <c r="L419" s="22">
        <f>K419-(_xlfn.XLOOKUP(E419,Product!$A$2:$A$7,Product!$B$2:$B$7)*F419)</f>
        <v>43554</v>
      </c>
      <c r="M419">
        <f>YEAR(Table1[[#This Row],[Order date]])</f>
        <v>2014</v>
      </c>
      <c r="N419" s="22" t="str" cm="1">
        <f t="array" ref="N419">_xlfn.IFS(G419=0,"No Discount", ROUND(G419*100,0)&lt;=4,"Low", ROUND(G419*100,0)&lt;=9,"Medium", ROUND(G419*100,0)&lt;=15,"High")</f>
        <v>High</v>
      </c>
      <c r="O419" s="22" t="str">
        <f>TEXT(Table1[[#This Row],[Order date]],"mmmm")</f>
        <v>June</v>
      </c>
    </row>
    <row r="420" spans="1:15" ht="13.5" x14ac:dyDescent="0.25">
      <c r="A420" s="1" t="str">
        <f>"ORD"&amp;"-"&amp;_xlfn.XLOOKUP(C420,Guide!$B$22:$B$26,Guide!$C$22:$C$26)&amp;"-"&amp;_xlfn.XLOOKUP(D420,Guide!$B$29:$B$33,Guide!$C$29:$C$33)&amp;"-"&amp;TEXT(H420,"yyyymmdd")</f>
        <v>ORD-CND-GOV-20140601</v>
      </c>
      <c r="B420" s="1" t="s">
        <v>428</v>
      </c>
      <c r="C420" s="1" t="s">
        <v>27</v>
      </c>
      <c r="D420" s="1" t="s">
        <v>39</v>
      </c>
      <c r="E420" s="1" t="s">
        <v>88</v>
      </c>
      <c r="F420" s="2">
        <v>2632</v>
      </c>
      <c r="G420" s="4">
        <v>0.13</v>
      </c>
      <c r="H420" s="3">
        <f t="shared" si="18"/>
        <v>41791</v>
      </c>
      <c r="I420" s="1">
        <f>_xlfn.XLOOKUP(E420,Product!$A$2:$A$7,Product!$C$2:$C$7)</f>
        <v>180</v>
      </c>
      <c r="J420" s="22">
        <f t="shared" si="19"/>
        <v>473760</v>
      </c>
      <c r="K420" s="22">
        <f t="shared" si="20"/>
        <v>412171.2</v>
      </c>
      <c r="L420" s="22">
        <f>K420-(_xlfn.XLOOKUP(E420,Product!$A$2:$A$7,Product!$B$2:$B$7)*F420)</f>
        <v>96331.200000000012</v>
      </c>
      <c r="M420">
        <f>YEAR(Table1[[#This Row],[Order date]])</f>
        <v>2014</v>
      </c>
      <c r="N420" s="22" t="str" cm="1">
        <f t="array" ref="N420">_xlfn.IFS(G420=0,"No Discount", ROUND(G420*100,0)&lt;=4,"Low", ROUND(G420*100,0)&lt;=9,"Medium", ROUND(G420*100,0)&lt;=15,"High")</f>
        <v>High</v>
      </c>
      <c r="O420" s="22" t="str">
        <f>TEXT(Table1[[#This Row],[Order date]],"mmmm")</f>
        <v>June</v>
      </c>
    </row>
    <row r="421" spans="1:15" ht="13.5" x14ac:dyDescent="0.25">
      <c r="A421" s="1" t="str">
        <f>"ORD"&amp;"-"&amp;_xlfn.XLOOKUP(C421,Guide!$B$22:$B$26,Guide!$C$22:$C$26)&amp;"-"&amp;_xlfn.XLOOKUP(D421,Guide!$B$29:$B$33,Guide!$C$29:$C$33)&amp;"-"&amp;TEXT(H421,"yyyymmdd")</f>
        <v>ORD-FRA-GOV-20140601</v>
      </c>
      <c r="B421" s="1" t="s">
        <v>429</v>
      </c>
      <c r="C421" s="1" t="s">
        <v>31</v>
      </c>
      <c r="D421" s="1" t="s">
        <v>39</v>
      </c>
      <c r="E421" s="1" t="s">
        <v>84</v>
      </c>
      <c r="F421" s="2">
        <v>1190</v>
      </c>
      <c r="G421" s="4">
        <v>0.13</v>
      </c>
      <c r="H421" s="3">
        <f t="shared" si="18"/>
        <v>41791</v>
      </c>
      <c r="I421" s="1">
        <f>_xlfn.XLOOKUP(E421,Product!$A$2:$A$7,Product!$C$2:$C$7)</f>
        <v>350</v>
      </c>
      <c r="J421" s="22">
        <f t="shared" si="19"/>
        <v>416500</v>
      </c>
      <c r="K421" s="22">
        <f t="shared" si="20"/>
        <v>362355</v>
      </c>
      <c r="L421" s="22">
        <f>K421-(_xlfn.XLOOKUP(E421,Product!$A$2:$A$7,Product!$B$2:$B$7)*F421)</f>
        <v>124355</v>
      </c>
      <c r="M421">
        <f>YEAR(Table1[[#This Row],[Order date]])</f>
        <v>2014</v>
      </c>
      <c r="N421" s="22" t="str" cm="1">
        <f t="array" ref="N421">_xlfn.IFS(G421=0,"No Discount", ROUND(G421*100,0)&lt;=4,"Low", ROUND(G421*100,0)&lt;=9,"Medium", ROUND(G421*100,0)&lt;=15,"High")</f>
        <v>High</v>
      </c>
      <c r="O421" s="22" t="str">
        <f>TEXT(Table1[[#This Row],[Order date]],"mmmm")</f>
        <v>June</v>
      </c>
    </row>
    <row r="422" spans="1:15" ht="13.5" x14ac:dyDescent="0.25">
      <c r="A422" s="1" t="str">
        <f>"ORD"&amp;"-"&amp;_xlfn.XLOOKUP(C422,Guide!$B$22:$B$26,Guide!$C$22:$C$26)&amp;"-"&amp;_xlfn.XLOOKUP(D422,Guide!$B$29:$B$33,Guide!$C$29:$C$33)&amp;"-"&amp;TEXT(H422,"yyyymmdd")</f>
        <v>ORD-GER-CPR-20140701</v>
      </c>
      <c r="B422" s="1" t="s">
        <v>430</v>
      </c>
      <c r="C422" s="1" t="s">
        <v>29</v>
      </c>
      <c r="D422" s="1" t="s">
        <v>43</v>
      </c>
      <c r="E422" s="1" t="s">
        <v>75</v>
      </c>
      <c r="F422" s="2">
        <v>367</v>
      </c>
      <c r="G422" s="4">
        <v>0</v>
      </c>
      <c r="H422" s="3">
        <f t="shared" si="18"/>
        <v>41821</v>
      </c>
      <c r="I422" s="1">
        <f>_xlfn.XLOOKUP(E422,Product!$A$2:$A$7,Product!$C$2:$C$7)</f>
        <v>20</v>
      </c>
      <c r="J422" s="22">
        <f t="shared" si="19"/>
        <v>7340</v>
      </c>
      <c r="K422" s="22">
        <f t="shared" si="20"/>
        <v>7340</v>
      </c>
      <c r="L422" s="22">
        <f>K422-(_xlfn.XLOOKUP(E422,Product!$A$2:$A$7,Product!$B$2:$B$7)*F422)</f>
        <v>3670</v>
      </c>
      <c r="M422">
        <f>YEAR(Table1[[#This Row],[Order date]])</f>
        <v>2014</v>
      </c>
      <c r="N422" s="22" t="str" cm="1">
        <f t="array" ref="N422">_xlfn.IFS(G422=0,"No Discount", ROUND(G422*100,0)&lt;=4,"Low", ROUND(G422*100,0)&lt;=9,"Medium", ROUND(G422*100,0)&lt;=15,"High")</f>
        <v>No Discount</v>
      </c>
      <c r="O422" s="22" t="str">
        <f>TEXT(Table1[[#This Row],[Order date]],"mmmm")</f>
        <v>July</v>
      </c>
    </row>
    <row r="423" spans="1:15" ht="13.5" x14ac:dyDescent="0.25">
      <c r="A423" s="1" t="str">
        <f>"ORD"&amp;"-"&amp;_xlfn.XLOOKUP(C423,Guide!$B$22:$B$26,Guide!$C$22:$C$26)&amp;"-"&amp;_xlfn.XLOOKUP(D423,Guide!$B$29:$B$33,Guide!$C$29:$C$33)&amp;"-"&amp;TEXT(H423,"yyyymmdd")</f>
        <v>ORD-CND-ENT-20140701</v>
      </c>
      <c r="B423" s="1" t="s">
        <v>431</v>
      </c>
      <c r="C423" s="1" t="s">
        <v>27</v>
      </c>
      <c r="D423" s="1" t="s">
        <v>45</v>
      </c>
      <c r="E423" s="1" t="s">
        <v>82</v>
      </c>
      <c r="F423" s="2">
        <v>2665</v>
      </c>
      <c r="G423" s="4">
        <v>0</v>
      </c>
      <c r="H423" s="3">
        <f t="shared" si="18"/>
        <v>41821</v>
      </c>
      <c r="I423" s="1">
        <f>_xlfn.XLOOKUP(E423,Product!$A$2:$A$7,Product!$C$2:$C$7)</f>
        <v>15</v>
      </c>
      <c r="J423" s="22">
        <f t="shared" si="19"/>
        <v>39975</v>
      </c>
      <c r="K423" s="22">
        <f t="shared" si="20"/>
        <v>39975</v>
      </c>
      <c r="L423" s="22">
        <f>K423-(_xlfn.XLOOKUP(E423,Product!$A$2:$A$7,Product!$B$2:$B$7)*F423)</f>
        <v>26650</v>
      </c>
      <c r="M423">
        <f>YEAR(Table1[[#This Row],[Order date]])</f>
        <v>2014</v>
      </c>
      <c r="N423" s="22" t="str" cm="1">
        <f t="array" ref="N423">_xlfn.IFS(G423=0,"No Discount", ROUND(G423*100,0)&lt;=4,"Low", ROUND(G423*100,0)&lt;=9,"Medium", ROUND(G423*100,0)&lt;=15,"High")</f>
        <v>No Discount</v>
      </c>
      <c r="O423" s="22" t="str">
        <f>TEXT(Table1[[#This Row],[Order date]],"mmmm")</f>
        <v>July</v>
      </c>
    </row>
    <row r="424" spans="1:15" ht="13.5" x14ac:dyDescent="0.25">
      <c r="A424" s="1" t="str">
        <f>"ORD"&amp;"-"&amp;_xlfn.XLOOKUP(C424,Guide!$B$22:$B$26,Guide!$C$22:$C$26)&amp;"-"&amp;_xlfn.XLOOKUP(D424,Guide!$B$29:$B$33,Guide!$C$29:$C$33)&amp;"-"&amp;TEXT(H424,"yyyymmdd")</f>
        <v>ORD-GER-GOV-20140701</v>
      </c>
      <c r="B424" s="1" t="s">
        <v>432</v>
      </c>
      <c r="C424" s="1" t="s">
        <v>29</v>
      </c>
      <c r="D424" s="1" t="s">
        <v>39</v>
      </c>
      <c r="E424" s="1" t="s">
        <v>84</v>
      </c>
      <c r="F424" s="2">
        <v>1686</v>
      </c>
      <c r="G424" s="4">
        <v>0</v>
      </c>
      <c r="H424" s="3">
        <f t="shared" si="18"/>
        <v>41821</v>
      </c>
      <c r="I424" s="1">
        <f>_xlfn.XLOOKUP(E424,Product!$A$2:$A$7,Product!$C$2:$C$7)</f>
        <v>350</v>
      </c>
      <c r="J424" s="22">
        <f t="shared" si="19"/>
        <v>590100</v>
      </c>
      <c r="K424" s="22">
        <f t="shared" si="20"/>
        <v>590100</v>
      </c>
      <c r="L424" s="22">
        <f>K424-(_xlfn.XLOOKUP(E424,Product!$A$2:$A$7,Product!$B$2:$B$7)*F424)</f>
        <v>252900</v>
      </c>
      <c r="M424">
        <f>YEAR(Table1[[#This Row],[Order date]])</f>
        <v>2014</v>
      </c>
      <c r="N424" s="22" t="str" cm="1">
        <f t="array" ref="N424">_xlfn.IFS(G424=0,"No Discount", ROUND(G424*100,0)&lt;=4,"Low", ROUND(G424*100,0)&lt;=9,"Medium", ROUND(G424*100,0)&lt;=15,"High")</f>
        <v>No Discount</v>
      </c>
      <c r="O424" s="22" t="str">
        <f>TEXT(Table1[[#This Row],[Order date]],"mmmm")</f>
        <v>July</v>
      </c>
    </row>
    <row r="425" spans="1:15" ht="13.5" x14ac:dyDescent="0.25">
      <c r="A425" s="1" t="str">
        <f>"ORD"&amp;"-"&amp;_xlfn.XLOOKUP(C425,Guide!$B$22:$B$26,Guide!$C$22:$C$26)&amp;"-"&amp;_xlfn.XLOOKUP(D425,Guide!$B$29:$B$33,Guide!$C$29:$C$33)&amp;"-"&amp;TEXT(H425,"yyyymmdd")</f>
        <v>ORD-MXC-ENT-20140701</v>
      </c>
      <c r="B425" s="1" t="s">
        <v>433</v>
      </c>
      <c r="C425" s="1" t="s">
        <v>33</v>
      </c>
      <c r="D425" s="1" t="s">
        <v>45</v>
      </c>
      <c r="E425" s="1" t="s">
        <v>75</v>
      </c>
      <c r="F425" s="2">
        <v>1823</v>
      </c>
      <c r="G425" s="4">
        <v>0.01</v>
      </c>
      <c r="H425" s="3">
        <f t="shared" si="18"/>
        <v>41821</v>
      </c>
      <c r="I425" s="1">
        <f>_xlfn.XLOOKUP(E425,Product!$A$2:$A$7,Product!$C$2:$C$7)</f>
        <v>20</v>
      </c>
      <c r="J425" s="22">
        <f t="shared" si="19"/>
        <v>36460</v>
      </c>
      <c r="K425" s="22">
        <f t="shared" si="20"/>
        <v>36095.4</v>
      </c>
      <c r="L425" s="22">
        <f>K425-(_xlfn.XLOOKUP(E425,Product!$A$2:$A$7,Product!$B$2:$B$7)*F425)</f>
        <v>17865.400000000001</v>
      </c>
      <c r="M425">
        <f>YEAR(Table1[[#This Row],[Order date]])</f>
        <v>2014</v>
      </c>
      <c r="N425" s="22" t="str" cm="1">
        <f t="array" ref="N425">_xlfn.IFS(G425=0,"No Discount", ROUND(G425*100,0)&lt;=4,"Low", ROUND(G425*100,0)&lt;=9,"Medium", ROUND(G425*100,0)&lt;=15,"High")</f>
        <v>Low</v>
      </c>
      <c r="O425" s="22" t="str">
        <f>TEXT(Table1[[#This Row],[Order date]],"mmmm")</f>
        <v>July</v>
      </c>
    </row>
    <row r="426" spans="1:15" ht="13.5" x14ac:dyDescent="0.25">
      <c r="A426" s="1" t="str">
        <f>"ORD"&amp;"-"&amp;_xlfn.XLOOKUP(C426,Guide!$B$22:$B$26,Guide!$C$22:$C$26)&amp;"-"&amp;_xlfn.XLOOKUP(D426,Guide!$B$29:$B$33,Guide!$C$29:$C$33)&amp;"-"&amp;TEXT(H426,"yyyymmdd")</f>
        <v>ORD-USA-GOV-20140701</v>
      </c>
      <c r="B426" s="1" t="s">
        <v>434</v>
      </c>
      <c r="C426" s="1" t="s">
        <v>35</v>
      </c>
      <c r="D426" s="1" t="s">
        <v>39</v>
      </c>
      <c r="E426" s="1" t="s">
        <v>80</v>
      </c>
      <c r="F426" s="2">
        <v>2529</v>
      </c>
      <c r="G426" s="4">
        <v>0.01</v>
      </c>
      <c r="H426" s="3">
        <f t="shared" si="18"/>
        <v>41821</v>
      </c>
      <c r="I426" s="1">
        <f>_xlfn.XLOOKUP(E426,Product!$A$2:$A$7,Product!$C$2:$C$7)</f>
        <v>20</v>
      </c>
      <c r="J426" s="22">
        <f t="shared" si="19"/>
        <v>50580</v>
      </c>
      <c r="K426" s="22">
        <f t="shared" si="20"/>
        <v>50074.2</v>
      </c>
      <c r="L426" s="22">
        <f>K426-(_xlfn.XLOOKUP(E426,Product!$A$2:$A$7,Product!$B$2:$B$7)*F426)</f>
        <v>42487.199999999997</v>
      </c>
      <c r="M426">
        <f>YEAR(Table1[[#This Row],[Order date]])</f>
        <v>2014</v>
      </c>
      <c r="N426" s="22" t="str" cm="1">
        <f t="array" ref="N426">_xlfn.IFS(G426=0,"No Discount", ROUND(G426*100,0)&lt;=4,"Low", ROUND(G426*100,0)&lt;=9,"Medium", ROUND(G426*100,0)&lt;=15,"High")</f>
        <v>Low</v>
      </c>
      <c r="O426" s="22" t="str">
        <f>TEXT(Table1[[#This Row],[Order date]],"mmmm")</f>
        <v>July</v>
      </c>
    </row>
    <row r="427" spans="1:15" ht="13.5" x14ac:dyDescent="0.25">
      <c r="A427" s="1" t="str">
        <f>"ORD"&amp;"-"&amp;_xlfn.XLOOKUP(C427,Guide!$B$22:$B$26,Guide!$C$22:$C$26)&amp;"-"&amp;_xlfn.XLOOKUP(D427,Guide!$B$29:$B$33,Guide!$C$29:$C$33)&amp;"-"&amp;TEXT(H427,"yyyymmdd")</f>
        <v>ORD-FRA-GOV-20140701</v>
      </c>
      <c r="B427" s="1" t="s">
        <v>435</v>
      </c>
      <c r="C427" s="1" t="s">
        <v>31</v>
      </c>
      <c r="D427" s="1" t="s">
        <v>39</v>
      </c>
      <c r="E427" s="1" t="s">
        <v>82</v>
      </c>
      <c r="F427" s="2">
        <v>1375</v>
      </c>
      <c r="G427" s="4">
        <v>1.0003636363636364E-2</v>
      </c>
      <c r="H427" s="3">
        <f t="shared" si="18"/>
        <v>41821</v>
      </c>
      <c r="I427" s="1">
        <f>_xlfn.XLOOKUP(E427,Product!$A$2:$A$7,Product!$C$2:$C$7)</f>
        <v>15</v>
      </c>
      <c r="J427" s="22">
        <f t="shared" si="19"/>
        <v>20625</v>
      </c>
      <c r="K427" s="22">
        <f t="shared" si="20"/>
        <v>20418.674999999999</v>
      </c>
      <c r="L427" s="22">
        <f>K427-(_xlfn.XLOOKUP(E427,Product!$A$2:$A$7,Product!$B$2:$B$7)*F427)</f>
        <v>13543.674999999999</v>
      </c>
      <c r="M427">
        <f>YEAR(Table1[[#This Row],[Order date]])</f>
        <v>2014</v>
      </c>
      <c r="N427" s="22" t="str" cm="1">
        <f t="array" ref="N427">_xlfn.IFS(G427=0,"No Discount", ROUND(G427*100,0)&lt;=4,"Low", ROUND(G427*100,0)&lt;=9,"Medium", ROUND(G427*100,0)&lt;=15,"High")</f>
        <v>Low</v>
      </c>
      <c r="O427" s="22" t="str">
        <f>TEXT(Table1[[#This Row],[Order date]],"mmmm")</f>
        <v>July</v>
      </c>
    </row>
    <row r="428" spans="1:15" ht="13.5" x14ac:dyDescent="0.25">
      <c r="A428" s="1" t="str">
        <f>"ORD"&amp;"-"&amp;_xlfn.XLOOKUP(C428,Guide!$B$22:$B$26,Guide!$C$22:$C$26)&amp;"-"&amp;_xlfn.XLOOKUP(D428,Guide!$B$29:$B$33,Guide!$C$29:$C$33)&amp;"-"&amp;TEXT(H428,"yyyymmdd")</f>
        <v>ORD-USA-CPR-20140701</v>
      </c>
      <c r="B428" s="1" t="s">
        <v>436</v>
      </c>
      <c r="C428" s="1" t="s">
        <v>35</v>
      </c>
      <c r="D428" s="1" t="s">
        <v>43</v>
      </c>
      <c r="E428" s="1" t="s">
        <v>75</v>
      </c>
      <c r="F428" s="2">
        <v>1369</v>
      </c>
      <c r="G428" s="4">
        <v>3.0010956902848794E-2</v>
      </c>
      <c r="H428" s="3">
        <f t="shared" si="18"/>
        <v>41821</v>
      </c>
      <c r="I428" s="1">
        <f>_xlfn.XLOOKUP(E428,Product!$A$2:$A$7,Product!$C$2:$C$7)</f>
        <v>20</v>
      </c>
      <c r="J428" s="22">
        <f t="shared" si="19"/>
        <v>27380</v>
      </c>
      <c r="K428" s="22">
        <f t="shared" si="20"/>
        <v>26558.3</v>
      </c>
      <c r="L428" s="22">
        <f>K428-(_xlfn.XLOOKUP(E428,Product!$A$2:$A$7,Product!$B$2:$B$7)*F428)</f>
        <v>12868.3</v>
      </c>
      <c r="M428">
        <f>YEAR(Table1[[#This Row],[Order date]])</f>
        <v>2014</v>
      </c>
      <c r="N428" s="22" t="str" cm="1">
        <f t="array" ref="N428">_xlfn.IFS(G428=0,"No Discount", ROUND(G428*100,0)&lt;=4,"Low", ROUND(G428*100,0)&lt;=9,"Medium", ROUND(G428*100,0)&lt;=15,"High")</f>
        <v>Low</v>
      </c>
      <c r="O428" s="22" t="str">
        <f>TEXT(Table1[[#This Row],[Order date]],"mmmm")</f>
        <v>July</v>
      </c>
    </row>
    <row r="429" spans="1:15" ht="13.5" x14ac:dyDescent="0.25">
      <c r="A429" s="1" t="str">
        <f>"ORD"&amp;"-"&amp;_xlfn.XLOOKUP(C429,Guide!$B$22:$B$26,Guide!$C$22:$C$26)&amp;"-"&amp;_xlfn.XLOOKUP(D429,Guide!$B$29:$B$33,Guide!$C$29:$C$33)&amp;"-"&amp;TEXT(H429,"yyyymmdd")</f>
        <v>ORD-FRA-ENT-20140701</v>
      </c>
      <c r="B429" s="1" t="s">
        <v>437</v>
      </c>
      <c r="C429" s="1" t="s">
        <v>31</v>
      </c>
      <c r="D429" s="1" t="s">
        <v>45</v>
      </c>
      <c r="E429" s="1" t="s">
        <v>75</v>
      </c>
      <c r="F429" s="2">
        <v>2988</v>
      </c>
      <c r="G429" s="4">
        <v>0.04</v>
      </c>
      <c r="H429" s="3">
        <f t="shared" si="18"/>
        <v>41821</v>
      </c>
      <c r="I429" s="1">
        <f>_xlfn.XLOOKUP(E429,Product!$A$2:$A$7,Product!$C$2:$C$7)</f>
        <v>20</v>
      </c>
      <c r="J429" s="22">
        <f t="shared" si="19"/>
        <v>59760</v>
      </c>
      <c r="K429" s="22">
        <f t="shared" si="20"/>
        <v>57369.599999999999</v>
      </c>
      <c r="L429" s="22">
        <f>K429-(_xlfn.XLOOKUP(E429,Product!$A$2:$A$7,Product!$B$2:$B$7)*F429)</f>
        <v>27489.599999999999</v>
      </c>
      <c r="M429">
        <f>YEAR(Table1[[#This Row],[Order date]])</f>
        <v>2014</v>
      </c>
      <c r="N429" s="22" t="str" cm="1">
        <f t="array" ref="N429">_xlfn.IFS(G429=0,"No Discount", ROUND(G429*100,0)&lt;=4,"Low", ROUND(G429*100,0)&lt;=9,"Medium", ROUND(G429*100,0)&lt;=15,"High")</f>
        <v>Low</v>
      </c>
      <c r="O429" s="22" t="str">
        <f>TEXT(Table1[[#This Row],[Order date]],"mmmm")</f>
        <v>July</v>
      </c>
    </row>
    <row r="430" spans="1:15" ht="13.5" x14ac:dyDescent="0.25">
      <c r="A430" s="1" t="str">
        <f>"ORD"&amp;"-"&amp;_xlfn.XLOOKUP(C430,Guide!$B$22:$B$26,Guide!$C$22:$C$26)&amp;"-"&amp;_xlfn.XLOOKUP(D430,Guide!$B$29:$B$33,Guide!$C$29:$C$33)&amp;"-"&amp;TEXT(H430,"yyyymmdd")</f>
        <v>ORD-USA-GOV-20140701</v>
      </c>
      <c r="B430" s="1" t="s">
        <v>438</v>
      </c>
      <c r="C430" s="1" t="s">
        <v>35</v>
      </c>
      <c r="D430" s="1" t="s">
        <v>39</v>
      </c>
      <c r="E430" s="1" t="s">
        <v>75</v>
      </c>
      <c r="F430" s="2">
        <v>3450</v>
      </c>
      <c r="G430" s="4">
        <v>0.04</v>
      </c>
      <c r="H430" s="3">
        <f t="shared" si="18"/>
        <v>41821</v>
      </c>
      <c r="I430" s="1">
        <f>_xlfn.XLOOKUP(E430,Product!$A$2:$A$7,Product!$C$2:$C$7)</f>
        <v>20</v>
      </c>
      <c r="J430" s="22">
        <f t="shared" si="19"/>
        <v>69000</v>
      </c>
      <c r="K430" s="22">
        <f t="shared" si="20"/>
        <v>66240</v>
      </c>
      <c r="L430" s="22">
        <f>K430-(_xlfn.XLOOKUP(E430,Product!$A$2:$A$7,Product!$B$2:$B$7)*F430)</f>
        <v>31740</v>
      </c>
      <c r="M430">
        <f>YEAR(Table1[[#This Row],[Order date]])</f>
        <v>2014</v>
      </c>
      <c r="N430" s="22" t="str" cm="1">
        <f t="array" ref="N430">_xlfn.IFS(G430=0,"No Discount", ROUND(G430*100,0)&lt;=4,"Low", ROUND(G430*100,0)&lt;=9,"Medium", ROUND(G430*100,0)&lt;=15,"High")</f>
        <v>Low</v>
      </c>
      <c r="O430" s="22" t="str">
        <f>TEXT(Table1[[#This Row],[Order date]],"mmmm")</f>
        <v>July</v>
      </c>
    </row>
    <row r="431" spans="1:15" ht="13.5" x14ac:dyDescent="0.25">
      <c r="A431" s="1" t="str">
        <f>"ORD"&amp;"-"&amp;_xlfn.XLOOKUP(C431,Guide!$B$22:$B$26,Guide!$C$22:$C$26)&amp;"-"&amp;_xlfn.XLOOKUP(D431,Guide!$B$29:$B$33,Guide!$C$29:$C$33)&amp;"-"&amp;TEXT(H431,"yyyymmdd")</f>
        <v>ORD-MXC-GOV-20140701</v>
      </c>
      <c r="B431" s="1" t="s">
        <v>439</v>
      </c>
      <c r="C431" s="1" t="s">
        <v>33</v>
      </c>
      <c r="D431" s="1" t="s">
        <v>39</v>
      </c>
      <c r="E431" s="1" t="s">
        <v>84</v>
      </c>
      <c r="F431" s="2">
        <v>1683</v>
      </c>
      <c r="G431" s="4">
        <v>4.9999999999999996E-2</v>
      </c>
      <c r="H431" s="3">
        <f t="shared" si="18"/>
        <v>41821</v>
      </c>
      <c r="I431" s="1">
        <f>_xlfn.XLOOKUP(E431,Product!$A$2:$A$7,Product!$C$2:$C$7)</f>
        <v>350</v>
      </c>
      <c r="J431" s="22">
        <f t="shared" si="19"/>
        <v>589050</v>
      </c>
      <c r="K431" s="22">
        <f t="shared" si="20"/>
        <v>559597.5</v>
      </c>
      <c r="L431" s="22">
        <f>K431-(_xlfn.XLOOKUP(E431,Product!$A$2:$A$7,Product!$B$2:$B$7)*F431)</f>
        <v>222997.5</v>
      </c>
      <c r="M431">
        <f>YEAR(Table1[[#This Row],[Order date]])</f>
        <v>2014</v>
      </c>
      <c r="N431" s="22" t="str" cm="1">
        <f t="array" ref="N431">_xlfn.IFS(G431=0,"No Discount", ROUND(G431*100,0)&lt;=4,"Low", ROUND(G431*100,0)&lt;=9,"Medium", ROUND(G431*100,0)&lt;=15,"High")</f>
        <v>Medium</v>
      </c>
      <c r="O431" s="22" t="str">
        <f>TEXT(Table1[[#This Row],[Order date]],"mmmm")</f>
        <v>July</v>
      </c>
    </row>
    <row r="432" spans="1:15" ht="13.5" x14ac:dyDescent="0.25">
      <c r="A432" s="1" t="str">
        <f>"ORD"&amp;"-"&amp;_xlfn.XLOOKUP(C432,Guide!$B$22:$B$26,Guide!$C$22:$C$26)&amp;"-"&amp;_xlfn.XLOOKUP(D432,Guide!$B$29:$B$33,Guide!$C$29:$C$33)&amp;"-"&amp;TEXT(H432,"yyyymmdd")</f>
        <v>ORD-USA-ENT-20140701</v>
      </c>
      <c r="B432" s="1" t="s">
        <v>440</v>
      </c>
      <c r="C432" s="1" t="s">
        <v>35</v>
      </c>
      <c r="D432" s="1" t="s">
        <v>45</v>
      </c>
      <c r="E432" s="1" t="s">
        <v>82</v>
      </c>
      <c r="F432" s="2">
        <v>3627</v>
      </c>
      <c r="G432" s="4">
        <v>0.05</v>
      </c>
      <c r="H432" s="3">
        <f t="shared" si="18"/>
        <v>41821</v>
      </c>
      <c r="I432" s="1">
        <f>_xlfn.XLOOKUP(E432,Product!$A$2:$A$7,Product!$C$2:$C$7)</f>
        <v>15</v>
      </c>
      <c r="J432" s="22">
        <f t="shared" si="19"/>
        <v>54405</v>
      </c>
      <c r="K432" s="22">
        <f t="shared" si="20"/>
        <v>51684.75</v>
      </c>
      <c r="L432" s="22">
        <f>K432-(_xlfn.XLOOKUP(E432,Product!$A$2:$A$7,Product!$B$2:$B$7)*F432)</f>
        <v>33549.75</v>
      </c>
      <c r="M432">
        <f>YEAR(Table1[[#This Row],[Order date]])</f>
        <v>2014</v>
      </c>
      <c r="N432" s="22" t="str" cm="1">
        <f t="array" ref="N432">_xlfn.IFS(G432=0,"No Discount", ROUND(G432*100,0)&lt;=4,"Low", ROUND(G432*100,0)&lt;=9,"Medium", ROUND(G432*100,0)&lt;=15,"High")</f>
        <v>Medium</v>
      </c>
      <c r="O432" s="22" t="str">
        <f>TEXT(Table1[[#This Row],[Order date]],"mmmm")</f>
        <v>July</v>
      </c>
    </row>
    <row r="433" spans="1:15" ht="13.5" x14ac:dyDescent="0.25">
      <c r="A433" s="1" t="str">
        <f>"ORD"&amp;"-"&amp;_xlfn.XLOOKUP(C433,Guide!$B$22:$B$26,Guide!$C$22:$C$26)&amp;"-"&amp;_xlfn.XLOOKUP(D433,Guide!$B$29:$B$33,Guide!$C$29:$C$33)&amp;"-"&amp;TEXT(H433,"yyyymmdd")</f>
        <v>ORD-GER-ENT-20140701</v>
      </c>
      <c r="B433" s="1" t="s">
        <v>441</v>
      </c>
      <c r="C433" s="1" t="s">
        <v>29</v>
      </c>
      <c r="D433" s="1" t="s">
        <v>45</v>
      </c>
      <c r="E433" s="1" t="s">
        <v>75</v>
      </c>
      <c r="F433" s="2">
        <v>3513</v>
      </c>
      <c r="G433" s="4">
        <v>7.0000000000000007E-2</v>
      </c>
      <c r="H433" s="3">
        <f t="shared" si="18"/>
        <v>41821</v>
      </c>
      <c r="I433" s="1">
        <f>_xlfn.XLOOKUP(E433,Product!$A$2:$A$7,Product!$C$2:$C$7)</f>
        <v>20</v>
      </c>
      <c r="J433" s="22">
        <f t="shared" si="19"/>
        <v>70260</v>
      </c>
      <c r="K433" s="22">
        <f t="shared" si="20"/>
        <v>65341.799999999996</v>
      </c>
      <c r="L433" s="22">
        <f>K433-(_xlfn.XLOOKUP(E433,Product!$A$2:$A$7,Product!$B$2:$B$7)*F433)</f>
        <v>30211.799999999996</v>
      </c>
      <c r="M433">
        <f>YEAR(Table1[[#This Row],[Order date]])</f>
        <v>2014</v>
      </c>
      <c r="N433" s="22" t="str" cm="1">
        <f t="array" ref="N433">_xlfn.IFS(G433=0,"No Discount", ROUND(G433*100,0)&lt;=4,"Low", ROUND(G433*100,0)&lt;=9,"Medium", ROUND(G433*100,0)&lt;=15,"High")</f>
        <v>Medium</v>
      </c>
      <c r="O433" s="22" t="str">
        <f>TEXT(Table1[[#This Row],[Order date]],"mmmm")</f>
        <v>July</v>
      </c>
    </row>
    <row r="434" spans="1:15" ht="13.5" x14ac:dyDescent="0.25">
      <c r="A434" s="1" t="str">
        <f>"ORD"&amp;"-"&amp;_xlfn.XLOOKUP(C434,Guide!$B$22:$B$26,Guide!$C$22:$C$26)&amp;"-"&amp;_xlfn.XLOOKUP(D434,Guide!$B$29:$B$33,Guide!$C$29:$C$33)&amp;"-"&amp;TEXT(H434,"yyyymmdd")</f>
        <v>ORD-FRA-SMB-20140701</v>
      </c>
      <c r="B434" s="1" t="s">
        <v>442</v>
      </c>
      <c r="C434" s="1" t="s">
        <v>31</v>
      </c>
      <c r="D434" s="1" t="s">
        <v>47</v>
      </c>
      <c r="E434" s="1" t="s">
        <v>88</v>
      </c>
      <c r="F434" s="2">
        <v>1659</v>
      </c>
      <c r="G434" s="4">
        <v>7.0000000000000007E-2</v>
      </c>
      <c r="H434" s="3">
        <f t="shared" si="18"/>
        <v>41821</v>
      </c>
      <c r="I434" s="1">
        <f>_xlfn.XLOOKUP(E434,Product!$A$2:$A$7,Product!$C$2:$C$7)</f>
        <v>180</v>
      </c>
      <c r="J434" s="22">
        <f t="shared" si="19"/>
        <v>298620</v>
      </c>
      <c r="K434" s="22">
        <f t="shared" si="20"/>
        <v>277716.59999999998</v>
      </c>
      <c r="L434" s="22">
        <f>K434-(_xlfn.XLOOKUP(E434,Product!$A$2:$A$7,Product!$B$2:$B$7)*F434)</f>
        <v>78636.599999999977</v>
      </c>
      <c r="M434">
        <f>YEAR(Table1[[#This Row],[Order date]])</f>
        <v>2014</v>
      </c>
      <c r="N434" s="22" t="str" cm="1">
        <f t="array" ref="N434">_xlfn.IFS(G434=0,"No Discount", ROUND(G434*100,0)&lt;=4,"Low", ROUND(G434*100,0)&lt;=9,"Medium", ROUND(G434*100,0)&lt;=15,"High")</f>
        <v>Medium</v>
      </c>
      <c r="O434" s="22" t="str">
        <f>TEXT(Table1[[#This Row],[Order date]],"mmmm")</f>
        <v>July</v>
      </c>
    </row>
    <row r="435" spans="1:15" ht="13.5" x14ac:dyDescent="0.25">
      <c r="A435" s="1" t="str">
        <f>"ORD"&amp;"-"&amp;_xlfn.XLOOKUP(C435,Guide!$B$22:$B$26,Guide!$C$22:$C$26)&amp;"-"&amp;_xlfn.XLOOKUP(D435,Guide!$B$29:$B$33,Guide!$C$29:$C$33)&amp;"-"&amp;TEXT(H435,"yyyymmdd")</f>
        <v>ORD-GER-GOV-20140701</v>
      </c>
      <c r="B435" s="1" t="s">
        <v>443</v>
      </c>
      <c r="C435" s="1" t="s">
        <v>29</v>
      </c>
      <c r="D435" s="1" t="s">
        <v>39</v>
      </c>
      <c r="E435" s="1" t="s">
        <v>82</v>
      </c>
      <c r="F435" s="2">
        <v>645</v>
      </c>
      <c r="G435" s="4">
        <v>0.08</v>
      </c>
      <c r="H435" s="3">
        <f t="shared" si="18"/>
        <v>41821</v>
      </c>
      <c r="I435" s="1">
        <f>_xlfn.XLOOKUP(E435,Product!$A$2:$A$7,Product!$C$2:$C$7)</f>
        <v>15</v>
      </c>
      <c r="J435" s="22">
        <f t="shared" si="19"/>
        <v>9675</v>
      </c>
      <c r="K435" s="22">
        <f t="shared" si="20"/>
        <v>8901</v>
      </c>
      <c r="L435" s="22">
        <f>K435-(_xlfn.XLOOKUP(E435,Product!$A$2:$A$7,Product!$B$2:$B$7)*F435)</f>
        <v>5676</v>
      </c>
      <c r="M435">
        <f>YEAR(Table1[[#This Row],[Order date]])</f>
        <v>2014</v>
      </c>
      <c r="N435" s="22" t="str" cm="1">
        <f t="array" ref="N435">_xlfn.IFS(G435=0,"No Discount", ROUND(G435*100,0)&lt;=4,"Low", ROUND(G435*100,0)&lt;=9,"Medium", ROUND(G435*100,0)&lt;=15,"High")</f>
        <v>Medium</v>
      </c>
      <c r="O435" s="22" t="str">
        <f>TEXT(Table1[[#This Row],[Order date]],"mmmm")</f>
        <v>July</v>
      </c>
    </row>
    <row r="436" spans="1:15" ht="13.5" x14ac:dyDescent="0.25">
      <c r="A436" s="1" t="str">
        <f>"ORD"&amp;"-"&amp;_xlfn.XLOOKUP(C436,Guide!$B$22:$B$26,Guide!$C$22:$C$26)&amp;"-"&amp;_xlfn.XLOOKUP(D436,Guide!$B$29:$B$33,Guide!$C$29:$C$33)&amp;"-"&amp;TEXT(H436,"yyyymmdd")</f>
        <v>ORD-USA-GOV-20140701</v>
      </c>
      <c r="B436" s="1" t="s">
        <v>444</v>
      </c>
      <c r="C436" s="1" t="s">
        <v>35</v>
      </c>
      <c r="D436" s="1" t="s">
        <v>39</v>
      </c>
      <c r="E436" s="1" t="s">
        <v>78</v>
      </c>
      <c r="F436" s="2">
        <v>436</v>
      </c>
      <c r="G436" s="4">
        <v>8.0091743119266048E-2</v>
      </c>
      <c r="H436" s="3">
        <f t="shared" si="18"/>
        <v>41821</v>
      </c>
      <c r="I436" s="1">
        <f>_xlfn.XLOOKUP(E436,Product!$A$2:$A$7,Product!$C$2:$C$7)</f>
        <v>300</v>
      </c>
      <c r="J436" s="22">
        <f t="shared" si="19"/>
        <v>130800</v>
      </c>
      <c r="K436" s="22">
        <f t="shared" si="20"/>
        <v>120324</v>
      </c>
      <c r="L436" s="22">
        <f>K436-(_xlfn.XLOOKUP(E436,Product!$A$2:$A$7,Product!$B$2:$B$7)*F436)</f>
        <v>11324</v>
      </c>
      <c r="M436">
        <f>YEAR(Table1[[#This Row],[Order date]])</f>
        <v>2014</v>
      </c>
      <c r="N436" s="22" t="str" cm="1">
        <f t="array" ref="N436">_xlfn.IFS(G436=0,"No Discount", ROUND(G436*100,0)&lt;=4,"Low", ROUND(G436*100,0)&lt;=9,"Medium", ROUND(G436*100,0)&lt;=15,"High")</f>
        <v>Medium</v>
      </c>
      <c r="O436" s="22" t="str">
        <f>TEXT(Table1[[#This Row],[Order date]],"mmmm")</f>
        <v>July</v>
      </c>
    </row>
    <row r="437" spans="1:15" ht="13.5" x14ac:dyDescent="0.25">
      <c r="A437" s="1" t="str">
        <f>"ORD"&amp;"-"&amp;_xlfn.XLOOKUP(C437,Guide!$B$22:$B$26,Guide!$C$22:$C$26)&amp;"-"&amp;_xlfn.XLOOKUP(D437,Guide!$B$29:$B$33,Guide!$C$29:$C$33)&amp;"-"&amp;TEXT(H437,"yyyymmdd")</f>
        <v>ORD-GER-GOV-20140701</v>
      </c>
      <c r="B437" s="1" t="s">
        <v>445</v>
      </c>
      <c r="C437" s="1" t="s">
        <v>29</v>
      </c>
      <c r="D437" s="1" t="s">
        <v>39</v>
      </c>
      <c r="E437" s="1" t="s">
        <v>88</v>
      </c>
      <c r="F437" s="2">
        <v>1307</v>
      </c>
      <c r="G437" s="4">
        <v>0.09</v>
      </c>
      <c r="H437" s="3">
        <f t="shared" si="18"/>
        <v>41821</v>
      </c>
      <c r="I437" s="1">
        <f>_xlfn.XLOOKUP(E437,Product!$A$2:$A$7,Product!$C$2:$C$7)</f>
        <v>180</v>
      </c>
      <c r="J437" s="22">
        <f t="shared" si="19"/>
        <v>235260</v>
      </c>
      <c r="K437" s="22">
        <f t="shared" si="20"/>
        <v>214086.6</v>
      </c>
      <c r="L437" s="22">
        <f>K437-(_xlfn.XLOOKUP(E437,Product!$A$2:$A$7,Product!$B$2:$B$7)*F437)</f>
        <v>57246.600000000006</v>
      </c>
      <c r="M437">
        <f>YEAR(Table1[[#This Row],[Order date]])</f>
        <v>2014</v>
      </c>
      <c r="N437" s="22" t="str" cm="1">
        <f t="array" ref="N437">_xlfn.IFS(G437=0,"No Discount", ROUND(G437*100,0)&lt;=4,"Low", ROUND(G437*100,0)&lt;=9,"Medium", ROUND(G437*100,0)&lt;=15,"High")</f>
        <v>Medium</v>
      </c>
      <c r="O437" s="22" t="str">
        <f>TEXT(Table1[[#This Row],[Order date]],"mmmm")</f>
        <v>July</v>
      </c>
    </row>
    <row r="438" spans="1:15" ht="13.5" x14ac:dyDescent="0.25">
      <c r="A438" s="1" t="str">
        <f>"ORD"&amp;"-"&amp;_xlfn.XLOOKUP(C438,Guide!$B$22:$B$26,Guide!$C$22:$C$26)&amp;"-"&amp;_xlfn.XLOOKUP(D438,Guide!$B$29:$B$33,Guide!$C$29:$C$33)&amp;"-"&amp;TEXT(H438,"yyyymmdd")</f>
        <v>ORD-CND-GOV-20140701</v>
      </c>
      <c r="B438" s="1" t="s">
        <v>446</v>
      </c>
      <c r="C438" s="1" t="s">
        <v>27</v>
      </c>
      <c r="D438" s="1" t="s">
        <v>39</v>
      </c>
      <c r="E438" s="1" t="s">
        <v>80</v>
      </c>
      <c r="F438" s="2">
        <v>819</v>
      </c>
      <c r="G438" s="4">
        <v>9.0000000000000011E-2</v>
      </c>
      <c r="H438" s="3">
        <f t="shared" si="18"/>
        <v>41821</v>
      </c>
      <c r="I438" s="1">
        <f>_xlfn.XLOOKUP(E438,Product!$A$2:$A$7,Product!$C$2:$C$7)</f>
        <v>20</v>
      </c>
      <c r="J438" s="22">
        <f t="shared" si="19"/>
        <v>16380</v>
      </c>
      <c r="K438" s="22">
        <f t="shared" si="20"/>
        <v>14905.800000000001</v>
      </c>
      <c r="L438" s="22">
        <f>K438-(_xlfn.XLOOKUP(E438,Product!$A$2:$A$7,Product!$B$2:$B$7)*F438)</f>
        <v>12448.800000000001</v>
      </c>
      <c r="M438">
        <f>YEAR(Table1[[#This Row],[Order date]])</f>
        <v>2014</v>
      </c>
      <c r="N438" s="22" t="str" cm="1">
        <f t="array" ref="N438">_xlfn.IFS(G438=0,"No Discount", ROUND(G438*100,0)&lt;=4,"Low", ROUND(G438*100,0)&lt;=9,"Medium", ROUND(G438*100,0)&lt;=15,"High")</f>
        <v>Medium</v>
      </c>
      <c r="O438" s="22" t="str">
        <f>TEXT(Table1[[#This Row],[Order date]],"mmmm")</f>
        <v>July</v>
      </c>
    </row>
    <row r="439" spans="1:15" ht="13.5" x14ac:dyDescent="0.25">
      <c r="A439" s="1" t="str">
        <f>"ORD"&amp;"-"&amp;_xlfn.XLOOKUP(C439,Guide!$B$22:$B$26,Guide!$C$22:$C$26)&amp;"-"&amp;_xlfn.XLOOKUP(D439,Guide!$B$29:$B$33,Guide!$C$29:$C$33)&amp;"-"&amp;TEXT(H439,"yyyymmdd")</f>
        <v>ORD-CND-SMB-20140701</v>
      </c>
      <c r="B439" s="1" t="s">
        <v>447</v>
      </c>
      <c r="C439" s="1" t="s">
        <v>27</v>
      </c>
      <c r="D439" s="1" t="s">
        <v>47</v>
      </c>
      <c r="E439" s="1" t="s">
        <v>88</v>
      </c>
      <c r="F439" s="2">
        <v>3793</v>
      </c>
      <c r="G439" s="4">
        <v>9.0011863959926178E-2</v>
      </c>
      <c r="H439" s="3">
        <f t="shared" si="18"/>
        <v>41821</v>
      </c>
      <c r="I439" s="1">
        <f>_xlfn.XLOOKUP(E439,Product!$A$2:$A$7,Product!$C$2:$C$7)</f>
        <v>180</v>
      </c>
      <c r="J439" s="22">
        <f t="shared" si="19"/>
        <v>682740</v>
      </c>
      <c r="K439" s="22">
        <f t="shared" si="20"/>
        <v>621285.29999999993</v>
      </c>
      <c r="L439" s="22">
        <f>K439-(_xlfn.XLOOKUP(E439,Product!$A$2:$A$7,Product!$B$2:$B$7)*F439)</f>
        <v>166125.29999999993</v>
      </c>
      <c r="M439">
        <f>YEAR(Table1[[#This Row],[Order date]])</f>
        <v>2014</v>
      </c>
      <c r="N439" s="22" t="str" cm="1">
        <f t="array" ref="N439">_xlfn.IFS(G439=0,"No Discount", ROUND(G439*100,0)&lt;=4,"Low", ROUND(G439*100,0)&lt;=9,"Medium", ROUND(G439*100,0)&lt;=15,"High")</f>
        <v>Medium</v>
      </c>
      <c r="O439" s="22" t="str">
        <f>TEXT(Table1[[#This Row],[Order date]],"mmmm")</f>
        <v>July</v>
      </c>
    </row>
    <row r="440" spans="1:15" ht="13.5" x14ac:dyDescent="0.25">
      <c r="A440" s="1" t="str">
        <f>"ORD"&amp;"-"&amp;_xlfn.XLOOKUP(C440,Guide!$B$22:$B$26,Guide!$C$22:$C$26)&amp;"-"&amp;_xlfn.XLOOKUP(D440,Guide!$B$29:$B$33,Guide!$C$29:$C$33)&amp;"-"&amp;TEXT(H440,"yyyymmdd")</f>
        <v>ORD-CND-MDM-20140701</v>
      </c>
      <c r="B440" s="1" t="s">
        <v>448</v>
      </c>
      <c r="C440" s="1" t="s">
        <v>27</v>
      </c>
      <c r="D440" s="1" t="s">
        <v>41</v>
      </c>
      <c r="E440" s="1" t="s">
        <v>84</v>
      </c>
      <c r="F440" s="2">
        <v>1630</v>
      </c>
      <c r="G440" s="4">
        <v>9.0027811860940693E-2</v>
      </c>
      <c r="H440" s="3">
        <f t="shared" si="18"/>
        <v>41821</v>
      </c>
      <c r="I440" s="1">
        <f>_xlfn.XLOOKUP(E440,Product!$A$2:$A$7,Product!$C$2:$C$7)</f>
        <v>350</v>
      </c>
      <c r="J440" s="22">
        <f t="shared" si="19"/>
        <v>570500</v>
      </c>
      <c r="K440" s="22">
        <f t="shared" si="20"/>
        <v>519139.13333333336</v>
      </c>
      <c r="L440" s="22">
        <f>K440-(_xlfn.XLOOKUP(E440,Product!$A$2:$A$7,Product!$B$2:$B$7)*F440)</f>
        <v>193139.13333333336</v>
      </c>
      <c r="M440">
        <f>YEAR(Table1[[#This Row],[Order date]])</f>
        <v>2014</v>
      </c>
      <c r="N440" s="22" t="str" cm="1">
        <f t="array" ref="N440">_xlfn.IFS(G440=0,"No Discount", ROUND(G440*100,0)&lt;=4,"Low", ROUND(G440*100,0)&lt;=9,"Medium", ROUND(G440*100,0)&lt;=15,"High")</f>
        <v>Medium</v>
      </c>
      <c r="O440" s="22" t="str">
        <f>TEXT(Table1[[#This Row],[Order date]],"mmmm")</f>
        <v>July</v>
      </c>
    </row>
    <row r="441" spans="1:15" ht="13.5" x14ac:dyDescent="0.25">
      <c r="A441" s="1" t="str">
        <f>"ORD"&amp;"-"&amp;_xlfn.XLOOKUP(C441,Guide!$B$22:$B$26,Guide!$C$22:$C$26)&amp;"-"&amp;_xlfn.XLOOKUP(D441,Guide!$B$29:$B$33,Guide!$C$29:$C$33)&amp;"-"&amp;TEXT(H441,"yyyymmdd")</f>
        <v>ORD-MXC-MDM-20140701</v>
      </c>
      <c r="B441" s="1" t="s">
        <v>449</v>
      </c>
      <c r="C441" s="1" t="s">
        <v>33</v>
      </c>
      <c r="D441" s="1" t="s">
        <v>41</v>
      </c>
      <c r="E441" s="1" t="s">
        <v>78</v>
      </c>
      <c r="F441" s="2">
        <v>641</v>
      </c>
      <c r="G441" s="4">
        <v>0.1</v>
      </c>
      <c r="H441" s="3">
        <f t="shared" si="18"/>
        <v>41821</v>
      </c>
      <c r="I441" s="1">
        <f>_xlfn.XLOOKUP(E441,Product!$A$2:$A$7,Product!$C$2:$C$7)</f>
        <v>300</v>
      </c>
      <c r="J441" s="22">
        <f t="shared" si="19"/>
        <v>192300</v>
      </c>
      <c r="K441" s="22">
        <f t="shared" si="20"/>
        <v>173070</v>
      </c>
      <c r="L441" s="22">
        <f>K441-(_xlfn.XLOOKUP(E441,Product!$A$2:$A$7,Product!$B$2:$B$7)*F441)</f>
        <v>12820</v>
      </c>
      <c r="M441">
        <f>YEAR(Table1[[#This Row],[Order date]])</f>
        <v>2014</v>
      </c>
      <c r="N441" s="22" t="str" cm="1">
        <f t="array" ref="N441">_xlfn.IFS(G441=0,"No Discount", ROUND(G441*100,0)&lt;=4,"Low", ROUND(G441*100,0)&lt;=9,"Medium", ROUND(G441*100,0)&lt;=15,"High")</f>
        <v>High</v>
      </c>
      <c r="O441" s="22" t="str">
        <f>TEXT(Table1[[#This Row],[Order date]],"mmmm")</f>
        <v>July</v>
      </c>
    </row>
    <row r="442" spans="1:15" ht="13.5" x14ac:dyDescent="0.25">
      <c r="A442" s="1" t="str">
        <f>"ORD"&amp;"-"&amp;_xlfn.XLOOKUP(C442,Guide!$B$22:$B$26,Guide!$C$22:$C$26)&amp;"-"&amp;_xlfn.XLOOKUP(D442,Guide!$B$29:$B$33,Guide!$C$29:$C$33)&amp;"-"&amp;TEXT(H442,"yyyymmdd")</f>
        <v>ORD-FRA-GOV-20140701</v>
      </c>
      <c r="B442" s="1" t="s">
        <v>450</v>
      </c>
      <c r="C442" s="1" t="s">
        <v>31</v>
      </c>
      <c r="D442" s="1" t="s">
        <v>39</v>
      </c>
      <c r="E442" s="1" t="s">
        <v>88</v>
      </c>
      <c r="F442" s="2">
        <v>639</v>
      </c>
      <c r="G442" s="4">
        <v>0.1</v>
      </c>
      <c r="H442" s="3">
        <f t="shared" si="18"/>
        <v>41821</v>
      </c>
      <c r="I442" s="1">
        <f>_xlfn.XLOOKUP(E442,Product!$A$2:$A$7,Product!$C$2:$C$7)</f>
        <v>180</v>
      </c>
      <c r="J442" s="22">
        <f t="shared" si="19"/>
        <v>115020</v>
      </c>
      <c r="K442" s="22">
        <f t="shared" si="20"/>
        <v>103518</v>
      </c>
      <c r="L442" s="22">
        <f>K442-(_xlfn.XLOOKUP(E442,Product!$A$2:$A$7,Product!$B$2:$B$7)*F442)</f>
        <v>26838</v>
      </c>
      <c r="M442">
        <f>YEAR(Table1[[#This Row],[Order date]])</f>
        <v>2014</v>
      </c>
      <c r="N442" s="22" t="str" cm="1">
        <f t="array" ref="N442">_xlfn.IFS(G442=0,"No Discount", ROUND(G442*100,0)&lt;=4,"Low", ROUND(G442*100,0)&lt;=9,"Medium", ROUND(G442*100,0)&lt;=15,"High")</f>
        <v>High</v>
      </c>
      <c r="O442" s="22" t="str">
        <f>TEXT(Table1[[#This Row],[Order date]],"mmmm")</f>
        <v>July</v>
      </c>
    </row>
    <row r="443" spans="1:15" ht="13.5" x14ac:dyDescent="0.25">
      <c r="A443" s="1" t="str">
        <f>"ORD"&amp;"-"&amp;_xlfn.XLOOKUP(C443,Guide!$B$22:$B$26,Guide!$C$22:$C$26)&amp;"-"&amp;_xlfn.XLOOKUP(D443,Guide!$B$29:$B$33,Guide!$C$29:$C$33)&amp;"-"&amp;TEXT(H443,"yyyymmdd")</f>
        <v>ORD-CND-CPR-20140701</v>
      </c>
      <c r="B443" s="1" t="s">
        <v>451</v>
      </c>
      <c r="C443" s="1" t="s">
        <v>27</v>
      </c>
      <c r="D443" s="1" t="s">
        <v>43</v>
      </c>
      <c r="E443" s="1" t="s">
        <v>75</v>
      </c>
      <c r="F443" s="2">
        <v>4026</v>
      </c>
      <c r="G443" s="4">
        <v>0.11</v>
      </c>
      <c r="H443" s="3">
        <f t="shared" si="18"/>
        <v>41821</v>
      </c>
      <c r="I443" s="1">
        <f>_xlfn.XLOOKUP(E443,Product!$A$2:$A$7,Product!$C$2:$C$7)</f>
        <v>20</v>
      </c>
      <c r="J443" s="22">
        <f t="shared" si="19"/>
        <v>80520</v>
      </c>
      <c r="K443" s="22">
        <f t="shared" si="20"/>
        <v>71662.8</v>
      </c>
      <c r="L443" s="22">
        <f>K443-(_xlfn.XLOOKUP(E443,Product!$A$2:$A$7,Product!$B$2:$B$7)*F443)</f>
        <v>31402.800000000003</v>
      </c>
      <c r="M443">
        <f>YEAR(Table1[[#This Row],[Order date]])</f>
        <v>2014</v>
      </c>
      <c r="N443" s="22" t="str" cm="1">
        <f t="array" ref="N443">_xlfn.IFS(G443=0,"No Discount", ROUND(G443*100,0)&lt;=4,"Low", ROUND(G443*100,0)&lt;=9,"Medium", ROUND(G443*100,0)&lt;=15,"High")</f>
        <v>High</v>
      </c>
      <c r="O443" s="22" t="str">
        <f>TEXT(Table1[[#This Row],[Order date]],"mmmm")</f>
        <v>July</v>
      </c>
    </row>
    <row r="444" spans="1:15" ht="13.5" x14ac:dyDescent="0.25">
      <c r="A444" s="1" t="str">
        <f>"ORD"&amp;"-"&amp;_xlfn.XLOOKUP(C444,Guide!$B$22:$B$26,Guide!$C$22:$C$26)&amp;"-"&amp;_xlfn.XLOOKUP(D444,Guide!$B$29:$B$33,Guide!$C$29:$C$33)&amp;"-"&amp;TEXT(H444,"yyyymmdd")</f>
        <v>ORD-GER-SMB-20140701</v>
      </c>
      <c r="B444" s="1" t="s">
        <v>452</v>
      </c>
      <c r="C444" s="1" t="s">
        <v>29</v>
      </c>
      <c r="D444" s="1" t="s">
        <v>47</v>
      </c>
      <c r="E444" s="1" t="s">
        <v>80</v>
      </c>
      <c r="F444" s="2">
        <v>2811</v>
      </c>
      <c r="G444" s="4">
        <v>0.11</v>
      </c>
      <c r="H444" s="3">
        <f t="shared" si="18"/>
        <v>41821</v>
      </c>
      <c r="I444" s="1">
        <f>_xlfn.XLOOKUP(E444,Product!$A$2:$A$7,Product!$C$2:$C$7)</f>
        <v>20</v>
      </c>
      <c r="J444" s="22">
        <f t="shared" si="19"/>
        <v>56220</v>
      </c>
      <c r="K444" s="22">
        <f t="shared" si="20"/>
        <v>50035.8</v>
      </c>
      <c r="L444" s="22">
        <f>K444-(_xlfn.XLOOKUP(E444,Product!$A$2:$A$7,Product!$B$2:$B$7)*F444)</f>
        <v>41602.800000000003</v>
      </c>
      <c r="M444">
        <f>YEAR(Table1[[#This Row],[Order date]])</f>
        <v>2014</v>
      </c>
      <c r="N444" s="22" t="str" cm="1">
        <f t="array" ref="N444">_xlfn.IFS(G444=0,"No Discount", ROUND(G444*100,0)&lt;=4,"Low", ROUND(G444*100,0)&lt;=9,"Medium", ROUND(G444*100,0)&lt;=15,"High")</f>
        <v>High</v>
      </c>
      <c r="O444" s="22" t="str">
        <f>TEXT(Table1[[#This Row],[Order date]],"mmmm")</f>
        <v>July</v>
      </c>
    </row>
    <row r="445" spans="1:15" ht="13.5" x14ac:dyDescent="0.25">
      <c r="A445" s="1" t="str">
        <f>"ORD"&amp;"-"&amp;_xlfn.XLOOKUP(C445,Guide!$B$22:$B$26,Guide!$C$22:$C$26)&amp;"-"&amp;_xlfn.XLOOKUP(D445,Guide!$B$29:$B$33,Guide!$C$29:$C$33)&amp;"-"&amp;TEXT(H445,"yyyymmdd")</f>
        <v>ORD-USA-MDM-20140701</v>
      </c>
      <c r="B445" s="1" t="s">
        <v>453</v>
      </c>
      <c r="C445" s="1" t="s">
        <v>35</v>
      </c>
      <c r="D445" s="1" t="s">
        <v>41</v>
      </c>
      <c r="E445" s="1" t="s">
        <v>84</v>
      </c>
      <c r="F445" s="2">
        <v>3199</v>
      </c>
      <c r="G445" s="4">
        <v>0.11001729707200167</v>
      </c>
      <c r="H445" s="3">
        <f t="shared" si="18"/>
        <v>41821</v>
      </c>
      <c r="I445" s="1">
        <f>_xlfn.XLOOKUP(E445,Product!$A$2:$A$7,Product!$C$2:$C$7)</f>
        <v>350</v>
      </c>
      <c r="J445" s="22">
        <f t="shared" si="19"/>
        <v>1119650</v>
      </c>
      <c r="K445" s="22">
        <f t="shared" si="20"/>
        <v>996469.1333333333</v>
      </c>
      <c r="L445" s="22">
        <f>K445-(_xlfn.XLOOKUP(E445,Product!$A$2:$A$7,Product!$B$2:$B$7)*F445)</f>
        <v>356669.1333333333</v>
      </c>
      <c r="M445">
        <f>YEAR(Table1[[#This Row],[Order date]])</f>
        <v>2014</v>
      </c>
      <c r="N445" s="22" t="str" cm="1">
        <f t="array" ref="N445">_xlfn.IFS(G445=0,"No Discount", ROUND(G445*100,0)&lt;=4,"Low", ROUND(G445*100,0)&lt;=9,"Medium", ROUND(G445*100,0)&lt;=15,"High")</f>
        <v>High</v>
      </c>
      <c r="O445" s="22" t="str">
        <f>TEXT(Table1[[#This Row],[Order date]],"mmmm")</f>
        <v>July</v>
      </c>
    </row>
    <row r="446" spans="1:15" ht="13.5" x14ac:dyDescent="0.25">
      <c r="A446" s="1" t="str">
        <f>"ORD"&amp;"-"&amp;_xlfn.XLOOKUP(C446,Guide!$B$22:$B$26,Guide!$C$22:$C$26)&amp;"-"&amp;_xlfn.XLOOKUP(D446,Guide!$B$29:$B$33,Guide!$C$29:$C$33)&amp;"-"&amp;TEXT(H446,"yyyymmdd")</f>
        <v>ORD-FRA-CPR-20140701</v>
      </c>
      <c r="B446" s="1" t="s">
        <v>454</v>
      </c>
      <c r="C446" s="1" t="s">
        <v>31</v>
      </c>
      <c r="D446" s="1" t="s">
        <v>43</v>
      </c>
      <c r="E446" s="1" t="s">
        <v>75</v>
      </c>
      <c r="F446" s="2">
        <v>2425</v>
      </c>
      <c r="G446" s="4">
        <v>0.11002268041237113</v>
      </c>
      <c r="H446" s="3">
        <f t="shared" si="18"/>
        <v>41821</v>
      </c>
      <c r="I446" s="1">
        <f>_xlfn.XLOOKUP(E446,Product!$A$2:$A$7,Product!$C$2:$C$7)</f>
        <v>20</v>
      </c>
      <c r="J446" s="22">
        <f t="shared" si="19"/>
        <v>48500</v>
      </c>
      <c r="K446" s="22">
        <f t="shared" si="20"/>
        <v>43163.9</v>
      </c>
      <c r="L446" s="22">
        <f>K446-(_xlfn.XLOOKUP(E446,Product!$A$2:$A$7,Product!$B$2:$B$7)*F446)</f>
        <v>18913.900000000001</v>
      </c>
      <c r="M446">
        <f>YEAR(Table1[[#This Row],[Order date]])</f>
        <v>2014</v>
      </c>
      <c r="N446" s="22" t="str" cm="1">
        <f t="array" ref="N446">_xlfn.IFS(G446=0,"No Discount", ROUND(G446*100,0)&lt;=4,"Low", ROUND(G446*100,0)&lt;=9,"Medium", ROUND(G446*100,0)&lt;=15,"High")</f>
        <v>High</v>
      </c>
      <c r="O446" s="22" t="str">
        <f>TEXT(Table1[[#This Row],[Order date]],"mmmm")</f>
        <v>July</v>
      </c>
    </row>
    <row r="447" spans="1:15" ht="13.5" x14ac:dyDescent="0.25">
      <c r="A447" s="1" t="str">
        <f>"ORD"&amp;"-"&amp;_xlfn.XLOOKUP(C447,Guide!$B$22:$B$26,Guide!$C$22:$C$26)&amp;"-"&amp;_xlfn.XLOOKUP(D447,Guide!$B$29:$B$33,Guide!$C$29:$C$33)&amp;"-"&amp;TEXT(H447,"yyyymmdd")</f>
        <v>ORD-CND-GOV-20140701</v>
      </c>
      <c r="B447" s="1" t="s">
        <v>455</v>
      </c>
      <c r="C447" s="1" t="s">
        <v>27</v>
      </c>
      <c r="D447" s="1" t="s">
        <v>39</v>
      </c>
      <c r="E447" s="1" t="s">
        <v>75</v>
      </c>
      <c r="F447" s="2">
        <v>2104</v>
      </c>
      <c r="G447" s="4">
        <v>0.11002614068441065</v>
      </c>
      <c r="H447" s="3">
        <f t="shared" si="18"/>
        <v>41821</v>
      </c>
      <c r="I447" s="1">
        <f>_xlfn.XLOOKUP(E447,Product!$A$2:$A$7,Product!$C$2:$C$7)</f>
        <v>20</v>
      </c>
      <c r="J447" s="22">
        <f t="shared" si="19"/>
        <v>42080</v>
      </c>
      <c r="K447" s="22">
        <f t="shared" si="20"/>
        <v>37450.1</v>
      </c>
      <c r="L447" s="22">
        <f>K447-(_xlfn.XLOOKUP(E447,Product!$A$2:$A$7,Product!$B$2:$B$7)*F447)</f>
        <v>16410.099999999999</v>
      </c>
      <c r="M447">
        <f>YEAR(Table1[[#This Row],[Order date]])</f>
        <v>2014</v>
      </c>
      <c r="N447" s="22" t="str" cm="1">
        <f t="array" ref="N447">_xlfn.IFS(G447=0,"No Discount", ROUND(G447*100,0)&lt;=4,"Low", ROUND(G447*100,0)&lt;=9,"Medium", ROUND(G447*100,0)&lt;=15,"High")</f>
        <v>High</v>
      </c>
      <c r="O447" s="22" t="str">
        <f>TEXT(Table1[[#This Row],[Order date]],"mmmm")</f>
        <v>July</v>
      </c>
    </row>
    <row r="448" spans="1:15" ht="13.5" x14ac:dyDescent="0.25">
      <c r="A448" s="1" t="str">
        <f>"ORD"&amp;"-"&amp;_xlfn.XLOOKUP(C448,Guide!$B$22:$B$26,Guide!$C$22:$C$26)&amp;"-"&amp;_xlfn.XLOOKUP(D448,Guide!$B$29:$B$33,Guide!$C$29:$C$33)&amp;"-"&amp;TEXT(H448,"yyyymmdd")</f>
        <v>ORD-MXC-GOV-20140701</v>
      </c>
      <c r="B448" s="1" t="s">
        <v>456</v>
      </c>
      <c r="C448" s="1" t="s">
        <v>33</v>
      </c>
      <c r="D448" s="1" t="s">
        <v>39</v>
      </c>
      <c r="E448" s="1" t="s">
        <v>88</v>
      </c>
      <c r="F448" s="2">
        <v>1395</v>
      </c>
      <c r="G448" s="4">
        <v>0.12</v>
      </c>
      <c r="H448" s="3">
        <f t="shared" si="18"/>
        <v>41821</v>
      </c>
      <c r="I448" s="1">
        <f>_xlfn.XLOOKUP(E448,Product!$A$2:$A$7,Product!$C$2:$C$7)</f>
        <v>180</v>
      </c>
      <c r="J448" s="22">
        <f t="shared" si="19"/>
        <v>251100</v>
      </c>
      <c r="K448" s="22">
        <f t="shared" si="20"/>
        <v>220968</v>
      </c>
      <c r="L448" s="22">
        <f>K448-(_xlfn.XLOOKUP(E448,Product!$A$2:$A$7,Product!$B$2:$B$7)*F448)</f>
        <v>53568</v>
      </c>
      <c r="M448">
        <f>YEAR(Table1[[#This Row],[Order date]])</f>
        <v>2014</v>
      </c>
      <c r="N448" s="22" t="str" cm="1">
        <f t="array" ref="N448">_xlfn.IFS(G448=0,"No Discount", ROUND(G448*100,0)&lt;=4,"Low", ROUND(G448*100,0)&lt;=9,"Medium", ROUND(G448*100,0)&lt;=15,"High")</f>
        <v>High</v>
      </c>
      <c r="O448" s="22" t="str">
        <f>TEXT(Table1[[#This Row],[Order date]],"mmmm")</f>
        <v>July</v>
      </c>
    </row>
    <row r="449" spans="1:15" ht="13.5" x14ac:dyDescent="0.25">
      <c r="A449" s="1" t="str">
        <f>"ORD"&amp;"-"&amp;_xlfn.XLOOKUP(C449,Guide!$B$22:$B$26,Guide!$C$22:$C$26)&amp;"-"&amp;_xlfn.XLOOKUP(D449,Guide!$B$29:$B$33,Guide!$C$29:$C$33)&amp;"-"&amp;TEXT(H449,"yyyymmdd")</f>
        <v>ORD-FRA-MDM-20140701</v>
      </c>
      <c r="B449" s="1" t="s">
        <v>457</v>
      </c>
      <c r="C449" s="1" t="s">
        <v>31</v>
      </c>
      <c r="D449" s="1" t="s">
        <v>41</v>
      </c>
      <c r="E449" s="1" t="s">
        <v>78</v>
      </c>
      <c r="F449" s="2">
        <v>3874</v>
      </c>
      <c r="G449" s="4">
        <v>0.12001548786783686</v>
      </c>
      <c r="H449" s="3">
        <f t="shared" si="18"/>
        <v>41821</v>
      </c>
      <c r="I449" s="1">
        <f>_xlfn.XLOOKUP(E449,Product!$A$2:$A$7,Product!$C$2:$C$7)</f>
        <v>300</v>
      </c>
      <c r="J449" s="22">
        <f t="shared" si="19"/>
        <v>1162200</v>
      </c>
      <c r="K449" s="22">
        <f t="shared" si="20"/>
        <v>1022718</v>
      </c>
      <c r="L449" s="22">
        <f>K449-(_xlfn.XLOOKUP(E449,Product!$A$2:$A$7,Product!$B$2:$B$7)*F449)</f>
        <v>54218</v>
      </c>
      <c r="M449">
        <f>YEAR(Table1[[#This Row],[Order date]])</f>
        <v>2014</v>
      </c>
      <c r="N449" s="22" t="str" cm="1">
        <f t="array" ref="N449">_xlfn.IFS(G449=0,"No Discount", ROUND(G449*100,0)&lt;=4,"Low", ROUND(G449*100,0)&lt;=9,"Medium", ROUND(G449*100,0)&lt;=15,"High")</f>
        <v>High</v>
      </c>
      <c r="O449" s="22" t="str">
        <f>TEXT(Table1[[#This Row],[Order date]],"mmmm")</f>
        <v>July</v>
      </c>
    </row>
    <row r="450" spans="1:15" ht="13.5" x14ac:dyDescent="0.25">
      <c r="A450" s="1" t="str">
        <f>"ORD"&amp;"-"&amp;_xlfn.XLOOKUP(C450,Guide!$B$22:$B$26,Guide!$C$22:$C$26)&amp;"-"&amp;_xlfn.XLOOKUP(D450,Guide!$B$29:$B$33,Guide!$C$29:$C$33)&amp;"-"&amp;TEXT(H450,"yyyymmdd")</f>
        <v>ORD-FRA-GOV-20140701</v>
      </c>
      <c r="B450" s="1" t="s">
        <v>458</v>
      </c>
      <c r="C450" s="1" t="s">
        <v>31</v>
      </c>
      <c r="D450" s="1" t="s">
        <v>39</v>
      </c>
      <c r="E450" s="1" t="s">
        <v>84</v>
      </c>
      <c r="F450" s="2">
        <v>3421</v>
      </c>
      <c r="G450" s="4">
        <v>0.1200175387313651</v>
      </c>
      <c r="H450" s="3">
        <f t="shared" ref="H450:H513" si="21">DATE(VALUE(_xlfn.TEXTBEFORE(_xlfn.TEXTAFTER(B450,"""year"": """),"""")),VALUE(_xlfn.TEXTBEFORE(_xlfn.TEXTAFTER(B450,"""month"": """),"""")),VALUE(_xlfn.TEXTBEFORE(_xlfn.TEXTAFTER(B450,"""date"": """),""""))
)</f>
        <v>41821</v>
      </c>
      <c r="I450" s="1">
        <f>_xlfn.XLOOKUP(E450,Product!$A$2:$A$7,Product!$C$2:$C$7)</f>
        <v>350</v>
      </c>
      <c r="J450" s="22">
        <f t="shared" ref="J450:J513" si="22">I450*F450</f>
        <v>1197350</v>
      </c>
      <c r="K450" s="22">
        <f t="shared" ref="K450:K513" si="23">J450*(1-IF(G450="-",0,G450))</f>
        <v>1053647</v>
      </c>
      <c r="L450" s="22">
        <f>K450-(_xlfn.XLOOKUP(E450,Product!$A$2:$A$7,Product!$B$2:$B$7)*F450)</f>
        <v>369447</v>
      </c>
      <c r="M450">
        <f>YEAR(Table1[[#This Row],[Order date]])</f>
        <v>2014</v>
      </c>
      <c r="N450" s="22" t="str" cm="1">
        <f t="array" ref="N450">_xlfn.IFS(G450=0,"No Discount", ROUND(G450*100,0)&lt;=4,"Low", ROUND(G450*100,0)&lt;=9,"Medium", ROUND(G450*100,0)&lt;=15,"High")</f>
        <v>High</v>
      </c>
      <c r="O450" s="22" t="str">
        <f>TEXT(Table1[[#This Row],[Order date]],"mmmm")</f>
        <v>July</v>
      </c>
    </row>
    <row r="451" spans="1:15" ht="13.5" x14ac:dyDescent="0.25">
      <c r="A451" s="1" t="str">
        <f>"ORD"&amp;"-"&amp;_xlfn.XLOOKUP(C451,Guide!$B$22:$B$26,Guide!$C$22:$C$26)&amp;"-"&amp;_xlfn.XLOOKUP(D451,Guide!$B$29:$B$33,Guide!$C$29:$C$33)&amp;"-"&amp;TEXT(H451,"yyyymmdd")</f>
        <v>ORD-MXC-CPR-20140701</v>
      </c>
      <c r="B451" s="1" t="s">
        <v>459</v>
      </c>
      <c r="C451" s="1" t="s">
        <v>33</v>
      </c>
      <c r="D451" s="1" t="s">
        <v>43</v>
      </c>
      <c r="E451" s="1" t="s">
        <v>75</v>
      </c>
      <c r="F451" s="2">
        <v>571</v>
      </c>
      <c r="G451" s="4">
        <v>0.13</v>
      </c>
      <c r="H451" s="3">
        <f t="shared" si="21"/>
        <v>41821</v>
      </c>
      <c r="I451" s="1">
        <f>_xlfn.XLOOKUP(E451,Product!$A$2:$A$7,Product!$C$2:$C$7)</f>
        <v>20</v>
      </c>
      <c r="J451" s="22">
        <f t="shared" si="22"/>
        <v>11420</v>
      </c>
      <c r="K451" s="22">
        <f t="shared" si="23"/>
        <v>9935.4</v>
      </c>
      <c r="L451" s="22">
        <f>K451-(_xlfn.XLOOKUP(E451,Product!$A$2:$A$7,Product!$B$2:$B$7)*F451)</f>
        <v>4225.3999999999996</v>
      </c>
      <c r="M451">
        <f>YEAR(Table1[[#This Row],[Order date]])</f>
        <v>2014</v>
      </c>
      <c r="N451" s="22" t="str" cm="1">
        <f t="array" ref="N451">_xlfn.IFS(G451=0,"No Discount", ROUND(G451*100,0)&lt;=4,"Low", ROUND(G451*100,0)&lt;=9,"Medium", ROUND(G451*100,0)&lt;=15,"High")</f>
        <v>High</v>
      </c>
      <c r="O451" s="22" t="str">
        <f>TEXT(Table1[[#This Row],[Order date]],"mmmm")</f>
        <v>July</v>
      </c>
    </row>
    <row r="452" spans="1:15" ht="13.5" x14ac:dyDescent="0.25">
      <c r="A452" s="1" t="str">
        <f>"ORD"&amp;"-"&amp;_xlfn.XLOOKUP(C452,Guide!$B$22:$B$26,Guide!$C$22:$C$26)&amp;"-"&amp;_xlfn.XLOOKUP(D452,Guide!$B$29:$B$33,Guide!$C$29:$C$33)&amp;"-"&amp;TEXT(H452,"yyyymmdd")</f>
        <v>ORD-MXC-GOV-20140701</v>
      </c>
      <c r="B452" s="1" t="s">
        <v>460</v>
      </c>
      <c r="C452" s="1" t="s">
        <v>33</v>
      </c>
      <c r="D452" s="1" t="s">
        <v>39</v>
      </c>
      <c r="E452" s="1" t="s">
        <v>82</v>
      </c>
      <c r="F452" s="2">
        <v>2255</v>
      </c>
      <c r="G452" s="4">
        <v>0.13</v>
      </c>
      <c r="H452" s="3">
        <f t="shared" si="21"/>
        <v>41821</v>
      </c>
      <c r="I452" s="1">
        <f>_xlfn.XLOOKUP(E452,Product!$A$2:$A$7,Product!$C$2:$C$7)</f>
        <v>15</v>
      </c>
      <c r="J452" s="22">
        <f t="shared" si="22"/>
        <v>33825</v>
      </c>
      <c r="K452" s="22">
        <f t="shared" si="23"/>
        <v>29427.75</v>
      </c>
      <c r="L452" s="22">
        <f>K452-(_xlfn.XLOOKUP(E452,Product!$A$2:$A$7,Product!$B$2:$B$7)*F452)</f>
        <v>18152.75</v>
      </c>
      <c r="M452">
        <f>YEAR(Table1[[#This Row],[Order date]])</f>
        <v>2014</v>
      </c>
      <c r="N452" s="22" t="str" cm="1">
        <f t="array" ref="N452">_xlfn.IFS(G452=0,"No Discount", ROUND(G452*100,0)&lt;=4,"Low", ROUND(G452*100,0)&lt;=9,"Medium", ROUND(G452*100,0)&lt;=15,"High")</f>
        <v>High</v>
      </c>
      <c r="O452" s="22" t="str">
        <f>TEXT(Table1[[#This Row],[Order date]],"mmmm")</f>
        <v>July</v>
      </c>
    </row>
    <row r="453" spans="1:15" ht="13.5" x14ac:dyDescent="0.25">
      <c r="A453" s="1" t="str">
        <f>"ORD"&amp;"-"&amp;_xlfn.XLOOKUP(C453,Guide!$B$22:$B$26,Guide!$C$22:$C$26)&amp;"-"&amp;_xlfn.XLOOKUP(D453,Guide!$B$29:$B$33,Guide!$C$29:$C$33)&amp;"-"&amp;TEXT(H453,"yyyymmdd")</f>
        <v>ORD-MXC-SMB-20140701</v>
      </c>
      <c r="B453" s="1" t="s">
        <v>461</v>
      </c>
      <c r="C453" s="1" t="s">
        <v>33</v>
      </c>
      <c r="D453" s="1" t="s">
        <v>47</v>
      </c>
      <c r="E453" s="1" t="s">
        <v>80</v>
      </c>
      <c r="F453" s="2">
        <v>801</v>
      </c>
      <c r="G453" s="4">
        <v>0.14000000000000001</v>
      </c>
      <c r="H453" s="3">
        <f t="shared" si="21"/>
        <v>41821</v>
      </c>
      <c r="I453" s="1">
        <f>_xlfn.XLOOKUP(E453,Product!$A$2:$A$7,Product!$C$2:$C$7)</f>
        <v>20</v>
      </c>
      <c r="J453" s="22">
        <f t="shared" si="22"/>
        <v>16020</v>
      </c>
      <c r="K453" s="22">
        <f t="shared" si="23"/>
        <v>13777.199999999999</v>
      </c>
      <c r="L453" s="22">
        <f>K453-(_xlfn.XLOOKUP(E453,Product!$A$2:$A$7,Product!$B$2:$B$7)*F453)</f>
        <v>11374.199999999999</v>
      </c>
      <c r="M453">
        <f>YEAR(Table1[[#This Row],[Order date]])</f>
        <v>2014</v>
      </c>
      <c r="N453" s="22" t="str" cm="1">
        <f t="array" ref="N453">_xlfn.IFS(G453=0,"No Discount", ROUND(G453*100,0)&lt;=4,"Low", ROUND(G453*100,0)&lt;=9,"Medium", ROUND(G453*100,0)&lt;=15,"High")</f>
        <v>High</v>
      </c>
      <c r="O453" s="22" t="str">
        <f>TEXT(Table1[[#This Row],[Order date]],"mmmm")</f>
        <v>July</v>
      </c>
    </row>
    <row r="454" spans="1:15" ht="13.5" x14ac:dyDescent="0.25">
      <c r="A454" s="1" t="str">
        <f>"ORD"&amp;"-"&amp;_xlfn.XLOOKUP(C454,Guide!$B$22:$B$26,Guide!$C$22:$C$26)&amp;"-"&amp;_xlfn.XLOOKUP(D454,Guide!$B$29:$B$33,Guide!$C$29:$C$33)&amp;"-"&amp;TEXT(H454,"yyyymmdd")</f>
        <v>ORD-USA-SMB-20140701</v>
      </c>
      <c r="B454" s="1" t="s">
        <v>462</v>
      </c>
      <c r="C454" s="1" t="s">
        <v>35</v>
      </c>
      <c r="D454" s="1" t="s">
        <v>47</v>
      </c>
      <c r="E454" s="1" t="s">
        <v>88</v>
      </c>
      <c r="F454" s="2">
        <v>2460</v>
      </c>
      <c r="G454" s="4">
        <v>0.14000000000000001</v>
      </c>
      <c r="H454" s="3">
        <f t="shared" si="21"/>
        <v>41821</v>
      </c>
      <c r="I454" s="1">
        <f>_xlfn.XLOOKUP(E454,Product!$A$2:$A$7,Product!$C$2:$C$7)</f>
        <v>180</v>
      </c>
      <c r="J454" s="22">
        <f t="shared" si="22"/>
        <v>442800</v>
      </c>
      <c r="K454" s="22">
        <f t="shared" si="23"/>
        <v>380808</v>
      </c>
      <c r="L454" s="22">
        <f>K454-(_xlfn.XLOOKUP(E454,Product!$A$2:$A$7,Product!$B$2:$B$7)*F454)</f>
        <v>85608</v>
      </c>
      <c r="M454">
        <f>YEAR(Table1[[#This Row],[Order date]])</f>
        <v>2014</v>
      </c>
      <c r="N454" s="22" t="str" cm="1">
        <f t="array" ref="N454">_xlfn.IFS(G454=0,"No Discount", ROUND(G454*100,0)&lt;=4,"Low", ROUND(G454*100,0)&lt;=9,"Medium", ROUND(G454*100,0)&lt;=15,"High")</f>
        <v>High</v>
      </c>
      <c r="O454" s="22" t="str">
        <f>TEXT(Table1[[#This Row],[Order date]],"mmmm")</f>
        <v>July</v>
      </c>
    </row>
    <row r="455" spans="1:15" ht="13.5" x14ac:dyDescent="0.25">
      <c r="A455" s="1" t="str">
        <f>"ORD"&amp;"-"&amp;_xlfn.XLOOKUP(C455,Guide!$B$22:$B$26,Guide!$C$22:$C$26)&amp;"-"&amp;_xlfn.XLOOKUP(D455,Guide!$B$29:$B$33,Guide!$C$29:$C$33)&amp;"-"&amp;TEXT(H455,"yyyymmdd")</f>
        <v>ORD-GER-MDM-20140701</v>
      </c>
      <c r="B455" s="1" t="s">
        <v>463</v>
      </c>
      <c r="C455" s="1" t="s">
        <v>29</v>
      </c>
      <c r="D455" s="1" t="s">
        <v>41</v>
      </c>
      <c r="E455" s="1" t="s">
        <v>78</v>
      </c>
      <c r="F455" s="2">
        <v>492</v>
      </c>
      <c r="G455" s="4">
        <v>0.15</v>
      </c>
      <c r="H455" s="3">
        <f t="shared" si="21"/>
        <v>41821</v>
      </c>
      <c r="I455" s="1">
        <f>_xlfn.XLOOKUP(E455,Product!$A$2:$A$7,Product!$C$2:$C$7)</f>
        <v>300</v>
      </c>
      <c r="J455" s="22">
        <f t="shared" si="22"/>
        <v>147600</v>
      </c>
      <c r="K455" s="22">
        <f t="shared" si="23"/>
        <v>125460</v>
      </c>
      <c r="L455" s="22">
        <f>K455-(_xlfn.XLOOKUP(E455,Product!$A$2:$A$7,Product!$B$2:$B$7)*F455)</f>
        <v>2460</v>
      </c>
      <c r="M455">
        <f>YEAR(Table1[[#This Row],[Order date]])</f>
        <v>2014</v>
      </c>
      <c r="N455" s="22" t="str" cm="1">
        <f t="array" ref="N455">_xlfn.IFS(G455=0,"No Discount", ROUND(G455*100,0)&lt;=4,"Low", ROUND(G455*100,0)&lt;=9,"Medium", ROUND(G455*100,0)&lt;=15,"High")</f>
        <v>High</v>
      </c>
      <c r="O455" s="22" t="str">
        <f>TEXT(Table1[[#This Row],[Order date]],"mmmm")</f>
        <v>July</v>
      </c>
    </row>
    <row r="456" spans="1:15" ht="13.5" x14ac:dyDescent="0.25">
      <c r="A456" s="1" t="str">
        <f>"ORD"&amp;"-"&amp;_xlfn.XLOOKUP(C456,Guide!$B$22:$B$26,Guide!$C$22:$C$26)&amp;"-"&amp;_xlfn.XLOOKUP(D456,Guide!$B$29:$B$33,Guide!$C$29:$C$33)&amp;"-"&amp;TEXT(H456,"yyyymmdd")</f>
        <v>ORD-CND-GOV-20140701</v>
      </c>
      <c r="B456" s="1" t="s">
        <v>464</v>
      </c>
      <c r="C456" s="1" t="s">
        <v>27</v>
      </c>
      <c r="D456" s="1" t="s">
        <v>39</v>
      </c>
      <c r="E456" s="1" t="s">
        <v>78</v>
      </c>
      <c r="F456" s="2">
        <v>865</v>
      </c>
      <c r="G456" s="4">
        <v>0.15008670520231213</v>
      </c>
      <c r="H456" s="3">
        <f t="shared" si="21"/>
        <v>41821</v>
      </c>
      <c r="I456" s="1">
        <f>_xlfn.XLOOKUP(E456,Product!$A$2:$A$7,Product!$C$2:$C$7)</f>
        <v>300</v>
      </c>
      <c r="J456" s="22">
        <f t="shared" si="22"/>
        <v>259500</v>
      </c>
      <c r="K456" s="22">
        <f t="shared" si="23"/>
        <v>220552.5</v>
      </c>
      <c r="L456" s="22">
        <f>K456-(_xlfn.XLOOKUP(E456,Product!$A$2:$A$7,Product!$B$2:$B$7)*F456)</f>
        <v>4302.5</v>
      </c>
      <c r="M456">
        <f>YEAR(Table1[[#This Row],[Order date]])</f>
        <v>2014</v>
      </c>
      <c r="N456" s="22" t="str" cm="1">
        <f t="array" ref="N456">_xlfn.IFS(G456=0,"No Discount", ROUND(G456*100,0)&lt;=4,"Low", ROUND(G456*100,0)&lt;=9,"Medium", ROUND(G456*100,0)&lt;=15,"High")</f>
        <v>High</v>
      </c>
      <c r="O456" s="22" t="str">
        <f>TEXT(Table1[[#This Row],[Order date]],"mmmm")</f>
        <v>July</v>
      </c>
    </row>
    <row r="457" spans="1:15" ht="13.5" x14ac:dyDescent="0.25">
      <c r="A457" s="1" t="str">
        <f>"ORD"&amp;"-"&amp;_xlfn.XLOOKUP(C457,Guide!$B$22:$B$26,Guide!$C$22:$C$26)&amp;"-"&amp;_xlfn.XLOOKUP(D457,Guide!$B$29:$B$33,Guide!$C$29:$C$33)&amp;"-"&amp;TEXT(H457,"yyyymmdd")</f>
        <v>ORD-MXC-GOV-20140801</v>
      </c>
      <c r="B457" s="1" t="s">
        <v>465</v>
      </c>
      <c r="C457" s="1" t="s">
        <v>33</v>
      </c>
      <c r="D457" s="1" t="s">
        <v>39</v>
      </c>
      <c r="E457" s="1" t="s">
        <v>75</v>
      </c>
      <c r="F457" s="2">
        <v>883</v>
      </c>
      <c r="G457" s="4">
        <v>0</v>
      </c>
      <c r="H457" s="3">
        <f t="shared" si="21"/>
        <v>41852</v>
      </c>
      <c r="I457" s="1">
        <f>_xlfn.XLOOKUP(E457,Product!$A$2:$A$7,Product!$C$2:$C$7)</f>
        <v>20</v>
      </c>
      <c r="J457" s="22">
        <f t="shared" si="22"/>
        <v>17660</v>
      </c>
      <c r="K457" s="22">
        <f t="shared" si="23"/>
        <v>17660</v>
      </c>
      <c r="L457" s="22">
        <f>K457-(_xlfn.XLOOKUP(E457,Product!$A$2:$A$7,Product!$B$2:$B$7)*F457)</f>
        <v>8830</v>
      </c>
      <c r="M457">
        <f>YEAR(Table1[[#This Row],[Order date]])</f>
        <v>2014</v>
      </c>
      <c r="N457" s="22" t="str" cm="1">
        <f t="array" ref="N457">_xlfn.IFS(G457=0,"No Discount", ROUND(G457*100,0)&lt;=4,"Low", ROUND(G457*100,0)&lt;=9,"Medium", ROUND(G457*100,0)&lt;=15,"High")</f>
        <v>No Discount</v>
      </c>
      <c r="O457" s="22" t="str">
        <f>TEXT(Table1[[#This Row],[Order date]],"mmmm")</f>
        <v>August</v>
      </c>
    </row>
    <row r="458" spans="1:15" ht="13.5" x14ac:dyDescent="0.25">
      <c r="A458" s="1" t="str">
        <f>"ORD"&amp;"-"&amp;_xlfn.XLOOKUP(C458,Guide!$B$22:$B$26,Guide!$C$22:$C$26)&amp;"-"&amp;_xlfn.XLOOKUP(D458,Guide!$B$29:$B$33,Guide!$C$29:$C$33)&amp;"-"&amp;TEXT(H458,"yyyymmdd")</f>
        <v>ORD-MXC-SMB-20140801</v>
      </c>
      <c r="B458" s="1" t="s">
        <v>466</v>
      </c>
      <c r="C458" s="1" t="s">
        <v>33</v>
      </c>
      <c r="D458" s="1" t="s">
        <v>47</v>
      </c>
      <c r="E458" s="1" t="s">
        <v>82</v>
      </c>
      <c r="F458" s="2">
        <v>958</v>
      </c>
      <c r="G458" s="4">
        <v>0</v>
      </c>
      <c r="H458" s="3">
        <f t="shared" si="21"/>
        <v>41852</v>
      </c>
      <c r="I458" s="1">
        <f>_xlfn.XLOOKUP(E458,Product!$A$2:$A$7,Product!$C$2:$C$7)</f>
        <v>15</v>
      </c>
      <c r="J458" s="22">
        <f t="shared" si="22"/>
        <v>14370</v>
      </c>
      <c r="K458" s="22">
        <f t="shared" si="23"/>
        <v>14370</v>
      </c>
      <c r="L458" s="22">
        <f>K458-(_xlfn.XLOOKUP(E458,Product!$A$2:$A$7,Product!$B$2:$B$7)*F458)</f>
        <v>9580</v>
      </c>
      <c r="M458">
        <f>YEAR(Table1[[#This Row],[Order date]])</f>
        <v>2014</v>
      </c>
      <c r="N458" s="22" t="str" cm="1">
        <f t="array" ref="N458">_xlfn.IFS(G458=0,"No Discount", ROUND(G458*100,0)&lt;=4,"Low", ROUND(G458*100,0)&lt;=9,"Medium", ROUND(G458*100,0)&lt;=15,"High")</f>
        <v>No Discount</v>
      </c>
      <c r="O458" s="22" t="str">
        <f>TEXT(Table1[[#This Row],[Order date]],"mmmm")</f>
        <v>August</v>
      </c>
    </row>
    <row r="459" spans="1:15" ht="13.5" x14ac:dyDescent="0.25">
      <c r="A459" s="1" t="str">
        <f>"ORD"&amp;"-"&amp;_xlfn.XLOOKUP(C459,Guide!$B$22:$B$26,Guide!$C$22:$C$26)&amp;"-"&amp;_xlfn.XLOOKUP(D459,Guide!$B$29:$B$33,Guide!$C$29:$C$33)&amp;"-"&amp;TEXT(H459,"yyyymmdd")</f>
        <v>ORD-USA-ENT-20140801</v>
      </c>
      <c r="B459" s="1" t="s">
        <v>467</v>
      </c>
      <c r="C459" s="1" t="s">
        <v>35</v>
      </c>
      <c r="D459" s="1" t="s">
        <v>45</v>
      </c>
      <c r="E459" s="1" t="s">
        <v>88</v>
      </c>
      <c r="F459" s="2">
        <v>2821</v>
      </c>
      <c r="G459" s="4">
        <v>0</v>
      </c>
      <c r="H459" s="3">
        <f t="shared" si="21"/>
        <v>41852</v>
      </c>
      <c r="I459" s="1">
        <f>_xlfn.XLOOKUP(E459,Product!$A$2:$A$7,Product!$C$2:$C$7)</f>
        <v>180</v>
      </c>
      <c r="J459" s="22">
        <f t="shared" si="22"/>
        <v>507780</v>
      </c>
      <c r="K459" s="22">
        <f t="shared" si="23"/>
        <v>507780</v>
      </c>
      <c r="L459" s="22">
        <f>K459-(_xlfn.XLOOKUP(E459,Product!$A$2:$A$7,Product!$B$2:$B$7)*F459)</f>
        <v>169260</v>
      </c>
      <c r="M459">
        <f>YEAR(Table1[[#This Row],[Order date]])</f>
        <v>2014</v>
      </c>
      <c r="N459" s="22" t="str" cm="1">
        <f t="array" ref="N459">_xlfn.IFS(G459=0,"No Discount", ROUND(G459*100,0)&lt;=4,"Low", ROUND(G459*100,0)&lt;=9,"Medium", ROUND(G459*100,0)&lt;=15,"High")</f>
        <v>No Discount</v>
      </c>
      <c r="O459" s="22" t="str">
        <f>TEXT(Table1[[#This Row],[Order date]],"mmmm")</f>
        <v>August</v>
      </c>
    </row>
    <row r="460" spans="1:15" ht="13.5" x14ac:dyDescent="0.25">
      <c r="A460" s="1" t="str">
        <f>"ORD"&amp;"-"&amp;_xlfn.XLOOKUP(C460,Guide!$B$22:$B$26,Guide!$C$22:$C$26)&amp;"-"&amp;_xlfn.XLOOKUP(D460,Guide!$B$29:$B$33,Guide!$C$29:$C$33)&amp;"-"&amp;TEXT(H460,"yyyymmdd")</f>
        <v>ORD-USA-CPR-20140801</v>
      </c>
      <c r="B460" s="1" t="s">
        <v>468</v>
      </c>
      <c r="C460" s="1" t="s">
        <v>35</v>
      </c>
      <c r="D460" s="1" t="s">
        <v>43</v>
      </c>
      <c r="E460" s="1" t="s">
        <v>84</v>
      </c>
      <c r="F460" s="2">
        <v>2141</v>
      </c>
      <c r="G460" s="4">
        <v>0</v>
      </c>
      <c r="H460" s="3">
        <f t="shared" si="21"/>
        <v>41852</v>
      </c>
      <c r="I460" s="1">
        <f>_xlfn.XLOOKUP(E460,Product!$A$2:$A$7,Product!$C$2:$C$7)</f>
        <v>350</v>
      </c>
      <c r="J460" s="22">
        <f t="shared" si="22"/>
        <v>749350</v>
      </c>
      <c r="K460" s="22">
        <f t="shared" si="23"/>
        <v>749350</v>
      </c>
      <c r="L460" s="22">
        <f>K460-(_xlfn.XLOOKUP(E460,Product!$A$2:$A$7,Product!$B$2:$B$7)*F460)</f>
        <v>321150</v>
      </c>
      <c r="M460">
        <f>YEAR(Table1[[#This Row],[Order date]])</f>
        <v>2014</v>
      </c>
      <c r="N460" s="22" t="str" cm="1">
        <f t="array" ref="N460">_xlfn.IFS(G460=0,"No Discount", ROUND(G460*100,0)&lt;=4,"Low", ROUND(G460*100,0)&lt;=9,"Medium", ROUND(G460*100,0)&lt;=15,"High")</f>
        <v>No Discount</v>
      </c>
      <c r="O460" s="22" t="str">
        <f>TEXT(Table1[[#This Row],[Order date]],"mmmm")</f>
        <v>August</v>
      </c>
    </row>
    <row r="461" spans="1:15" ht="13.5" x14ac:dyDescent="0.25">
      <c r="A461" s="1" t="str">
        <f>"ORD"&amp;"-"&amp;_xlfn.XLOOKUP(C461,Guide!$B$22:$B$26,Guide!$C$22:$C$26)&amp;"-"&amp;_xlfn.XLOOKUP(D461,Guide!$B$29:$B$33,Guide!$C$29:$C$33)&amp;"-"&amp;TEXT(H461,"yyyymmdd")</f>
        <v>ORD-CND-GOV-20140801</v>
      </c>
      <c r="B461" s="1" t="s">
        <v>469</v>
      </c>
      <c r="C461" s="1" t="s">
        <v>27</v>
      </c>
      <c r="D461" s="1" t="s">
        <v>39</v>
      </c>
      <c r="E461" s="1" t="s">
        <v>82</v>
      </c>
      <c r="F461" s="2">
        <v>1830</v>
      </c>
      <c r="G461" s="4">
        <v>0.01</v>
      </c>
      <c r="H461" s="3">
        <f t="shared" si="21"/>
        <v>41852</v>
      </c>
      <c r="I461" s="1">
        <f>_xlfn.XLOOKUP(E461,Product!$A$2:$A$7,Product!$C$2:$C$7)</f>
        <v>15</v>
      </c>
      <c r="J461" s="22">
        <f t="shared" si="22"/>
        <v>27450</v>
      </c>
      <c r="K461" s="22">
        <f t="shared" si="23"/>
        <v>27175.5</v>
      </c>
      <c r="L461" s="22">
        <f>K461-(_xlfn.XLOOKUP(E461,Product!$A$2:$A$7,Product!$B$2:$B$7)*F461)</f>
        <v>18025.5</v>
      </c>
      <c r="M461">
        <f>YEAR(Table1[[#This Row],[Order date]])</f>
        <v>2014</v>
      </c>
      <c r="N461" s="22" t="str" cm="1">
        <f t="array" ref="N461">_xlfn.IFS(G461=0,"No Discount", ROUND(G461*100,0)&lt;=4,"Low", ROUND(G461*100,0)&lt;=9,"Medium", ROUND(G461*100,0)&lt;=15,"High")</f>
        <v>Low</v>
      </c>
      <c r="O461" s="22" t="str">
        <f>TEXT(Table1[[#This Row],[Order date]],"mmmm")</f>
        <v>August</v>
      </c>
    </row>
    <row r="462" spans="1:15" ht="13.5" x14ac:dyDescent="0.25">
      <c r="A462" s="1" t="str">
        <f>"ORD"&amp;"-"&amp;_xlfn.XLOOKUP(C462,Guide!$B$22:$B$26,Guide!$C$22:$C$26)&amp;"-"&amp;_xlfn.XLOOKUP(D462,Guide!$B$29:$B$33,Guide!$C$29:$C$33)&amp;"-"&amp;TEXT(H462,"yyyymmdd")</f>
        <v>ORD-CND-ENT-20140801</v>
      </c>
      <c r="B462" s="1" t="s">
        <v>470</v>
      </c>
      <c r="C462" s="1" t="s">
        <v>27</v>
      </c>
      <c r="D462" s="1" t="s">
        <v>45</v>
      </c>
      <c r="E462" s="1" t="s">
        <v>88</v>
      </c>
      <c r="F462" s="2">
        <v>923</v>
      </c>
      <c r="G462" s="4">
        <v>0.01</v>
      </c>
      <c r="H462" s="3">
        <f t="shared" si="21"/>
        <v>41852</v>
      </c>
      <c r="I462" s="1">
        <f>_xlfn.XLOOKUP(E462,Product!$A$2:$A$7,Product!$C$2:$C$7)</f>
        <v>180</v>
      </c>
      <c r="J462" s="22">
        <f t="shared" si="22"/>
        <v>166140</v>
      </c>
      <c r="K462" s="22">
        <f t="shared" si="23"/>
        <v>164478.6</v>
      </c>
      <c r="L462" s="22">
        <f>K462-(_xlfn.XLOOKUP(E462,Product!$A$2:$A$7,Product!$B$2:$B$7)*F462)</f>
        <v>53718.600000000006</v>
      </c>
      <c r="M462">
        <f>YEAR(Table1[[#This Row],[Order date]])</f>
        <v>2014</v>
      </c>
      <c r="N462" s="22" t="str" cm="1">
        <f t="array" ref="N462">_xlfn.IFS(G462=0,"No Discount", ROUND(G462*100,0)&lt;=4,"Low", ROUND(G462*100,0)&lt;=9,"Medium", ROUND(G462*100,0)&lt;=15,"High")</f>
        <v>Low</v>
      </c>
      <c r="O462" s="22" t="str">
        <f>TEXT(Table1[[#This Row],[Order date]],"mmmm")</f>
        <v>August</v>
      </c>
    </row>
    <row r="463" spans="1:15" ht="13.5" x14ac:dyDescent="0.25">
      <c r="A463" s="1" t="str">
        <f>"ORD"&amp;"-"&amp;_xlfn.XLOOKUP(C463,Guide!$B$22:$B$26,Guide!$C$22:$C$26)&amp;"-"&amp;_xlfn.XLOOKUP(D463,Guide!$B$29:$B$33,Guide!$C$29:$C$33)&amp;"-"&amp;TEXT(H463,"yyyymmdd")</f>
        <v>ORD-MXC-GOV-20140801</v>
      </c>
      <c r="B463" s="1" t="s">
        <v>471</v>
      </c>
      <c r="C463" s="1" t="s">
        <v>33</v>
      </c>
      <c r="D463" s="1" t="s">
        <v>39</v>
      </c>
      <c r="E463" s="1" t="s">
        <v>78</v>
      </c>
      <c r="F463" s="2">
        <v>1642</v>
      </c>
      <c r="G463" s="4">
        <v>0.03</v>
      </c>
      <c r="H463" s="3">
        <f t="shared" si="21"/>
        <v>41852</v>
      </c>
      <c r="I463" s="1">
        <f>_xlfn.XLOOKUP(E463,Product!$A$2:$A$7,Product!$C$2:$C$7)</f>
        <v>300</v>
      </c>
      <c r="J463" s="22">
        <f t="shared" si="22"/>
        <v>492600</v>
      </c>
      <c r="K463" s="22">
        <f t="shared" si="23"/>
        <v>477822</v>
      </c>
      <c r="L463" s="22">
        <f>K463-(_xlfn.XLOOKUP(E463,Product!$A$2:$A$7,Product!$B$2:$B$7)*F463)</f>
        <v>67322</v>
      </c>
      <c r="M463">
        <f>YEAR(Table1[[#This Row],[Order date]])</f>
        <v>2014</v>
      </c>
      <c r="N463" s="22" t="str" cm="1">
        <f t="array" ref="N463">_xlfn.IFS(G463=0,"No Discount", ROUND(G463*100,0)&lt;=4,"Low", ROUND(G463*100,0)&lt;=9,"Medium", ROUND(G463*100,0)&lt;=15,"High")</f>
        <v>Low</v>
      </c>
      <c r="O463" s="22" t="str">
        <f>TEXT(Table1[[#This Row],[Order date]],"mmmm")</f>
        <v>August</v>
      </c>
    </row>
    <row r="464" spans="1:15" ht="13.5" x14ac:dyDescent="0.25">
      <c r="A464" s="1" t="str">
        <f>"ORD"&amp;"-"&amp;_xlfn.XLOOKUP(C464,Guide!$B$22:$B$26,Guide!$C$22:$C$26)&amp;"-"&amp;_xlfn.XLOOKUP(D464,Guide!$B$29:$B$33,Guide!$C$29:$C$33)&amp;"-"&amp;TEXT(H464,"yyyymmdd")</f>
        <v>ORD-CND-SMB-20140801</v>
      </c>
      <c r="B464" s="1" t="s">
        <v>472</v>
      </c>
      <c r="C464" s="1" t="s">
        <v>27</v>
      </c>
      <c r="D464" s="1" t="s">
        <v>47</v>
      </c>
      <c r="E464" s="1" t="s">
        <v>78</v>
      </c>
      <c r="F464" s="2">
        <v>1874</v>
      </c>
      <c r="G464" s="4">
        <v>0.03</v>
      </c>
      <c r="H464" s="3">
        <f t="shared" si="21"/>
        <v>41852</v>
      </c>
      <c r="I464" s="1">
        <f>_xlfn.XLOOKUP(E464,Product!$A$2:$A$7,Product!$C$2:$C$7)</f>
        <v>300</v>
      </c>
      <c r="J464" s="22">
        <f t="shared" si="22"/>
        <v>562200</v>
      </c>
      <c r="K464" s="22">
        <f t="shared" si="23"/>
        <v>545334</v>
      </c>
      <c r="L464" s="22">
        <f>K464-(_xlfn.XLOOKUP(E464,Product!$A$2:$A$7,Product!$B$2:$B$7)*F464)</f>
        <v>76834</v>
      </c>
      <c r="M464">
        <f>YEAR(Table1[[#This Row],[Order date]])</f>
        <v>2014</v>
      </c>
      <c r="N464" s="22" t="str" cm="1">
        <f t="array" ref="N464">_xlfn.IFS(G464=0,"No Discount", ROUND(G464*100,0)&lt;=4,"Low", ROUND(G464*100,0)&lt;=9,"Medium", ROUND(G464*100,0)&lt;=15,"High")</f>
        <v>Low</v>
      </c>
      <c r="O464" s="22" t="str">
        <f>TEXT(Table1[[#This Row],[Order date]],"mmmm")</f>
        <v>August</v>
      </c>
    </row>
    <row r="465" spans="1:15" ht="13.5" x14ac:dyDescent="0.25">
      <c r="A465" s="1" t="str">
        <f>"ORD"&amp;"-"&amp;_xlfn.XLOOKUP(C465,Guide!$B$22:$B$26,Guide!$C$22:$C$26)&amp;"-"&amp;_xlfn.XLOOKUP(D465,Guide!$B$29:$B$33,Guide!$C$29:$C$33)&amp;"-"&amp;TEXT(H465,"yyyymmdd")</f>
        <v>ORD-GER-SMB-20140801</v>
      </c>
      <c r="B465" s="1" t="s">
        <v>473</v>
      </c>
      <c r="C465" s="1" t="s">
        <v>29</v>
      </c>
      <c r="D465" s="1" t="s">
        <v>47</v>
      </c>
      <c r="E465" s="1" t="s">
        <v>82</v>
      </c>
      <c r="F465" s="2">
        <v>1859</v>
      </c>
      <c r="G465" s="4">
        <v>0.04</v>
      </c>
      <c r="H465" s="3">
        <f t="shared" si="21"/>
        <v>41852</v>
      </c>
      <c r="I465" s="1">
        <f>_xlfn.XLOOKUP(E465,Product!$A$2:$A$7,Product!$C$2:$C$7)</f>
        <v>15</v>
      </c>
      <c r="J465" s="22">
        <f t="shared" si="22"/>
        <v>27885</v>
      </c>
      <c r="K465" s="22">
        <f t="shared" si="23"/>
        <v>26769.599999999999</v>
      </c>
      <c r="L465" s="22">
        <f>K465-(_xlfn.XLOOKUP(E465,Product!$A$2:$A$7,Product!$B$2:$B$7)*F465)</f>
        <v>17474.599999999999</v>
      </c>
      <c r="M465">
        <f>YEAR(Table1[[#This Row],[Order date]])</f>
        <v>2014</v>
      </c>
      <c r="N465" s="22" t="str" cm="1">
        <f t="array" ref="N465">_xlfn.IFS(G465=0,"No Discount", ROUND(G465*100,0)&lt;=4,"Low", ROUND(G465*100,0)&lt;=9,"Medium", ROUND(G465*100,0)&lt;=15,"High")</f>
        <v>Low</v>
      </c>
      <c r="O465" s="22" t="str">
        <f>TEXT(Table1[[#This Row],[Order date]],"mmmm")</f>
        <v>August</v>
      </c>
    </row>
    <row r="466" spans="1:15" ht="13.5" x14ac:dyDescent="0.25">
      <c r="A466" s="1" t="str">
        <f>"ORD"&amp;"-"&amp;_xlfn.XLOOKUP(C466,Guide!$B$22:$B$26,Guide!$C$22:$C$26)&amp;"-"&amp;_xlfn.XLOOKUP(D466,Guide!$B$29:$B$33,Guide!$C$29:$C$33)&amp;"-"&amp;TEXT(H466,"yyyymmdd")</f>
        <v>ORD-MXC-CPR-20140801</v>
      </c>
      <c r="B466" s="1" t="s">
        <v>474</v>
      </c>
      <c r="C466" s="1" t="s">
        <v>33</v>
      </c>
      <c r="D466" s="1" t="s">
        <v>43</v>
      </c>
      <c r="E466" s="1" t="s">
        <v>84</v>
      </c>
      <c r="F466" s="2">
        <v>1123</v>
      </c>
      <c r="G466" s="4">
        <v>4.9999999999999996E-2</v>
      </c>
      <c r="H466" s="3">
        <f t="shared" si="21"/>
        <v>41852</v>
      </c>
      <c r="I466" s="1">
        <f>_xlfn.XLOOKUP(E466,Product!$A$2:$A$7,Product!$C$2:$C$7)</f>
        <v>350</v>
      </c>
      <c r="J466" s="22">
        <f t="shared" si="22"/>
        <v>393050</v>
      </c>
      <c r="K466" s="22">
        <f t="shared" si="23"/>
        <v>373397.5</v>
      </c>
      <c r="L466" s="22">
        <f>K466-(_xlfn.XLOOKUP(E466,Product!$A$2:$A$7,Product!$B$2:$B$7)*F466)</f>
        <v>148797.5</v>
      </c>
      <c r="M466">
        <f>YEAR(Table1[[#This Row],[Order date]])</f>
        <v>2014</v>
      </c>
      <c r="N466" s="22" t="str" cm="1">
        <f t="array" ref="N466">_xlfn.IFS(G466=0,"No Discount", ROUND(G466*100,0)&lt;=4,"Low", ROUND(G466*100,0)&lt;=9,"Medium", ROUND(G466*100,0)&lt;=15,"High")</f>
        <v>Medium</v>
      </c>
      <c r="O466" s="22" t="str">
        <f>TEXT(Table1[[#This Row],[Order date]],"mmmm")</f>
        <v>August</v>
      </c>
    </row>
    <row r="467" spans="1:15" ht="13.5" x14ac:dyDescent="0.25">
      <c r="A467" s="1" t="str">
        <f>"ORD"&amp;"-"&amp;_xlfn.XLOOKUP(C467,Guide!$B$22:$B$26,Guide!$C$22:$C$26)&amp;"-"&amp;_xlfn.XLOOKUP(D467,Guide!$B$29:$B$33,Guide!$C$29:$C$33)&amp;"-"&amp;TEXT(H467,"yyyymmdd")</f>
        <v>ORD-CND-GOV-20140801</v>
      </c>
      <c r="B467" s="1" t="s">
        <v>475</v>
      </c>
      <c r="C467" s="1" t="s">
        <v>27</v>
      </c>
      <c r="D467" s="1" t="s">
        <v>39</v>
      </c>
      <c r="E467" s="1" t="s">
        <v>84</v>
      </c>
      <c r="F467" s="2">
        <v>552</v>
      </c>
      <c r="G467" s="4">
        <v>0.05</v>
      </c>
      <c r="H467" s="3">
        <f t="shared" si="21"/>
        <v>41852</v>
      </c>
      <c r="I467" s="1">
        <f>_xlfn.XLOOKUP(E467,Product!$A$2:$A$7,Product!$C$2:$C$7)</f>
        <v>350</v>
      </c>
      <c r="J467" s="22">
        <f t="shared" si="22"/>
        <v>193200</v>
      </c>
      <c r="K467" s="22">
        <f t="shared" si="23"/>
        <v>183540</v>
      </c>
      <c r="L467" s="22">
        <f>K467-(_xlfn.XLOOKUP(E467,Product!$A$2:$A$7,Product!$B$2:$B$7)*F467)</f>
        <v>73140</v>
      </c>
      <c r="M467">
        <f>YEAR(Table1[[#This Row],[Order date]])</f>
        <v>2014</v>
      </c>
      <c r="N467" s="22" t="str" cm="1">
        <f t="array" ref="N467">_xlfn.IFS(G467=0,"No Discount", ROUND(G467*100,0)&lt;=4,"Low", ROUND(G467*100,0)&lt;=9,"Medium", ROUND(G467*100,0)&lt;=15,"High")</f>
        <v>Medium</v>
      </c>
      <c r="O467" s="22" t="str">
        <f>TEXT(Table1[[#This Row],[Order date]],"mmmm")</f>
        <v>August</v>
      </c>
    </row>
    <row r="468" spans="1:15" ht="13.5" x14ac:dyDescent="0.25">
      <c r="A468" s="1" t="str">
        <f>"ORD"&amp;"-"&amp;_xlfn.XLOOKUP(C468,Guide!$B$22:$B$26,Guide!$C$22:$C$26)&amp;"-"&amp;_xlfn.XLOOKUP(D468,Guide!$B$29:$B$33,Guide!$C$29:$C$33)&amp;"-"&amp;TEXT(H468,"yyyymmdd")</f>
        <v>ORD-FRA-GOV-20140801</v>
      </c>
      <c r="B468" s="1" t="s">
        <v>476</v>
      </c>
      <c r="C468" s="1" t="s">
        <v>31</v>
      </c>
      <c r="D468" s="1" t="s">
        <v>39</v>
      </c>
      <c r="E468" s="1" t="s">
        <v>88</v>
      </c>
      <c r="F468" s="2">
        <v>1579</v>
      </c>
      <c r="G468" s="4">
        <v>0.05</v>
      </c>
      <c r="H468" s="3">
        <f t="shared" si="21"/>
        <v>41852</v>
      </c>
      <c r="I468" s="1">
        <f>_xlfn.XLOOKUP(E468,Product!$A$2:$A$7,Product!$C$2:$C$7)</f>
        <v>180</v>
      </c>
      <c r="J468" s="22">
        <f t="shared" si="22"/>
        <v>284220</v>
      </c>
      <c r="K468" s="22">
        <f t="shared" si="23"/>
        <v>270009</v>
      </c>
      <c r="L468" s="22">
        <f>K468-(_xlfn.XLOOKUP(E468,Product!$A$2:$A$7,Product!$B$2:$B$7)*F468)</f>
        <v>80529</v>
      </c>
      <c r="M468">
        <f>YEAR(Table1[[#This Row],[Order date]])</f>
        <v>2014</v>
      </c>
      <c r="N468" s="22" t="str" cm="1">
        <f t="array" ref="N468">_xlfn.IFS(G468=0,"No Discount", ROUND(G468*100,0)&lt;=4,"Low", ROUND(G468*100,0)&lt;=9,"Medium", ROUND(G468*100,0)&lt;=15,"High")</f>
        <v>Medium</v>
      </c>
      <c r="O468" s="22" t="str">
        <f>TEXT(Table1[[#This Row],[Order date]],"mmmm")</f>
        <v>August</v>
      </c>
    </row>
    <row r="469" spans="1:15" ht="13.5" x14ac:dyDescent="0.25">
      <c r="A469" s="1" t="str">
        <f>"ORD"&amp;"-"&amp;_xlfn.XLOOKUP(C469,Guide!$B$22:$B$26,Guide!$C$22:$C$26)&amp;"-"&amp;_xlfn.XLOOKUP(D469,Guide!$B$29:$B$33,Guide!$C$29:$C$33)&amp;"-"&amp;TEXT(H469,"yyyymmdd")</f>
        <v>ORD-USA-GOV-20140801</v>
      </c>
      <c r="B469" s="1" t="s">
        <v>477</v>
      </c>
      <c r="C469" s="1" t="s">
        <v>35</v>
      </c>
      <c r="D469" s="1" t="s">
        <v>39</v>
      </c>
      <c r="E469" s="1" t="s">
        <v>88</v>
      </c>
      <c r="F469" s="2">
        <v>2832</v>
      </c>
      <c r="G469" s="4">
        <v>0.05</v>
      </c>
      <c r="H469" s="3">
        <f t="shared" si="21"/>
        <v>41852</v>
      </c>
      <c r="I469" s="1">
        <f>_xlfn.XLOOKUP(E469,Product!$A$2:$A$7,Product!$C$2:$C$7)</f>
        <v>180</v>
      </c>
      <c r="J469" s="22">
        <f t="shared" si="22"/>
        <v>509760</v>
      </c>
      <c r="K469" s="22">
        <f t="shared" si="23"/>
        <v>484272</v>
      </c>
      <c r="L469" s="22">
        <f>K469-(_xlfn.XLOOKUP(E469,Product!$A$2:$A$7,Product!$B$2:$B$7)*F469)</f>
        <v>144432</v>
      </c>
      <c r="M469">
        <f>YEAR(Table1[[#This Row],[Order date]])</f>
        <v>2014</v>
      </c>
      <c r="N469" s="22" t="str" cm="1">
        <f t="array" ref="N469">_xlfn.IFS(G469=0,"No Discount", ROUND(G469*100,0)&lt;=4,"Low", ROUND(G469*100,0)&lt;=9,"Medium", ROUND(G469*100,0)&lt;=15,"High")</f>
        <v>Medium</v>
      </c>
      <c r="O469" s="22" t="str">
        <f>TEXT(Table1[[#This Row],[Order date]],"mmmm")</f>
        <v>August</v>
      </c>
    </row>
    <row r="470" spans="1:15" ht="13.5" x14ac:dyDescent="0.25">
      <c r="A470" s="1" t="str">
        <f>"ORD"&amp;"-"&amp;_xlfn.XLOOKUP(C470,Guide!$B$22:$B$26,Guide!$C$22:$C$26)&amp;"-"&amp;_xlfn.XLOOKUP(D470,Guide!$B$29:$B$33,Guide!$C$29:$C$33)&amp;"-"&amp;TEXT(H470,"yyyymmdd")</f>
        <v>ORD-GER-MDM-20140801</v>
      </c>
      <c r="B470" s="1" t="s">
        <v>478</v>
      </c>
      <c r="C470" s="1" t="s">
        <v>29</v>
      </c>
      <c r="D470" s="1" t="s">
        <v>41</v>
      </c>
      <c r="E470" s="1" t="s">
        <v>75</v>
      </c>
      <c r="F470" s="2">
        <v>1743</v>
      </c>
      <c r="G470" s="4">
        <v>6.0000000000000005E-2</v>
      </c>
      <c r="H470" s="3">
        <f t="shared" si="21"/>
        <v>41852</v>
      </c>
      <c r="I470" s="1">
        <f>_xlfn.XLOOKUP(E470,Product!$A$2:$A$7,Product!$C$2:$C$7)</f>
        <v>20</v>
      </c>
      <c r="J470" s="22">
        <f t="shared" si="22"/>
        <v>34860</v>
      </c>
      <c r="K470" s="22">
        <f t="shared" si="23"/>
        <v>32768.400000000001</v>
      </c>
      <c r="L470" s="22">
        <f>K470-(_xlfn.XLOOKUP(E470,Product!$A$2:$A$7,Product!$B$2:$B$7)*F470)</f>
        <v>15338.400000000001</v>
      </c>
      <c r="M470">
        <f>YEAR(Table1[[#This Row],[Order date]])</f>
        <v>2014</v>
      </c>
      <c r="N470" s="22" t="str" cm="1">
        <f t="array" ref="N470">_xlfn.IFS(G470=0,"No Discount", ROUND(G470*100,0)&lt;=4,"Low", ROUND(G470*100,0)&lt;=9,"Medium", ROUND(G470*100,0)&lt;=15,"High")</f>
        <v>Medium</v>
      </c>
      <c r="O470" s="22" t="str">
        <f>TEXT(Table1[[#This Row],[Order date]],"mmmm")</f>
        <v>August</v>
      </c>
    </row>
    <row r="471" spans="1:15" ht="13.5" x14ac:dyDescent="0.25">
      <c r="A471" s="1" t="str">
        <f>"ORD"&amp;"-"&amp;_xlfn.XLOOKUP(C471,Guide!$B$22:$B$26,Guide!$C$22:$C$26)&amp;"-"&amp;_xlfn.XLOOKUP(D471,Guide!$B$29:$B$33,Guide!$C$29:$C$33)&amp;"-"&amp;TEXT(H471,"yyyymmdd")</f>
        <v>ORD-USA-MDM-20140801</v>
      </c>
      <c r="B471" s="1" t="s">
        <v>479</v>
      </c>
      <c r="C471" s="1" t="s">
        <v>35</v>
      </c>
      <c r="D471" s="1" t="s">
        <v>41</v>
      </c>
      <c r="E471" s="1" t="s">
        <v>75</v>
      </c>
      <c r="F471" s="2">
        <v>2198</v>
      </c>
      <c r="G471" s="4">
        <v>6.0000000000000005E-2</v>
      </c>
      <c r="H471" s="3">
        <f t="shared" si="21"/>
        <v>41852</v>
      </c>
      <c r="I471" s="1">
        <f>_xlfn.XLOOKUP(E471,Product!$A$2:$A$7,Product!$C$2:$C$7)</f>
        <v>20</v>
      </c>
      <c r="J471" s="22">
        <f t="shared" si="22"/>
        <v>43960</v>
      </c>
      <c r="K471" s="22">
        <f t="shared" si="23"/>
        <v>41322.399999999994</v>
      </c>
      <c r="L471" s="22">
        <f>K471-(_xlfn.XLOOKUP(E471,Product!$A$2:$A$7,Product!$B$2:$B$7)*F471)</f>
        <v>19342.399999999994</v>
      </c>
      <c r="M471">
        <f>YEAR(Table1[[#This Row],[Order date]])</f>
        <v>2014</v>
      </c>
      <c r="N471" s="22" t="str" cm="1">
        <f t="array" ref="N471">_xlfn.IFS(G471=0,"No Discount", ROUND(G471*100,0)&lt;=4,"Low", ROUND(G471*100,0)&lt;=9,"Medium", ROUND(G471*100,0)&lt;=15,"High")</f>
        <v>Medium</v>
      </c>
      <c r="O471" s="22" t="str">
        <f>TEXT(Table1[[#This Row],[Order date]],"mmmm")</f>
        <v>August</v>
      </c>
    </row>
    <row r="472" spans="1:15" ht="13.5" x14ac:dyDescent="0.25">
      <c r="A472" s="1" t="str">
        <f>"ORD"&amp;"-"&amp;_xlfn.XLOOKUP(C472,Guide!$B$22:$B$26,Guide!$C$22:$C$26)&amp;"-"&amp;_xlfn.XLOOKUP(D472,Guide!$B$29:$B$33,Guide!$C$29:$C$33)&amp;"-"&amp;TEXT(H472,"yyyymmdd")</f>
        <v>ORD-GER-GOV-20140801</v>
      </c>
      <c r="B472" s="1" t="s">
        <v>480</v>
      </c>
      <c r="C472" s="1" t="s">
        <v>29</v>
      </c>
      <c r="D472" s="1" t="s">
        <v>39</v>
      </c>
      <c r="E472" s="1" t="s">
        <v>88</v>
      </c>
      <c r="F472" s="2">
        <v>1001</v>
      </c>
      <c r="G472" s="4">
        <v>6.0000000000000005E-2</v>
      </c>
      <c r="H472" s="3">
        <f t="shared" si="21"/>
        <v>41852</v>
      </c>
      <c r="I472" s="1">
        <f>_xlfn.XLOOKUP(E472,Product!$A$2:$A$7,Product!$C$2:$C$7)</f>
        <v>180</v>
      </c>
      <c r="J472" s="22">
        <f t="shared" si="22"/>
        <v>180180</v>
      </c>
      <c r="K472" s="22">
        <f t="shared" si="23"/>
        <v>169369.19999999998</v>
      </c>
      <c r="L472" s="22">
        <f>K472-(_xlfn.XLOOKUP(E472,Product!$A$2:$A$7,Product!$B$2:$B$7)*F472)</f>
        <v>49249.199999999983</v>
      </c>
      <c r="M472">
        <f>YEAR(Table1[[#This Row],[Order date]])</f>
        <v>2014</v>
      </c>
      <c r="N472" s="22" t="str" cm="1">
        <f t="array" ref="N472">_xlfn.IFS(G472=0,"No Discount", ROUND(G472*100,0)&lt;=4,"Low", ROUND(G472*100,0)&lt;=9,"Medium", ROUND(G472*100,0)&lt;=15,"High")</f>
        <v>Medium</v>
      </c>
      <c r="O472" s="22" t="str">
        <f>TEXT(Table1[[#This Row],[Order date]],"mmmm")</f>
        <v>August</v>
      </c>
    </row>
    <row r="473" spans="1:15" ht="13.5" x14ac:dyDescent="0.25">
      <c r="A473" s="1" t="str">
        <f>"ORD"&amp;"-"&amp;_xlfn.XLOOKUP(C473,Guide!$B$22:$B$26,Guide!$C$22:$C$26)&amp;"-"&amp;_xlfn.XLOOKUP(D473,Guide!$B$29:$B$33,Guide!$C$29:$C$33)&amp;"-"&amp;TEXT(H473,"yyyymmdd")</f>
        <v>ORD-CND-CPR-20140801</v>
      </c>
      <c r="B473" s="1" t="s">
        <v>481</v>
      </c>
      <c r="C473" s="1" t="s">
        <v>27</v>
      </c>
      <c r="D473" s="1" t="s">
        <v>43</v>
      </c>
      <c r="E473" s="1" t="s">
        <v>80</v>
      </c>
      <c r="F473" s="2">
        <v>1884</v>
      </c>
      <c r="G473" s="4">
        <v>6.9999999999999993E-2</v>
      </c>
      <c r="H473" s="3">
        <f t="shared" si="21"/>
        <v>41852</v>
      </c>
      <c r="I473" s="1">
        <f>_xlfn.XLOOKUP(E473,Product!$A$2:$A$7,Product!$C$2:$C$7)</f>
        <v>20</v>
      </c>
      <c r="J473" s="22">
        <f t="shared" si="22"/>
        <v>37680</v>
      </c>
      <c r="K473" s="22">
        <f t="shared" si="23"/>
        <v>35042.400000000001</v>
      </c>
      <c r="L473" s="22">
        <f>K473-(_xlfn.XLOOKUP(E473,Product!$A$2:$A$7,Product!$B$2:$B$7)*F473)</f>
        <v>29390.400000000001</v>
      </c>
      <c r="M473">
        <f>YEAR(Table1[[#This Row],[Order date]])</f>
        <v>2014</v>
      </c>
      <c r="N473" s="22" t="str" cm="1">
        <f t="array" ref="N473">_xlfn.IFS(G473=0,"No Discount", ROUND(G473*100,0)&lt;=4,"Low", ROUND(G473*100,0)&lt;=9,"Medium", ROUND(G473*100,0)&lt;=15,"High")</f>
        <v>Medium</v>
      </c>
      <c r="O473" s="22" t="str">
        <f>TEXT(Table1[[#This Row],[Order date]],"mmmm")</f>
        <v>August</v>
      </c>
    </row>
    <row r="474" spans="1:15" ht="13.5" x14ac:dyDescent="0.25">
      <c r="A474" s="1" t="str">
        <f>"ORD"&amp;"-"&amp;_xlfn.XLOOKUP(C474,Guide!$B$22:$B$26,Guide!$C$22:$C$26)&amp;"-"&amp;_xlfn.XLOOKUP(D474,Guide!$B$29:$B$33,Guide!$C$29:$C$33)&amp;"-"&amp;TEXT(H474,"yyyymmdd")</f>
        <v>ORD-FRA-MDM-20140801</v>
      </c>
      <c r="B474" s="1" t="s">
        <v>482</v>
      </c>
      <c r="C474" s="1" t="s">
        <v>31</v>
      </c>
      <c r="D474" s="1" t="s">
        <v>41</v>
      </c>
      <c r="E474" s="1" t="s">
        <v>75</v>
      </c>
      <c r="F474" s="2">
        <v>2101</v>
      </c>
      <c r="G474" s="4">
        <v>7.0000000000000007E-2</v>
      </c>
      <c r="H474" s="3">
        <f t="shared" si="21"/>
        <v>41852</v>
      </c>
      <c r="I474" s="1">
        <f>_xlfn.XLOOKUP(E474,Product!$A$2:$A$7,Product!$C$2:$C$7)</f>
        <v>20</v>
      </c>
      <c r="J474" s="22">
        <f t="shared" si="22"/>
        <v>42020</v>
      </c>
      <c r="K474" s="22">
        <f t="shared" si="23"/>
        <v>39078.6</v>
      </c>
      <c r="L474" s="22">
        <f>K474-(_xlfn.XLOOKUP(E474,Product!$A$2:$A$7,Product!$B$2:$B$7)*F474)</f>
        <v>18068.599999999999</v>
      </c>
      <c r="M474">
        <f>YEAR(Table1[[#This Row],[Order date]])</f>
        <v>2014</v>
      </c>
      <c r="N474" s="22" t="str" cm="1">
        <f t="array" ref="N474">_xlfn.IFS(G474=0,"No Discount", ROUND(G474*100,0)&lt;=4,"Low", ROUND(G474*100,0)&lt;=9,"Medium", ROUND(G474*100,0)&lt;=15,"High")</f>
        <v>Medium</v>
      </c>
      <c r="O474" s="22" t="str">
        <f>TEXT(Table1[[#This Row],[Order date]],"mmmm")</f>
        <v>August</v>
      </c>
    </row>
    <row r="475" spans="1:15" ht="13.5" x14ac:dyDescent="0.25">
      <c r="A475" s="1" t="str">
        <f>"ORD"&amp;"-"&amp;_xlfn.XLOOKUP(C475,Guide!$B$22:$B$26,Guide!$C$22:$C$26)&amp;"-"&amp;_xlfn.XLOOKUP(D475,Guide!$B$29:$B$33,Guide!$C$29:$C$33)&amp;"-"&amp;TEXT(H475,"yyyymmdd")</f>
        <v>ORD-MXC-GOV-20140801</v>
      </c>
      <c r="B475" s="1" t="s">
        <v>483</v>
      </c>
      <c r="C475" s="1" t="s">
        <v>33</v>
      </c>
      <c r="D475" s="1" t="s">
        <v>39</v>
      </c>
      <c r="E475" s="1" t="s">
        <v>88</v>
      </c>
      <c r="F475" s="2">
        <v>609</v>
      </c>
      <c r="G475" s="4">
        <v>7.0000000000000007E-2</v>
      </c>
      <c r="H475" s="3">
        <f t="shared" si="21"/>
        <v>41852</v>
      </c>
      <c r="I475" s="1">
        <f>_xlfn.XLOOKUP(E475,Product!$A$2:$A$7,Product!$C$2:$C$7)</f>
        <v>180</v>
      </c>
      <c r="J475" s="22">
        <f t="shared" si="22"/>
        <v>109620</v>
      </c>
      <c r="K475" s="22">
        <f t="shared" si="23"/>
        <v>101946.59999999999</v>
      </c>
      <c r="L475" s="22">
        <f>K475-(_xlfn.XLOOKUP(E475,Product!$A$2:$A$7,Product!$B$2:$B$7)*F475)</f>
        <v>28866.599999999991</v>
      </c>
      <c r="M475">
        <f>YEAR(Table1[[#This Row],[Order date]])</f>
        <v>2014</v>
      </c>
      <c r="N475" s="22" t="str" cm="1">
        <f t="array" ref="N475">_xlfn.IFS(G475=0,"No Discount", ROUND(G475*100,0)&lt;=4,"Low", ROUND(G475*100,0)&lt;=9,"Medium", ROUND(G475*100,0)&lt;=15,"High")</f>
        <v>Medium</v>
      </c>
      <c r="O475" s="22" t="str">
        <f>TEXT(Table1[[#This Row],[Order date]],"mmmm")</f>
        <v>August</v>
      </c>
    </row>
    <row r="476" spans="1:15" ht="13.5" x14ac:dyDescent="0.25">
      <c r="A476" s="1" t="str">
        <f>"ORD"&amp;"-"&amp;_xlfn.XLOOKUP(C476,Guide!$B$22:$B$26,Guide!$C$22:$C$26)&amp;"-"&amp;_xlfn.XLOOKUP(D476,Guide!$B$29:$B$33,Guide!$C$29:$C$33)&amp;"-"&amp;TEXT(H476,"yyyymmdd")</f>
        <v>ORD-USA-GOV-20140801</v>
      </c>
      <c r="B476" s="1" t="s">
        <v>484</v>
      </c>
      <c r="C476" s="1" t="s">
        <v>35</v>
      </c>
      <c r="D476" s="1" t="s">
        <v>39</v>
      </c>
      <c r="E476" s="1" t="s">
        <v>75</v>
      </c>
      <c r="F476" s="2">
        <v>678</v>
      </c>
      <c r="G476" s="4">
        <v>0.08</v>
      </c>
      <c r="H476" s="3">
        <f t="shared" si="21"/>
        <v>41852</v>
      </c>
      <c r="I476" s="1">
        <f>_xlfn.XLOOKUP(E476,Product!$A$2:$A$7,Product!$C$2:$C$7)</f>
        <v>20</v>
      </c>
      <c r="J476" s="22">
        <f t="shared" si="22"/>
        <v>13560</v>
      </c>
      <c r="K476" s="22">
        <f t="shared" si="23"/>
        <v>12475.2</v>
      </c>
      <c r="L476" s="22">
        <f>K476-(_xlfn.XLOOKUP(E476,Product!$A$2:$A$7,Product!$B$2:$B$7)*F476)</f>
        <v>5695.2000000000007</v>
      </c>
      <c r="M476">
        <f>YEAR(Table1[[#This Row],[Order date]])</f>
        <v>2014</v>
      </c>
      <c r="N476" s="22" t="str" cm="1">
        <f t="array" ref="N476">_xlfn.IFS(G476=0,"No Discount", ROUND(G476*100,0)&lt;=4,"Low", ROUND(G476*100,0)&lt;=9,"Medium", ROUND(G476*100,0)&lt;=15,"High")</f>
        <v>Medium</v>
      </c>
      <c r="O476" s="22" t="str">
        <f>TEXT(Table1[[#This Row],[Order date]],"mmmm")</f>
        <v>August</v>
      </c>
    </row>
    <row r="477" spans="1:15" ht="13.5" x14ac:dyDescent="0.25">
      <c r="A477" s="1" t="str">
        <f>"ORD"&amp;"-"&amp;_xlfn.XLOOKUP(C477,Guide!$B$22:$B$26,Guide!$C$22:$C$26)&amp;"-"&amp;_xlfn.XLOOKUP(D477,Guide!$B$29:$B$33,Guide!$C$29:$C$33)&amp;"-"&amp;TEXT(H477,"yyyymmdd")</f>
        <v>ORD-FRA-GOV-20140801</v>
      </c>
      <c r="B477" s="1" t="s">
        <v>485</v>
      </c>
      <c r="C477" s="1" t="s">
        <v>31</v>
      </c>
      <c r="D477" s="1" t="s">
        <v>39</v>
      </c>
      <c r="E477" s="1" t="s">
        <v>78</v>
      </c>
      <c r="F477" s="2">
        <v>381</v>
      </c>
      <c r="G477" s="4">
        <v>0.08</v>
      </c>
      <c r="H477" s="3">
        <f t="shared" si="21"/>
        <v>41852</v>
      </c>
      <c r="I477" s="1">
        <f>_xlfn.XLOOKUP(E477,Product!$A$2:$A$7,Product!$C$2:$C$7)</f>
        <v>300</v>
      </c>
      <c r="J477" s="22">
        <f t="shared" si="22"/>
        <v>114300</v>
      </c>
      <c r="K477" s="22">
        <f t="shared" si="23"/>
        <v>105156</v>
      </c>
      <c r="L477" s="22">
        <f>K477-(_xlfn.XLOOKUP(E477,Product!$A$2:$A$7,Product!$B$2:$B$7)*F477)</f>
        <v>9906</v>
      </c>
      <c r="M477">
        <f>YEAR(Table1[[#This Row],[Order date]])</f>
        <v>2014</v>
      </c>
      <c r="N477" s="22" t="str" cm="1">
        <f t="array" ref="N477">_xlfn.IFS(G477=0,"No Discount", ROUND(G477*100,0)&lt;=4,"Low", ROUND(G477*100,0)&lt;=9,"Medium", ROUND(G477*100,0)&lt;=15,"High")</f>
        <v>Medium</v>
      </c>
      <c r="O477" s="22" t="str">
        <f>TEXT(Table1[[#This Row],[Order date]],"mmmm")</f>
        <v>August</v>
      </c>
    </row>
    <row r="478" spans="1:15" ht="13.5" x14ac:dyDescent="0.25">
      <c r="A478" s="1" t="str">
        <f>"ORD"&amp;"-"&amp;_xlfn.XLOOKUP(C478,Guide!$B$22:$B$26,Guide!$C$22:$C$26)&amp;"-"&amp;_xlfn.XLOOKUP(D478,Guide!$B$29:$B$33,Guide!$C$29:$C$33)&amp;"-"&amp;TEXT(H478,"yyyymmdd")</f>
        <v>ORD-GER-GOV-20140801</v>
      </c>
      <c r="B478" s="1" t="s">
        <v>486</v>
      </c>
      <c r="C478" s="1" t="s">
        <v>29</v>
      </c>
      <c r="D478" s="1" t="s">
        <v>39</v>
      </c>
      <c r="E478" s="1" t="s">
        <v>78</v>
      </c>
      <c r="F478" s="2">
        <v>422</v>
      </c>
      <c r="G478" s="4">
        <v>0.08</v>
      </c>
      <c r="H478" s="3">
        <f t="shared" si="21"/>
        <v>41852</v>
      </c>
      <c r="I478" s="1">
        <f>_xlfn.XLOOKUP(E478,Product!$A$2:$A$7,Product!$C$2:$C$7)</f>
        <v>300</v>
      </c>
      <c r="J478" s="22">
        <f t="shared" si="22"/>
        <v>126600</v>
      </c>
      <c r="K478" s="22">
        <f t="shared" si="23"/>
        <v>116472</v>
      </c>
      <c r="L478" s="22">
        <f>K478-(_xlfn.XLOOKUP(E478,Product!$A$2:$A$7,Product!$B$2:$B$7)*F478)</f>
        <v>10972</v>
      </c>
      <c r="M478">
        <f>YEAR(Table1[[#This Row],[Order date]])</f>
        <v>2014</v>
      </c>
      <c r="N478" s="22" t="str" cm="1">
        <f t="array" ref="N478">_xlfn.IFS(G478=0,"No Discount", ROUND(G478*100,0)&lt;=4,"Low", ROUND(G478*100,0)&lt;=9,"Medium", ROUND(G478*100,0)&lt;=15,"High")</f>
        <v>Medium</v>
      </c>
      <c r="O478" s="22" t="str">
        <f>TEXT(Table1[[#This Row],[Order date]],"mmmm")</f>
        <v>August</v>
      </c>
    </row>
    <row r="479" spans="1:15" ht="13.5" x14ac:dyDescent="0.25">
      <c r="A479" s="1" t="str">
        <f>"ORD"&amp;"-"&amp;_xlfn.XLOOKUP(C479,Guide!$B$22:$B$26,Guide!$C$22:$C$26)&amp;"-"&amp;_xlfn.XLOOKUP(D479,Guide!$B$29:$B$33,Guide!$C$29:$C$33)&amp;"-"&amp;TEXT(H479,"yyyymmdd")</f>
        <v>ORD-GER-GOV-20140801</v>
      </c>
      <c r="B479" s="1" t="s">
        <v>487</v>
      </c>
      <c r="C479" s="1" t="s">
        <v>29</v>
      </c>
      <c r="D479" s="1" t="s">
        <v>39</v>
      </c>
      <c r="E479" s="1" t="s">
        <v>75</v>
      </c>
      <c r="F479" s="2">
        <v>1598</v>
      </c>
      <c r="G479" s="4">
        <v>0.08</v>
      </c>
      <c r="H479" s="3">
        <f t="shared" si="21"/>
        <v>41852</v>
      </c>
      <c r="I479" s="1">
        <f>_xlfn.XLOOKUP(E479,Product!$A$2:$A$7,Product!$C$2:$C$7)</f>
        <v>20</v>
      </c>
      <c r="J479" s="22">
        <f t="shared" si="22"/>
        <v>31960</v>
      </c>
      <c r="K479" s="22">
        <f t="shared" si="23"/>
        <v>29403.200000000001</v>
      </c>
      <c r="L479" s="22">
        <f>K479-(_xlfn.XLOOKUP(E479,Product!$A$2:$A$7,Product!$B$2:$B$7)*F479)</f>
        <v>13423.2</v>
      </c>
      <c r="M479">
        <f>YEAR(Table1[[#This Row],[Order date]])</f>
        <v>2014</v>
      </c>
      <c r="N479" s="22" t="str" cm="1">
        <f t="array" ref="N479">_xlfn.IFS(G479=0,"No Discount", ROUND(G479*100,0)&lt;=4,"Low", ROUND(G479*100,0)&lt;=9,"Medium", ROUND(G479*100,0)&lt;=15,"High")</f>
        <v>Medium</v>
      </c>
      <c r="O479" s="22" t="str">
        <f>TEXT(Table1[[#This Row],[Order date]],"mmmm")</f>
        <v>August</v>
      </c>
    </row>
    <row r="480" spans="1:15" ht="13.5" x14ac:dyDescent="0.25">
      <c r="A480" s="1" t="str">
        <f>"ORD"&amp;"-"&amp;_xlfn.XLOOKUP(C480,Guide!$B$22:$B$26,Guide!$C$22:$C$26)&amp;"-"&amp;_xlfn.XLOOKUP(D480,Guide!$B$29:$B$33,Guide!$C$29:$C$33)&amp;"-"&amp;TEXT(H480,"yyyymmdd")</f>
        <v>ORD-FRA-SMB-20140801</v>
      </c>
      <c r="B480" s="1" t="s">
        <v>488</v>
      </c>
      <c r="C480" s="1" t="s">
        <v>31</v>
      </c>
      <c r="D480" s="1" t="s">
        <v>47</v>
      </c>
      <c r="E480" s="1" t="s">
        <v>82</v>
      </c>
      <c r="F480" s="2">
        <v>1562</v>
      </c>
      <c r="G480" s="4">
        <v>0.08</v>
      </c>
      <c r="H480" s="3">
        <f t="shared" si="21"/>
        <v>41852</v>
      </c>
      <c r="I480" s="1">
        <f>_xlfn.XLOOKUP(E480,Product!$A$2:$A$7,Product!$C$2:$C$7)</f>
        <v>15</v>
      </c>
      <c r="J480" s="22">
        <f t="shared" si="22"/>
        <v>23430</v>
      </c>
      <c r="K480" s="22">
        <f t="shared" si="23"/>
        <v>21555.600000000002</v>
      </c>
      <c r="L480" s="22">
        <f>K480-(_xlfn.XLOOKUP(E480,Product!$A$2:$A$7,Product!$B$2:$B$7)*F480)</f>
        <v>13745.600000000002</v>
      </c>
      <c r="M480">
        <f>YEAR(Table1[[#This Row],[Order date]])</f>
        <v>2014</v>
      </c>
      <c r="N480" s="22" t="str" cm="1">
        <f t="array" ref="N480">_xlfn.IFS(G480=0,"No Discount", ROUND(G480*100,0)&lt;=4,"Low", ROUND(G480*100,0)&lt;=9,"Medium", ROUND(G480*100,0)&lt;=15,"High")</f>
        <v>Medium</v>
      </c>
      <c r="O480" s="22" t="str">
        <f>TEXT(Table1[[#This Row],[Order date]],"mmmm")</f>
        <v>August</v>
      </c>
    </row>
    <row r="481" spans="1:15" ht="13.5" x14ac:dyDescent="0.25">
      <c r="A481" s="1" t="str">
        <f>"ORD"&amp;"-"&amp;_xlfn.XLOOKUP(C481,Guide!$B$22:$B$26,Guide!$C$22:$C$26)&amp;"-"&amp;_xlfn.XLOOKUP(D481,Guide!$B$29:$B$33,Guide!$C$29:$C$33)&amp;"-"&amp;TEXT(H481,"yyyymmdd")</f>
        <v>ORD-MXC-ENT-20140801</v>
      </c>
      <c r="B481" s="1" t="s">
        <v>489</v>
      </c>
      <c r="C481" s="1" t="s">
        <v>33</v>
      </c>
      <c r="D481" s="1" t="s">
        <v>45</v>
      </c>
      <c r="E481" s="1" t="s">
        <v>80</v>
      </c>
      <c r="F481" s="2">
        <v>1540</v>
      </c>
      <c r="G481" s="4">
        <v>0.08</v>
      </c>
      <c r="H481" s="3">
        <f t="shared" si="21"/>
        <v>41852</v>
      </c>
      <c r="I481" s="1">
        <f>_xlfn.XLOOKUP(E481,Product!$A$2:$A$7,Product!$C$2:$C$7)</f>
        <v>20</v>
      </c>
      <c r="J481" s="22">
        <f t="shared" si="22"/>
        <v>30800</v>
      </c>
      <c r="K481" s="22">
        <f t="shared" si="23"/>
        <v>28336</v>
      </c>
      <c r="L481" s="22">
        <f>K481-(_xlfn.XLOOKUP(E481,Product!$A$2:$A$7,Product!$B$2:$B$7)*F481)</f>
        <v>23716</v>
      </c>
      <c r="M481">
        <f>YEAR(Table1[[#This Row],[Order date]])</f>
        <v>2014</v>
      </c>
      <c r="N481" s="22" t="str" cm="1">
        <f t="array" ref="N481">_xlfn.IFS(G481=0,"No Discount", ROUND(G481*100,0)&lt;=4,"Low", ROUND(G481*100,0)&lt;=9,"Medium", ROUND(G481*100,0)&lt;=15,"High")</f>
        <v>Medium</v>
      </c>
      <c r="O481" s="22" t="str">
        <f>TEXT(Table1[[#This Row],[Order date]],"mmmm")</f>
        <v>August</v>
      </c>
    </row>
    <row r="482" spans="1:15" ht="13.5" x14ac:dyDescent="0.25">
      <c r="A482" s="1" t="str">
        <f>"ORD"&amp;"-"&amp;_xlfn.XLOOKUP(C482,Guide!$B$22:$B$26,Guide!$C$22:$C$26)&amp;"-"&amp;_xlfn.XLOOKUP(D482,Guide!$B$29:$B$33,Guide!$C$29:$C$33)&amp;"-"&amp;TEXT(H482,"yyyymmdd")</f>
        <v>ORD-USA-GOV-20140801</v>
      </c>
      <c r="B482" s="1" t="s">
        <v>490</v>
      </c>
      <c r="C482" s="1" t="s">
        <v>35</v>
      </c>
      <c r="D482" s="1" t="s">
        <v>39</v>
      </c>
      <c r="E482" s="1" t="s">
        <v>78</v>
      </c>
      <c r="F482" s="2">
        <v>2807</v>
      </c>
      <c r="G482" s="4">
        <v>0.1</v>
      </c>
      <c r="H482" s="3">
        <f t="shared" si="21"/>
        <v>41852</v>
      </c>
      <c r="I482" s="1">
        <f>_xlfn.XLOOKUP(E482,Product!$A$2:$A$7,Product!$C$2:$C$7)</f>
        <v>300</v>
      </c>
      <c r="J482" s="22">
        <f t="shared" si="22"/>
        <v>842100</v>
      </c>
      <c r="K482" s="22">
        <f t="shared" si="23"/>
        <v>757890</v>
      </c>
      <c r="L482" s="22">
        <f>K482-(_xlfn.XLOOKUP(E482,Product!$A$2:$A$7,Product!$B$2:$B$7)*F482)</f>
        <v>56140</v>
      </c>
      <c r="M482">
        <f>YEAR(Table1[[#This Row],[Order date]])</f>
        <v>2014</v>
      </c>
      <c r="N482" s="22" t="str" cm="1">
        <f t="array" ref="N482">_xlfn.IFS(G482=0,"No Discount", ROUND(G482*100,0)&lt;=4,"Low", ROUND(G482*100,0)&lt;=9,"Medium", ROUND(G482*100,0)&lt;=15,"High")</f>
        <v>High</v>
      </c>
      <c r="O482" s="22" t="str">
        <f>TEXT(Table1[[#This Row],[Order date]],"mmmm")</f>
        <v>August</v>
      </c>
    </row>
    <row r="483" spans="1:15" ht="13.5" x14ac:dyDescent="0.25">
      <c r="A483" s="1" t="str">
        <f>"ORD"&amp;"-"&amp;_xlfn.XLOOKUP(C483,Guide!$B$22:$B$26,Guide!$C$22:$C$26)&amp;"-"&amp;_xlfn.XLOOKUP(D483,Guide!$B$29:$B$33,Guide!$C$29:$C$33)&amp;"-"&amp;TEXT(H483,"yyyymmdd")</f>
        <v>ORD-GER-CPR-20140801</v>
      </c>
      <c r="B483" s="1" t="s">
        <v>491</v>
      </c>
      <c r="C483" s="1" t="s">
        <v>29</v>
      </c>
      <c r="D483" s="1" t="s">
        <v>43</v>
      </c>
      <c r="E483" s="1" t="s">
        <v>84</v>
      </c>
      <c r="F483" s="2">
        <v>2574</v>
      </c>
      <c r="G483" s="4">
        <v>0.1</v>
      </c>
      <c r="H483" s="3">
        <f t="shared" si="21"/>
        <v>41852</v>
      </c>
      <c r="I483" s="1">
        <f>_xlfn.XLOOKUP(E483,Product!$A$2:$A$7,Product!$C$2:$C$7)</f>
        <v>350</v>
      </c>
      <c r="J483" s="22">
        <f t="shared" si="22"/>
        <v>900900</v>
      </c>
      <c r="K483" s="22">
        <f t="shared" si="23"/>
        <v>810810</v>
      </c>
      <c r="L483" s="22">
        <f>K483-(_xlfn.XLOOKUP(E483,Product!$A$2:$A$7,Product!$B$2:$B$7)*F483)</f>
        <v>296010</v>
      </c>
      <c r="M483">
        <f>YEAR(Table1[[#This Row],[Order date]])</f>
        <v>2014</v>
      </c>
      <c r="N483" s="22" t="str" cm="1">
        <f t="array" ref="N483">_xlfn.IFS(G483=0,"No Discount", ROUND(G483*100,0)&lt;=4,"Low", ROUND(G483*100,0)&lt;=9,"Medium", ROUND(G483*100,0)&lt;=15,"High")</f>
        <v>High</v>
      </c>
      <c r="O483" s="22" t="str">
        <f>TEXT(Table1[[#This Row],[Order date]],"mmmm")</f>
        <v>August</v>
      </c>
    </row>
    <row r="484" spans="1:15" ht="13.5" x14ac:dyDescent="0.25">
      <c r="A484" s="1" t="str">
        <f>"ORD"&amp;"-"&amp;_xlfn.XLOOKUP(C484,Guide!$B$22:$B$26,Guide!$C$22:$C$26)&amp;"-"&amp;_xlfn.XLOOKUP(D484,Guide!$B$29:$B$33,Guide!$C$29:$C$33)&amp;"-"&amp;TEXT(H484,"yyyymmdd")</f>
        <v>ORD-MXC-MDM-20140801</v>
      </c>
      <c r="B484" s="1" t="s">
        <v>492</v>
      </c>
      <c r="C484" s="1" t="s">
        <v>33</v>
      </c>
      <c r="D484" s="1" t="s">
        <v>41</v>
      </c>
      <c r="E484" s="1" t="s">
        <v>75</v>
      </c>
      <c r="F484" s="2">
        <v>1984</v>
      </c>
      <c r="G484" s="4">
        <v>0.11</v>
      </c>
      <c r="H484" s="3">
        <f t="shared" si="21"/>
        <v>41852</v>
      </c>
      <c r="I484" s="1">
        <f>_xlfn.XLOOKUP(E484,Product!$A$2:$A$7,Product!$C$2:$C$7)</f>
        <v>20</v>
      </c>
      <c r="J484" s="22">
        <f t="shared" si="22"/>
        <v>39680</v>
      </c>
      <c r="K484" s="22">
        <f t="shared" si="23"/>
        <v>35315.199999999997</v>
      </c>
      <c r="L484" s="22">
        <f>K484-(_xlfn.XLOOKUP(E484,Product!$A$2:$A$7,Product!$B$2:$B$7)*F484)</f>
        <v>15475.199999999997</v>
      </c>
      <c r="M484">
        <f>YEAR(Table1[[#This Row],[Order date]])</f>
        <v>2014</v>
      </c>
      <c r="N484" s="22" t="str" cm="1">
        <f t="array" ref="N484">_xlfn.IFS(G484=0,"No Discount", ROUND(G484*100,0)&lt;=4,"Low", ROUND(G484*100,0)&lt;=9,"Medium", ROUND(G484*100,0)&lt;=15,"High")</f>
        <v>High</v>
      </c>
      <c r="O484" s="22" t="str">
        <f>TEXT(Table1[[#This Row],[Order date]],"mmmm")</f>
        <v>August</v>
      </c>
    </row>
    <row r="485" spans="1:15" ht="13.5" x14ac:dyDescent="0.25">
      <c r="A485" s="1" t="str">
        <f>"ORD"&amp;"-"&amp;_xlfn.XLOOKUP(C485,Guide!$B$22:$B$26,Guide!$C$22:$C$26)&amp;"-"&amp;_xlfn.XLOOKUP(D485,Guide!$B$29:$B$33,Guide!$C$29:$C$33)&amp;"-"&amp;TEXT(H485,"yyyymmdd")</f>
        <v>ORD-CND-GOV-20140801</v>
      </c>
      <c r="B485" s="1" t="s">
        <v>493</v>
      </c>
      <c r="C485" s="1" t="s">
        <v>27</v>
      </c>
      <c r="D485" s="1" t="s">
        <v>39</v>
      </c>
      <c r="E485" s="1" t="s">
        <v>75</v>
      </c>
      <c r="F485" s="2">
        <v>2394</v>
      </c>
      <c r="G485" s="4">
        <v>0.11</v>
      </c>
      <c r="H485" s="3">
        <f t="shared" si="21"/>
        <v>41852</v>
      </c>
      <c r="I485" s="1">
        <f>_xlfn.XLOOKUP(E485,Product!$A$2:$A$7,Product!$C$2:$C$7)</f>
        <v>20</v>
      </c>
      <c r="J485" s="22">
        <f t="shared" si="22"/>
        <v>47880</v>
      </c>
      <c r="K485" s="22">
        <f t="shared" si="23"/>
        <v>42613.2</v>
      </c>
      <c r="L485" s="22">
        <f>K485-(_xlfn.XLOOKUP(E485,Product!$A$2:$A$7,Product!$B$2:$B$7)*F485)</f>
        <v>18673.199999999997</v>
      </c>
      <c r="M485">
        <f>YEAR(Table1[[#This Row],[Order date]])</f>
        <v>2014</v>
      </c>
      <c r="N485" s="22" t="str" cm="1">
        <f t="array" ref="N485">_xlfn.IFS(G485=0,"No Discount", ROUND(G485*100,0)&lt;=4,"Low", ROUND(G485*100,0)&lt;=9,"Medium", ROUND(G485*100,0)&lt;=15,"High")</f>
        <v>High</v>
      </c>
      <c r="O485" s="22" t="str">
        <f>TEXT(Table1[[#This Row],[Order date]],"mmmm")</f>
        <v>August</v>
      </c>
    </row>
    <row r="486" spans="1:15" ht="13.5" x14ac:dyDescent="0.25">
      <c r="A486" s="1" t="str">
        <f>"ORD"&amp;"-"&amp;_xlfn.XLOOKUP(C486,Guide!$B$22:$B$26,Guide!$C$22:$C$26)&amp;"-"&amp;_xlfn.XLOOKUP(D486,Guide!$B$29:$B$33,Guide!$C$29:$C$33)&amp;"-"&amp;TEXT(H486,"yyyymmdd")</f>
        <v>ORD-FRA-GOV-20140801</v>
      </c>
      <c r="B486" s="1" t="s">
        <v>494</v>
      </c>
      <c r="C486" s="1" t="s">
        <v>31</v>
      </c>
      <c r="D486" s="1" t="s">
        <v>39</v>
      </c>
      <c r="E486" s="1" t="s">
        <v>75</v>
      </c>
      <c r="F486" s="2">
        <v>2696</v>
      </c>
      <c r="G486" s="4">
        <v>0.13</v>
      </c>
      <c r="H486" s="3">
        <f t="shared" si="21"/>
        <v>41852</v>
      </c>
      <c r="I486" s="1">
        <f>_xlfn.XLOOKUP(E486,Product!$A$2:$A$7,Product!$C$2:$C$7)</f>
        <v>20</v>
      </c>
      <c r="J486" s="22">
        <f t="shared" si="22"/>
        <v>53920</v>
      </c>
      <c r="K486" s="22">
        <f t="shared" si="23"/>
        <v>46910.400000000001</v>
      </c>
      <c r="L486" s="22">
        <f>K486-(_xlfn.XLOOKUP(E486,Product!$A$2:$A$7,Product!$B$2:$B$7)*F486)</f>
        <v>19950.400000000001</v>
      </c>
      <c r="M486">
        <f>YEAR(Table1[[#This Row],[Order date]])</f>
        <v>2014</v>
      </c>
      <c r="N486" s="22" t="str" cm="1">
        <f t="array" ref="N486">_xlfn.IFS(G486=0,"No Discount", ROUND(G486*100,0)&lt;=4,"Low", ROUND(G486*100,0)&lt;=9,"Medium", ROUND(G486*100,0)&lt;=15,"High")</f>
        <v>High</v>
      </c>
      <c r="O486" s="22" t="str">
        <f>TEXT(Table1[[#This Row],[Order date]],"mmmm")</f>
        <v>August</v>
      </c>
    </row>
    <row r="487" spans="1:15" ht="13.5" x14ac:dyDescent="0.25">
      <c r="A487" s="1" t="str">
        <f>"ORD"&amp;"-"&amp;_xlfn.XLOOKUP(C487,Guide!$B$22:$B$26,Guide!$C$22:$C$26)&amp;"-"&amp;_xlfn.XLOOKUP(D487,Guide!$B$29:$B$33,Guide!$C$29:$C$33)&amp;"-"&amp;TEXT(H487,"yyyymmdd")</f>
        <v>ORD-USA-SMB-20140801</v>
      </c>
      <c r="B487" s="1" t="s">
        <v>495</v>
      </c>
      <c r="C487" s="1" t="s">
        <v>35</v>
      </c>
      <c r="D487" s="1" t="s">
        <v>47</v>
      </c>
      <c r="E487" s="1" t="s">
        <v>78</v>
      </c>
      <c r="F487" s="2">
        <v>2541</v>
      </c>
      <c r="G487" s="4">
        <v>0.14000000000000001</v>
      </c>
      <c r="H487" s="3">
        <f t="shared" si="21"/>
        <v>41852</v>
      </c>
      <c r="I487" s="1">
        <f>_xlfn.XLOOKUP(E487,Product!$A$2:$A$7,Product!$C$2:$C$7)</f>
        <v>300</v>
      </c>
      <c r="J487" s="22">
        <f t="shared" si="22"/>
        <v>762300</v>
      </c>
      <c r="K487" s="22">
        <f t="shared" si="23"/>
        <v>655578</v>
      </c>
      <c r="L487" s="22">
        <f>K487-(_xlfn.XLOOKUP(E487,Product!$A$2:$A$7,Product!$B$2:$B$7)*F487)</f>
        <v>20328</v>
      </c>
      <c r="M487">
        <f>YEAR(Table1[[#This Row],[Order date]])</f>
        <v>2014</v>
      </c>
      <c r="N487" s="22" t="str" cm="1">
        <f t="array" ref="N487">_xlfn.IFS(G487=0,"No Discount", ROUND(G487*100,0)&lt;=4,"Low", ROUND(G487*100,0)&lt;=9,"Medium", ROUND(G487*100,0)&lt;=15,"High")</f>
        <v>High</v>
      </c>
      <c r="O487" s="22" t="str">
        <f>TEXT(Table1[[#This Row],[Order date]],"mmmm")</f>
        <v>August</v>
      </c>
    </row>
    <row r="488" spans="1:15" ht="13.5" x14ac:dyDescent="0.25">
      <c r="A488" s="1" t="str">
        <f>"ORD"&amp;"-"&amp;_xlfn.XLOOKUP(C488,Guide!$B$22:$B$26,Guide!$C$22:$C$26)&amp;"-"&amp;_xlfn.XLOOKUP(D488,Guide!$B$29:$B$33,Guide!$C$29:$C$33)&amp;"-"&amp;TEXT(H488,"yyyymmdd")</f>
        <v>ORD-FRA-CPR-20140801</v>
      </c>
      <c r="B488" s="1" t="s">
        <v>496</v>
      </c>
      <c r="C488" s="1" t="s">
        <v>31</v>
      </c>
      <c r="D488" s="1" t="s">
        <v>43</v>
      </c>
      <c r="E488" s="1" t="s">
        <v>84</v>
      </c>
      <c r="F488" s="2">
        <v>2475</v>
      </c>
      <c r="G488" s="4">
        <v>0.14000000000000001</v>
      </c>
      <c r="H488" s="3">
        <f t="shared" si="21"/>
        <v>41852</v>
      </c>
      <c r="I488" s="1">
        <f>_xlfn.XLOOKUP(E488,Product!$A$2:$A$7,Product!$C$2:$C$7)</f>
        <v>350</v>
      </c>
      <c r="J488" s="22">
        <f t="shared" si="22"/>
        <v>866250</v>
      </c>
      <c r="K488" s="22">
        <f t="shared" si="23"/>
        <v>744975</v>
      </c>
      <c r="L488" s="22">
        <f>K488-(_xlfn.XLOOKUP(E488,Product!$A$2:$A$7,Product!$B$2:$B$7)*F488)</f>
        <v>249975</v>
      </c>
      <c r="M488">
        <f>YEAR(Table1[[#This Row],[Order date]])</f>
        <v>2014</v>
      </c>
      <c r="N488" s="22" t="str" cm="1">
        <f t="array" ref="N488">_xlfn.IFS(G488=0,"No Discount", ROUND(G488*100,0)&lt;=4,"Low", ROUND(G488*100,0)&lt;=9,"Medium", ROUND(G488*100,0)&lt;=15,"High")</f>
        <v>High</v>
      </c>
      <c r="O488" s="22" t="str">
        <f>TEXT(Table1[[#This Row],[Order date]],"mmmm")</f>
        <v>August</v>
      </c>
    </row>
    <row r="489" spans="1:15" ht="13.5" x14ac:dyDescent="0.25">
      <c r="A489" s="1" t="str">
        <f>"ORD"&amp;"-"&amp;_xlfn.XLOOKUP(C489,Guide!$B$22:$B$26,Guide!$C$22:$C$26)&amp;"-"&amp;_xlfn.XLOOKUP(D489,Guide!$B$29:$B$33,Guide!$C$29:$C$33)&amp;"-"&amp;TEXT(H489,"yyyymmdd")</f>
        <v>ORD-FRA-ENT-20140801</v>
      </c>
      <c r="B489" s="1" t="s">
        <v>497</v>
      </c>
      <c r="C489" s="1" t="s">
        <v>31</v>
      </c>
      <c r="D489" s="1" t="s">
        <v>45</v>
      </c>
      <c r="E489" s="1" t="s">
        <v>80</v>
      </c>
      <c r="F489" s="2">
        <v>1174</v>
      </c>
      <c r="G489" s="4">
        <v>0.15</v>
      </c>
      <c r="H489" s="3">
        <f t="shared" si="21"/>
        <v>41852</v>
      </c>
      <c r="I489" s="1">
        <f>_xlfn.XLOOKUP(E489,Product!$A$2:$A$7,Product!$C$2:$C$7)</f>
        <v>20</v>
      </c>
      <c r="J489" s="22">
        <f t="shared" si="22"/>
        <v>23480</v>
      </c>
      <c r="K489" s="22">
        <f t="shared" si="23"/>
        <v>19958</v>
      </c>
      <c r="L489" s="22">
        <f>K489-(_xlfn.XLOOKUP(E489,Product!$A$2:$A$7,Product!$B$2:$B$7)*F489)</f>
        <v>16436</v>
      </c>
      <c r="M489">
        <f>YEAR(Table1[[#This Row],[Order date]])</f>
        <v>2014</v>
      </c>
      <c r="N489" s="22" t="str" cm="1">
        <f t="array" ref="N489">_xlfn.IFS(G489=0,"No Discount", ROUND(G489*100,0)&lt;=4,"Low", ROUND(G489*100,0)&lt;=9,"Medium", ROUND(G489*100,0)&lt;=15,"High")</f>
        <v>High</v>
      </c>
      <c r="O489" s="22" t="str">
        <f>TEXT(Table1[[#This Row],[Order date]],"mmmm")</f>
        <v>August</v>
      </c>
    </row>
    <row r="490" spans="1:15" ht="13.5" x14ac:dyDescent="0.25">
      <c r="A490" s="1" t="str">
        <f>"ORD"&amp;"-"&amp;_xlfn.XLOOKUP(C490,Guide!$B$22:$B$26,Guide!$C$22:$C$26)&amp;"-"&amp;_xlfn.XLOOKUP(D490,Guide!$B$29:$B$33,Guide!$C$29:$C$33)&amp;"-"&amp;TEXT(H490,"yyyymmdd")</f>
        <v>ORD-CND-MDM-20140801</v>
      </c>
      <c r="B490" s="1" t="s">
        <v>498</v>
      </c>
      <c r="C490" s="1" t="s">
        <v>27</v>
      </c>
      <c r="D490" s="1" t="s">
        <v>41</v>
      </c>
      <c r="E490" s="1" t="s">
        <v>75</v>
      </c>
      <c r="F490" s="2">
        <v>2559</v>
      </c>
      <c r="G490" s="4">
        <v>0.15</v>
      </c>
      <c r="H490" s="3">
        <f t="shared" si="21"/>
        <v>41852</v>
      </c>
      <c r="I490" s="1">
        <f>_xlfn.XLOOKUP(E490,Product!$A$2:$A$7,Product!$C$2:$C$7)</f>
        <v>20</v>
      </c>
      <c r="J490" s="22">
        <f t="shared" si="22"/>
        <v>51180</v>
      </c>
      <c r="K490" s="22">
        <f t="shared" si="23"/>
        <v>43503</v>
      </c>
      <c r="L490" s="22">
        <f>K490-(_xlfn.XLOOKUP(E490,Product!$A$2:$A$7,Product!$B$2:$B$7)*F490)</f>
        <v>17913</v>
      </c>
      <c r="M490">
        <f>YEAR(Table1[[#This Row],[Order date]])</f>
        <v>2014</v>
      </c>
      <c r="N490" s="22" t="str" cm="1">
        <f t="array" ref="N490">_xlfn.IFS(G490=0,"No Discount", ROUND(G490*100,0)&lt;=4,"Low", ROUND(G490*100,0)&lt;=9,"Medium", ROUND(G490*100,0)&lt;=15,"High")</f>
        <v>High</v>
      </c>
      <c r="O490" s="22" t="str">
        <f>TEXT(Table1[[#This Row],[Order date]],"mmmm")</f>
        <v>August</v>
      </c>
    </row>
    <row r="491" spans="1:15" ht="13.5" x14ac:dyDescent="0.25">
      <c r="A491" s="1" t="str">
        <f>"ORD"&amp;"-"&amp;_xlfn.XLOOKUP(C491,Guide!$B$22:$B$26,Guide!$C$22:$C$26)&amp;"-"&amp;_xlfn.XLOOKUP(D491,Guide!$B$29:$B$33,Guide!$C$29:$C$33)&amp;"-"&amp;TEXT(H491,"yyyymmdd")</f>
        <v>ORD-GER-ENT-20140801</v>
      </c>
      <c r="B491" s="1" t="s">
        <v>499</v>
      </c>
      <c r="C491" s="1" t="s">
        <v>29</v>
      </c>
      <c r="D491" s="1" t="s">
        <v>45</v>
      </c>
      <c r="E491" s="1" t="s">
        <v>80</v>
      </c>
      <c r="F491" s="2">
        <v>2767</v>
      </c>
      <c r="G491" s="4">
        <v>0.15</v>
      </c>
      <c r="H491" s="3">
        <f t="shared" si="21"/>
        <v>41852</v>
      </c>
      <c r="I491" s="1">
        <f>_xlfn.XLOOKUP(E491,Product!$A$2:$A$7,Product!$C$2:$C$7)</f>
        <v>20</v>
      </c>
      <c r="J491" s="22">
        <f t="shared" si="22"/>
        <v>55340</v>
      </c>
      <c r="K491" s="22">
        <f t="shared" si="23"/>
        <v>47039</v>
      </c>
      <c r="L491" s="22">
        <f>K491-(_xlfn.XLOOKUP(E491,Product!$A$2:$A$7,Product!$B$2:$B$7)*F491)</f>
        <v>38738</v>
      </c>
      <c r="M491">
        <f>YEAR(Table1[[#This Row],[Order date]])</f>
        <v>2014</v>
      </c>
      <c r="N491" s="22" t="str" cm="1">
        <f t="array" ref="N491">_xlfn.IFS(G491=0,"No Discount", ROUND(G491*100,0)&lt;=4,"Low", ROUND(G491*100,0)&lt;=9,"Medium", ROUND(G491*100,0)&lt;=15,"High")</f>
        <v>High</v>
      </c>
      <c r="O491" s="22" t="str">
        <f>TEXT(Table1[[#This Row],[Order date]],"mmmm")</f>
        <v>August</v>
      </c>
    </row>
    <row r="492" spans="1:15" ht="13.5" x14ac:dyDescent="0.25">
      <c r="A492" s="1" t="str">
        <f>"ORD"&amp;"-"&amp;_xlfn.XLOOKUP(C492,Guide!$B$22:$B$26,Guide!$C$22:$C$26)&amp;"-"&amp;_xlfn.XLOOKUP(D492,Guide!$B$29:$B$33,Guide!$C$29:$C$33)&amp;"-"&amp;TEXT(H492,"yyyymmdd")</f>
        <v>ORD-GER-GOV-20140901</v>
      </c>
      <c r="B492" s="1" t="s">
        <v>500</v>
      </c>
      <c r="C492" s="1" t="s">
        <v>29</v>
      </c>
      <c r="D492" s="1" t="s">
        <v>39</v>
      </c>
      <c r="E492" s="1" t="s">
        <v>82</v>
      </c>
      <c r="F492" s="2">
        <v>2146</v>
      </c>
      <c r="G492" s="4">
        <v>0</v>
      </c>
      <c r="H492" s="3">
        <f t="shared" si="21"/>
        <v>41883</v>
      </c>
      <c r="I492" s="1">
        <f>_xlfn.XLOOKUP(E492,Product!$A$2:$A$7,Product!$C$2:$C$7)</f>
        <v>15</v>
      </c>
      <c r="J492" s="22">
        <f t="shared" si="22"/>
        <v>32190</v>
      </c>
      <c r="K492" s="22">
        <f t="shared" si="23"/>
        <v>32190</v>
      </c>
      <c r="L492" s="22">
        <f>K492-(_xlfn.XLOOKUP(E492,Product!$A$2:$A$7,Product!$B$2:$B$7)*F492)</f>
        <v>21460</v>
      </c>
      <c r="M492">
        <f>YEAR(Table1[[#This Row],[Order date]])</f>
        <v>2014</v>
      </c>
      <c r="N492" s="22" t="str" cm="1">
        <f t="array" ref="N492">_xlfn.IFS(G492=0,"No Discount", ROUND(G492*100,0)&lt;=4,"Low", ROUND(G492*100,0)&lt;=9,"Medium", ROUND(G492*100,0)&lt;=15,"High")</f>
        <v>No Discount</v>
      </c>
      <c r="O492" s="22" t="str">
        <f>TEXT(Table1[[#This Row],[Order date]],"mmmm")</f>
        <v>September</v>
      </c>
    </row>
    <row r="493" spans="1:15" ht="13.5" x14ac:dyDescent="0.25">
      <c r="A493" s="1" t="str">
        <f>"ORD"&amp;"-"&amp;_xlfn.XLOOKUP(C493,Guide!$B$22:$B$26,Guide!$C$22:$C$26)&amp;"-"&amp;_xlfn.XLOOKUP(D493,Guide!$B$29:$B$33,Guide!$C$29:$C$33)&amp;"-"&amp;TEXT(H493,"yyyymmdd")</f>
        <v>ORD-MXC-MDM-20140901</v>
      </c>
      <c r="B493" s="1" t="s">
        <v>501</v>
      </c>
      <c r="C493" s="1" t="s">
        <v>33</v>
      </c>
      <c r="D493" s="1" t="s">
        <v>41</v>
      </c>
      <c r="E493" s="1" t="s">
        <v>75</v>
      </c>
      <c r="F493" s="2">
        <v>2472</v>
      </c>
      <c r="G493" s="4">
        <v>0</v>
      </c>
      <c r="H493" s="3">
        <f t="shared" si="21"/>
        <v>41883</v>
      </c>
      <c r="I493" s="1">
        <f>_xlfn.XLOOKUP(E493,Product!$A$2:$A$7,Product!$C$2:$C$7)</f>
        <v>20</v>
      </c>
      <c r="J493" s="22">
        <f t="shared" si="22"/>
        <v>49440</v>
      </c>
      <c r="K493" s="22">
        <f t="shared" si="23"/>
        <v>49440</v>
      </c>
      <c r="L493" s="22">
        <f>K493-(_xlfn.XLOOKUP(E493,Product!$A$2:$A$7,Product!$B$2:$B$7)*F493)</f>
        <v>24720</v>
      </c>
      <c r="M493">
        <f>YEAR(Table1[[#This Row],[Order date]])</f>
        <v>2014</v>
      </c>
      <c r="N493" s="22" t="str" cm="1">
        <f t="array" ref="N493">_xlfn.IFS(G493=0,"No Discount", ROUND(G493*100,0)&lt;=4,"Low", ROUND(G493*100,0)&lt;=9,"Medium", ROUND(G493*100,0)&lt;=15,"High")</f>
        <v>No Discount</v>
      </c>
      <c r="O493" s="22" t="str">
        <f>TEXT(Table1[[#This Row],[Order date]],"mmmm")</f>
        <v>September</v>
      </c>
    </row>
    <row r="494" spans="1:15" ht="13.5" x14ac:dyDescent="0.25">
      <c r="A494" s="1" t="str">
        <f>"ORD"&amp;"-"&amp;_xlfn.XLOOKUP(C494,Guide!$B$22:$B$26,Guide!$C$22:$C$26)&amp;"-"&amp;_xlfn.XLOOKUP(D494,Guide!$B$29:$B$33,Guide!$C$29:$C$33)&amp;"-"&amp;TEXT(H494,"yyyymmdd")</f>
        <v>ORD-FRA-SMB-20140901</v>
      </c>
      <c r="B494" s="1" t="s">
        <v>502</v>
      </c>
      <c r="C494" s="1" t="s">
        <v>31</v>
      </c>
      <c r="D494" s="1" t="s">
        <v>47</v>
      </c>
      <c r="E494" s="1" t="s">
        <v>78</v>
      </c>
      <c r="F494" s="2">
        <v>2151</v>
      </c>
      <c r="G494" s="4">
        <v>0</v>
      </c>
      <c r="H494" s="3">
        <f t="shared" si="21"/>
        <v>41883</v>
      </c>
      <c r="I494" s="1">
        <f>_xlfn.XLOOKUP(E494,Product!$A$2:$A$7,Product!$C$2:$C$7)</f>
        <v>300</v>
      </c>
      <c r="J494" s="22">
        <f t="shared" si="22"/>
        <v>645300</v>
      </c>
      <c r="K494" s="22">
        <f t="shared" si="23"/>
        <v>645300</v>
      </c>
      <c r="L494" s="22">
        <f>K494-(_xlfn.XLOOKUP(E494,Product!$A$2:$A$7,Product!$B$2:$B$7)*F494)</f>
        <v>107550</v>
      </c>
      <c r="M494">
        <f>YEAR(Table1[[#This Row],[Order date]])</f>
        <v>2014</v>
      </c>
      <c r="N494" s="22" t="str" cm="1">
        <f t="array" ref="N494">_xlfn.IFS(G494=0,"No Discount", ROUND(G494*100,0)&lt;=4,"Low", ROUND(G494*100,0)&lt;=9,"Medium", ROUND(G494*100,0)&lt;=15,"High")</f>
        <v>No Discount</v>
      </c>
      <c r="O494" s="22" t="str">
        <f>TEXT(Table1[[#This Row],[Order date]],"mmmm")</f>
        <v>September</v>
      </c>
    </row>
    <row r="495" spans="1:15" ht="13.5" x14ac:dyDescent="0.25">
      <c r="A495" s="1" t="str">
        <f>"ORD"&amp;"-"&amp;_xlfn.XLOOKUP(C495,Guide!$B$22:$B$26,Guide!$C$22:$C$26)&amp;"-"&amp;_xlfn.XLOOKUP(D495,Guide!$B$29:$B$33,Guide!$C$29:$C$33)&amp;"-"&amp;TEXT(H495,"yyyymmdd")</f>
        <v>ORD-GER-MDM-20140901</v>
      </c>
      <c r="B495" s="1" t="s">
        <v>503</v>
      </c>
      <c r="C495" s="1" t="s">
        <v>29</v>
      </c>
      <c r="D495" s="1" t="s">
        <v>41</v>
      </c>
      <c r="E495" s="1" t="s">
        <v>75</v>
      </c>
      <c r="F495" s="2">
        <v>747</v>
      </c>
      <c r="G495" s="4">
        <v>0.01</v>
      </c>
      <c r="H495" s="3">
        <f t="shared" si="21"/>
        <v>41883</v>
      </c>
      <c r="I495" s="1">
        <f>_xlfn.XLOOKUP(E495,Product!$A$2:$A$7,Product!$C$2:$C$7)</f>
        <v>20</v>
      </c>
      <c r="J495" s="22">
        <f t="shared" si="22"/>
        <v>14940</v>
      </c>
      <c r="K495" s="22">
        <f t="shared" si="23"/>
        <v>14790.6</v>
      </c>
      <c r="L495" s="22">
        <f>K495-(_xlfn.XLOOKUP(E495,Product!$A$2:$A$7,Product!$B$2:$B$7)*F495)</f>
        <v>7320.6</v>
      </c>
      <c r="M495">
        <f>YEAR(Table1[[#This Row],[Order date]])</f>
        <v>2014</v>
      </c>
      <c r="N495" s="22" t="str" cm="1">
        <f t="array" ref="N495">_xlfn.IFS(G495=0,"No Discount", ROUND(G495*100,0)&lt;=4,"Low", ROUND(G495*100,0)&lt;=9,"Medium", ROUND(G495*100,0)&lt;=15,"High")</f>
        <v>Low</v>
      </c>
      <c r="O495" s="22" t="str">
        <f>TEXT(Table1[[#This Row],[Order date]],"mmmm")</f>
        <v>September</v>
      </c>
    </row>
    <row r="496" spans="1:15" ht="13.5" x14ac:dyDescent="0.25">
      <c r="A496" s="1" t="str">
        <f>"ORD"&amp;"-"&amp;_xlfn.XLOOKUP(C496,Guide!$B$22:$B$26,Guide!$C$22:$C$26)&amp;"-"&amp;_xlfn.XLOOKUP(D496,Guide!$B$29:$B$33,Guide!$C$29:$C$33)&amp;"-"&amp;TEXT(H496,"yyyymmdd")</f>
        <v>ORD-CND-CPR-20140901</v>
      </c>
      <c r="B496" s="1" t="s">
        <v>504</v>
      </c>
      <c r="C496" s="1" t="s">
        <v>27</v>
      </c>
      <c r="D496" s="1" t="s">
        <v>43</v>
      </c>
      <c r="E496" s="1" t="s">
        <v>80</v>
      </c>
      <c r="F496" s="2">
        <v>1445</v>
      </c>
      <c r="G496" s="4">
        <v>0.01</v>
      </c>
      <c r="H496" s="3">
        <f t="shared" si="21"/>
        <v>41883</v>
      </c>
      <c r="I496" s="1">
        <f>_xlfn.XLOOKUP(E496,Product!$A$2:$A$7,Product!$C$2:$C$7)</f>
        <v>20</v>
      </c>
      <c r="J496" s="22">
        <f t="shared" si="22"/>
        <v>28900</v>
      </c>
      <c r="K496" s="22">
        <f t="shared" si="23"/>
        <v>28611</v>
      </c>
      <c r="L496" s="22">
        <f>K496-(_xlfn.XLOOKUP(E496,Product!$A$2:$A$7,Product!$B$2:$B$7)*F496)</f>
        <v>24276</v>
      </c>
      <c r="M496">
        <f>YEAR(Table1[[#This Row],[Order date]])</f>
        <v>2014</v>
      </c>
      <c r="N496" s="22" t="str" cm="1">
        <f t="array" ref="N496">_xlfn.IFS(G496=0,"No Discount", ROUND(G496*100,0)&lt;=4,"Low", ROUND(G496*100,0)&lt;=9,"Medium", ROUND(G496*100,0)&lt;=15,"High")</f>
        <v>Low</v>
      </c>
      <c r="O496" s="22" t="str">
        <f>TEXT(Table1[[#This Row],[Order date]],"mmmm")</f>
        <v>September</v>
      </c>
    </row>
    <row r="497" spans="1:15" ht="13.5" x14ac:dyDescent="0.25">
      <c r="A497" s="1" t="str">
        <f>"ORD"&amp;"-"&amp;_xlfn.XLOOKUP(C497,Guide!$B$22:$B$26,Guide!$C$22:$C$26)&amp;"-"&amp;_xlfn.XLOOKUP(D497,Guide!$B$29:$B$33,Guide!$C$29:$C$33)&amp;"-"&amp;TEXT(H497,"yyyymmdd")</f>
        <v>ORD-FRA-CPR-20140901</v>
      </c>
      <c r="B497" s="1" t="s">
        <v>505</v>
      </c>
      <c r="C497" s="1" t="s">
        <v>31</v>
      </c>
      <c r="D497" s="1" t="s">
        <v>43</v>
      </c>
      <c r="E497" s="1" t="s">
        <v>80</v>
      </c>
      <c r="F497" s="2">
        <v>2671</v>
      </c>
      <c r="G497" s="4">
        <v>0.01</v>
      </c>
      <c r="H497" s="3">
        <f t="shared" si="21"/>
        <v>41883</v>
      </c>
      <c r="I497" s="1">
        <f>_xlfn.XLOOKUP(E497,Product!$A$2:$A$7,Product!$C$2:$C$7)</f>
        <v>20</v>
      </c>
      <c r="J497" s="22">
        <f t="shared" si="22"/>
        <v>53420</v>
      </c>
      <c r="K497" s="22">
        <f t="shared" si="23"/>
        <v>52885.8</v>
      </c>
      <c r="L497" s="22">
        <f>K497-(_xlfn.XLOOKUP(E497,Product!$A$2:$A$7,Product!$B$2:$B$7)*F497)</f>
        <v>44872.800000000003</v>
      </c>
      <c r="M497">
        <f>YEAR(Table1[[#This Row],[Order date]])</f>
        <v>2014</v>
      </c>
      <c r="N497" s="22" t="str" cm="1">
        <f t="array" ref="N497">_xlfn.IFS(G497=0,"No Discount", ROUND(G497*100,0)&lt;=4,"Low", ROUND(G497*100,0)&lt;=9,"Medium", ROUND(G497*100,0)&lt;=15,"High")</f>
        <v>Low</v>
      </c>
      <c r="O497" s="22" t="str">
        <f>TEXT(Table1[[#This Row],[Order date]],"mmmm")</f>
        <v>September</v>
      </c>
    </row>
    <row r="498" spans="1:15" ht="13.5" x14ac:dyDescent="0.25">
      <c r="A498" s="1" t="str">
        <f>"ORD"&amp;"-"&amp;_xlfn.XLOOKUP(C498,Guide!$B$22:$B$26,Guide!$C$22:$C$26)&amp;"-"&amp;_xlfn.XLOOKUP(D498,Guide!$B$29:$B$33,Guide!$C$29:$C$33)&amp;"-"&amp;TEXT(H498,"yyyymmdd")</f>
        <v>ORD-GER-SMB-20140901</v>
      </c>
      <c r="B498" s="1" t="s">
        <v>506</v>
      </c>
      <c r="C498" s="1" t="s">
        <v>29</v>
      </c>
      <c r="D498" s="1" t="s">
        <v>47</v>
      </c>
      <c r="E498" s="1" t="s">
        <v>78</v>
      </c>
      <c r="F498" s="2">
        <v>986</v>
      </c>
      <c r="G498" s="4">
        <v>0.01</v>
      </c>
      <c r="H498" s="3">
        <f t="shared" si="21"/>
        <v>41883</v>
      </c>
      <c r="I498" s="1">
        <f>_xlfn.XLOOKUP(E498,Product!$A$2:$A$7,Product!$C$2:$C$7)</f>
        <v>300</v>
      </c>
      <c r="J498" s="22">
        <f t="shared" si="22"/>
        <v>295800</v>
      </c>
      <c r="K498" s="22">
        <f t="shared" si="23"/>
        <v>292842</v>
      </c>
      <c r="L498" s="22">
        <f>K498-(_xlfn.XLOOKUP(E498,Product!$A$2:$A$7,Product!$B$2:$B$7)*F498)</f>
        <v>46342</v>
      </c>
      <c r="M498">
        <f>YEAR(Table1[[#This Row],[Order date]])</f>
        <v>2014</v>
      </c>
      <c r="N498" s="22" t="str" cm="1">
        <f t="array" ref="N498">_xlfn.IFS(G498=0,"No Discount", ROUND(G498*100,0)&lt;=4,"Low", ROUND(G498*100,0)&lt;=9,"Medium", ROUND(G498*100,0)&lt;=15,"High")</f>
        <v>Low</v>
      </c>
      <c r="O498" s="22" t="str">
        <f>TEXT(Table1[[#This Row],[Order date]],"mmmm")</f>
        <v>September</v>
      </c>
    </row>
    <row r="499" spans="1:15" ht="13.5" x14ac:dyDescent="0.25">
      <c r="A499" s="1" t="str">
        <f>"ORD"&amp;"-"&amp;_xlfn.XLOOKUP(C499,Guide!$B$22:$B$26,Guide!$C$22:$C$26)&amp;"-"&amp;_xlfn.XLOOKUP(D499,Guide!$B$29:$B$33,Guide!$C$29:$C$33)&amp;"-"&amp;TEXT(H499,"yyyymmdd")</f>
        <v>ORD-FRA-GOV-20140901</v>
      </c>
      <c r="B499" s="1" t="s">
        <v>507</v>
      </c>
      <c r="C499" s="1" t="s">
        <v>31</v>
      </c>
      <c r="D499" s="1" t="s">
        <v>39</v>
      </c>
      <c r="E499" s="1" t="s">
        <v>82</v>
      </c>
      <c r="F499" s="2">
        <v>544</v>
      </c>
      <c r="G499" s="4">
        <v>0.03</v>
      </c>
      <c r="H499" s="3">
        <f t="shared" si="21"/>
        <v>41883</v>
      </c>
      <c r="I499" s="1">
        <f>_xlfn.XLOOKUP(E499,Product!$A$2:$A$7,Product!$C$2:$C$7)</f>
        <v>15</v>
      </c>
      <c r="J499" s="22">
        <f t="shared" si="22"/>
        <v>8160</v>
      </c>
      <c r="K499" s="22">
        <f t="shared" si="23"/>
        <v>7915.2</v>
      </c>
      <c r="L499" s="22">
        <f>K499-(_xlfn.XLOOKUP(E499,Product!$A$2:$A$7,Product!$B$2:$B$7)*F499)</f>
        <v>5195.2</v>
      </c>
      <c r="M499">
        <f>YEAR(Table1[[#This Row],[Order date]])</f>
        <v>2014</v>
      </c>
      <c r="N499" s="22" t="str" cm="1">
        <f t="array" ref="N499">_xlfn.IFS(G499=0,"No Discount", ROUND(G499*100,0)&lt;=4,"Low", ROUND(G499*100,0)&lt;=9,"Medium", ROUND(G499*100,0)&lt;=15,"High")</f>
        <v>Low</v>
      </c>
      <c r="O499" s="22" t="str">
        <f>TEXT(Table1[[#This Row],[Order date]],"mmmm")</f>
        <v>September</v>
      </c>
    </row>
    <row r="500" spans="1:15" ht="13.5" x14ac:dyDescent="0.25">
      <c r="A500" s="1" t="str">
        <f>"ORD"&amp;"-"&amp;_xlfn.XLOOKUP(C500,Guide!$B$22:$B$26,Guide!$C$22:$C$26)&amp;"-"&amp;_xlfn.XLOOKUP(D500,Guide!$B$29:$B$33,Guide!$C$29:$C$33)&amp;"-"&amp;TEXT(H500,"yyyymmdd")</f>
        <v>ORD-USA-CPR-20140901</v>
      </c>
      <c r="B500" s="1" t="s">
        <v>508</v>
      </c>
      <c r="C500" s="1" t="s">
        <v>35</v>
      </c>
      <c r="D500" s="1" t="s">
        <v>43</v>
      </c>
      <c r="E500" s="1" t="s">
        <v>80</v>
      </c>
      <c r="F500" s="2">
        <v>1947</v>
      </c>
      <c r="G500" s="4">
        <v>0.03</v>
      </c>
      <c r="H500" s="3">
        <f t="shared" si="21"/>
        <v>41883</v>
      </c>
      <c r="I500" s="1">
        <f>_xlfn.XLOOKUP(E500,Product!$A$2:$A$7,Product!$C$2:$C$7)</f>
        <v>20</v>
      </c>
      <c r="J500" s="22">
        <f t="shared" si="22"/>
        <v>38940</v>
      </c>
      <c r="K500" s="22">
        <f t="shared" si="23"/>
        <v>37771.799999999996</v>
      </c>
      <c r="L500" s="22">
        <f>K500-(_xlfn.XLOOKUP(E500,Product!$A$2:$A$7,Product!$B$2:$B$7)*F500)</f>
        <v>31930.799999999996</v>
      </c>
      <c r="M500">
        <f>YEAR(Table1[[#This Row],[Order date]])</f>
        <v>2014</v>
      </c>
      <c r="N500" s="22" t="str" cm="1">
        <f t="array" ref="N500">_xlfn.IFS(G500=0,"No Discount", ROUND(G500*100,0)&lt;=4,"Low", ROUND(G500*100,0)&lt;=9,"Medium", ROUND(G500*100,0)&lt;=15,"High")</f>
        <v>Low</v>
      </c>
      <c r="O500" s="22" t="str">
        <f>TEXT(Table1[[#This Row],[Order date]],"mmmm")</f>
        <v>September</v>
      </c>
    </row>
    <row r="501" spans="1:15" ht="13.5" x14ac:dyDescent="0.25">
      <c r="A501" s="1" t="str">
        <f>"ORD"&amp;"-"&amp;_xlfn.XLOOKUP(C501,Guide!$B$22:$B$26,Guide!$C$22:$C$26)&amp;"-"&amp;_xlfn.XLOOKUP(D501,Guide!$B$29:$B$33,Guide!$C$29:$C$33)&amp;"-"&amp;TEXT(H501,"yyyymmdd")</f>
        <v>ORD-CND-MDM-20140901</v>
      </c>
      <c r="B501" s="1" t="s">
        <v>509</v>
      </c>
      <c r="C501" s="1" t="s">
        <v>27</v>
      </c>
      <c r="D501" s="1" t="s">
        <v>41</v>
      </c>
      <c r="E501" s="1" t="s">
        <v>75</v>
      </c>
      <c r="F501" s="2">
        <v>218</v>
      </c>
      <c r="G501" s="4">
        <v>0.04</v>
      </c>
      <c r="H501" s="3">
        <f t="shared" si="21"/>
        <v>41883</v>
      </c>
      <c r="I501" s="1">
        <f>_xlfn.XLOOKUP(E501,Product!$A$2:$A$7,Product!$C$2:$C$7)</f>
        <v>20</v>
      </c>
      <c r="J501" s="22">
        <f t="shared" si="22"/>
        <v>4360</v>
      </c>
      <c r="K501" s="22">
        <f t="shared" si="23"/>
        <v>4185.5999999999995</v>
      </c>
      <c r="L501" s="22">
        <f>K501-(_xlfn.XLOOKUP(E501,Product!$A$2:$A$7,Product!$B$2:$B$7)*F501)</f>
        <v>2005.5999999999995</v>
      </c>
      <c r="M501">
        <f>YEAR(Table1[[#This Row],[Order date]])</f>
        <v>2014</v>
      </c>
      <c r="N501" s="22" t="str" cm="1">
        <f t="array" ref="N501">_xlfn.IFS(G501=0,"No Discount", ROUND(G501*100,0)&lt;=4,"Low", ROUND(G501*100,0)&lt;=9,"Medium", ROUND(G501*100,0)&lt;=15,"High")</f>
        <v>Low</v>
      </c>
      <c r="O501" s="22" t="str">
        <f>TEXT(Table1[[#This Row],[Order date]],"mmmm")</f>
        <v>September</v>
      </c>
    </row>
    <row r="502" spans="1:15" ht="13.5" x14ac:dyDescent="0.25">
      <c r="A502" s="1" t="str">
        <f>"ORD"&amp;"-"&amp;_xlfn.XLOOKUP(C502,Guide!$B$22:$B$26,Guide!$C$22:$C$26)&amp;"-"&amp;_xlfn.XLOOKUP(D502,Guide!$B$29:$B$33,Guide!$C$29:$C$33)&amp;"-"&amp;TEXT(H502,"yyyymmdd")</f>
        <v>ORD-USA-GOV-20140901</v>
      </c>
      <c r="B502" s="1" t="s">
        <v>510</v>
      </c>
      <c r="C502" s="1" t="s">
        <v>35</v>
      </c>
      <c r="D502" s="1" t="s">
        <v>39</v>
      </c>
      <c r="E502" s="1" t="s">
        <v>75</v>
      </c>
      <c r="F502" s="2">
        <v>1056</v>
      </c>
      <c r="G502" s="4">
        <v>0.04</v>
      </c>
      <c r="H502" s="3">
        <f t="shared" si="21"/>
        <v>41883</v>
      </c>
      <c r="I502" s="1">
        <f>_xlfn.XLOOKUP(E502,Product!$A$2:$A$7,Product!$C$2:$C$7)</f>
        <v>20</v>
      </c>
      <c r="J502" s="22">
        <f t="shared" si="22"/>
        <v>21120</v>
      </c>
      <c r="K502" s="22">
        <f t="shared" si="23"/>
        <v>20275.2</v>
      </c>
      <c r="L502" s="22">
        <f>K502-(_xlfn.XLOOKUP(E502,Product!$A$2:$A$7,Product!$B$2:$B$7)*F502)</f>
        <v>9715.2000000000007</v>
      </c>
      <c r="M502">
        <f>YEAR(Table1[[#This Row],[Order date]])</f>
        <v>2014</v>
      </c>
      <c r="N502" s="22" t="str" cm="1">
        <f t="array" ref="N502">_xlfn.IFS(G502=0,"No Discount", ROUND(G502*100,0)&lt;=4,"Low", ROUND(G502*100,0)&lt;=9,"Medium", ROUND(G502*100,0)&lt;=15,"High")</f>
        <v>Low</v>
      </c>
      <c r="O502" s="22" t="str">
        <f>TEXT(Table1[[#This Row],[Order date]],"mmmm")</f>
        <v>September</v>
      </c>
    </row>
    <row r="503" spans="1:15" ht="13.5" x14ac:dyDescent="0.25">
      <c r="A503" s="1" t="str">
        <f>"ORD"&amp;"-"&amp;_xlfn.XLOOKUP(C503,Guide!$B$22:$B$26,Guide!$C$22:$C$26)&amp;"-"&amp;_xlfn.XLOOKUP(D503,Guide!$B$29:$B$33,Guide!$C$29:$C$33)&amp;"-"&amp;TEXT(H503,"yyyymmdd")</f>
        <v>ORD-CND-GOV-20140901</v>
      </c>
      <c r="B503" s="1" t="s">
        <v>511</v>
      </c>
      <c r="C503" s="1" t="s">
        <v>27</v>
      </c>
      <c r="D503" s="1" t="s">
        <v>39</v>
      </c>
      <c r="E503" s="1" t="s">
        <v>75</v>
      </c>
      <c r="F503" s="2">
        <v>2074</v>
      </c>
      <c r="G503" s="4">
        <v>0.04</v>
      </c>
      <c r="H503" s="3">
        <f t="shared" si="21"/>
        <v>41883</v>
      </c>
      <c r="I503" s="1">
        <f>_xlfn.XLOOKUP(E503,Product!$A$2:$A$7,Product!$C$2:$C$7)</f>
        <v>20</v>
      </c>
      <c r="J503" s="22">
        <f t="shared" si="22"/>
        <v>41480</v>
      </c>
      <c r="K503" s="22">
        <f t="shared" si="23"/>
        <v>39820.799999999996</v>
      </c>
      <c r="L503" s="22">
        <f>K503-(_xlfn.XLOOKUP(E503,Product!$A$2:$A$7,Product!$B$2:$B$7)*F503)</f>
        <v>19080.799999999996</v>
      </c>
      <c r="M503">
        <f>YEAR(Table1[[#This Row],[Order date]])</f>
        <v>2014</v>
      </c>
      <c r="N503" s="22" t="str" cm="1">
        <f t="array" ref="N503">_xlfn.IFS(G503=0,"No Discount", ROUND(G503*100,0)&lt;=4,"Low", ROUND(G503*100,0)&lt;=9,"Medium", ROUND(G503*100,0)&lt;=15,"High")</f>
        <v>Low</v>
      </c>
      <c r="O503" s="22" t="str">
        <f>TEXT(Table1[[#This Row],[Order date]],"mmmm")</f>
        <v>September</v>
      </c>
    </row>
    <row r="504" spans="1:15" ht="13.5" x14ac:dyDescent="0.25">
      <c r="A504" s="1" t="str">
        <f>"ORD"&amp;"-"&amp;_xlfn.XLOOKUP(C504,Guide!$B$22:$B$26,Guide!$C$22:$C$26)&amp;"-"&amp;_xlfn.XLOOKUP(D504,Guide!$B$29:$B$33,Guide!$C$29:$C$33)&amp;"-"&amp;TEXT(H504,"yyyymmdd")</f>
        <v>ORD-GER-GOV-20140901</v>
      </c>
      <c r="B504" s="1" t="s">
        <v>512</v>
      </c>
      <c r="C504" s="1" t="s">
        <v>29</v>
      </c>
      <c r="D504" s="1" t="s">
        <v>39</v>
      </c>
      <c r="E504" s="1" t="s">
        <v>84</v>
      </c>
      <c r="F504" s="2">
        <v>1907</v>
      </c>
      <c r="G504" s="4">
        <v>0.04</v>
      </c>
      <c r="H504" s="3">
        <f t="shared" si="21"/>
        <v>41883</v>
      </c>
      <c r="I504" s="1">
        <f>_xlfn.XLOOKUP(E504,Product!$A$2:$A$7,Product!$C$2:$C$7)</f>
        <v>350</v>
      </c>
      <c r="J504" s="22">
        <f t="shared" si="22"/>
        <v>667450</v>
      </c>
      <c r="K504" s="22">
        <f t="shared" si="23"/>
        <v>640752</v>
      </c>
      <c r="L504" s="22">
        <f>K504-(_xlfn.XLOOKUP(E504,Product!$A$2:$A$7,Product!$B$2:$B$7)*F504)</f>
        <v>259352</v>
      </c>
      <c r="M504">
        <f>YEAR(Table1[[#This Row],[Order date]])</f>
        <v>2014</v>
      </c>
      <c r="N504" s="22" t="str" cm="1">
        <f t="array" ref="N504">_xlfn.IFS(G504=0,"No Discount", ROUND(G504*100,0)&lt;=4,"Low", ROUND(G504*100,0)&lt;=9,"Medium", ROUND(G504*100,0)&lt;=15,"High")</f>
        <v>Low</v>
      </c>
      <c r="O504" s="22" t="str">
        <f>TEXT(Table1[[#This Row],[Order date]],"mmmm")</f>
        <v>September</v>
      </c>
    </row>
    <row r="505" spans="1:15" ht="13.5" x14ac:dyDescent="0.25">
      <c r="A505" s="1" t="str">
        <f>"ORD"&amp;"-"&amp;_xlfn.XLOOKUP(C505,Guide!$B$22:$B$26,Guide!$C$22:$C$26)&amp;"-"&amp;_xlfn.XLOOKUP(D505,Guide!$B$29:$B$33,Guide!$C$29:$C$33)&amp;"-"&amp;TEXT(H505,"yyyymmdd")</f>
        <v>ORD-FRA-MDM-20140901</v>
      </c>
      <c r="B505" s="1" t="s">
        <v>513</v>
      </c>
      <c r="C505" s="1" t="s">
        <v>31</v>
      </c>
      <c r="D505" s="1" t="s">
        <v>41</v>
      </c>
      <c r="E505" s="1" t="s">
        <v>75</v>
      </c>
      <c r="F505" s="2">
        <v>2620</v>
      </c>
      <c r="G505" s="4">
        <v>0.05</v>
      </c>
      <c r="H505" s="3">
        <f t="shared" si="21"/>
        <v>41883</v>
      </c>
      <c r="I505" s="1">
        <f>_xlfn.XLOOKUP(E505,Product!$A$2:$A$7,Product!$C$2:$C$7)</f>
        <v>20</v>
      </c>
      <c r="J505" s="22">
        <f t="shared" si="22"/>
        <v>52400</v>
      </c>
      <c r="K505" s="22">
        <f t="shared" si="23"/>
        <v>49780</v>
      </c>
      <c r="L505" s="22">
        <f>K505-(_xlfn.XLOOKUP(E505,Product!$A$2:$A$7,Product!$B$2:$B$7)*F505)</f>
        <v>23580</v>
      </c>
      <c r="M505">
        <f>YEAR(Table1[[#This Row],[Order date]])</f>
        <v>2014</v>
      </c>
      <c r="N505" s="22" t="str" cm="1">
        <f t="array" ref="N505">_xlfn.IFS(G505=0,"No Discount", ROUND(G505*100,0)&lt;=4,"Low", ROUND(G505*100,0)&lt;=9,"Medium", ROUND(G505*100,0)&lt;=15,"High")</f>
        <v>Medium</v>
      </c>
      <c r="O505" s="22" t="str">
        <f>TEXT(Table1[[#This Row],[Order date]],"mmmm")</f>
        <v>September</v>
      </c>
    </row>
    <row r="506" spans="1:15" ht="13.5" x14ac:dyDescent="0.25">
      <c r="A506" s="1" t="str">
        <f>"ORD"&amp;"-"&amp;_xlfn.XLOOKUP(C506,Guide!$B$22:$B$26,Guide!$C$22:$C$26)&amp;"-"&amp;_xlfn.XLOOKUP(D506,Guide!$B$29:$B$33,Guide!$C$29:$C$33)&amp;"-"&amp;TEXT(H506,"yyyymmdd")</f>
        <v>ORD-MXC-CPR-20140901</v>
      </c>
      <c r="B506" s="1" t="s">
        <v>514</v>
      </c>
      <c r="C506" s="1" t="s">
        <v>33</v>
      </c>
      <c r="D506" s="1" t="s">
        <v>43</v>
      </c>
      <c r="E506" s="1" t="s">
        <v>80</v>
      </c>
      <c r="F506" s="2">
        <v>562</v>
      </c>
      <c r="G506" s="4">
        <v>0.06</v>
      </c>
      <c r="H506" s="3">
        <f t="shared" si="21"/>
        <v>41883</v>
      </c>
      <c r="I506" s="1">
        <f>_xlfn.XLOOKUP(E506,Product!$A$2:$A$7,Product!$C$2:$C$7)</f>
        <v>20</v>
      </c>
      <c r="J506" s="22">
        <f t="shared" si="22"/>
        <v>11240</v>
      </c>
      <c r="K506" s="22">
        <f t="shared" si="23"/>
        <v>10565.599999999999</v>
      </c>
      <c r="L506" s="22">
        <f>K506-(_xlfn.XLOOKUP(E506,Product!$A$2:$A$7,Product!$B$2:$B$7)*F506)</f>
        <v>8879.5999999999985</v>
      </c>
      <c r="M506">
        <f>YEAR(Table1[[#This Row],[Order date]])</f>
        <v>2014</v>
      </c>
      <c r="N506" s="22" t="str" cm="1">
        <f t="array" ref="N506">_xlfn.IFS(G506=0,"No Discount", ROUND(G506*100,0)&lt;=4,"Low", ROUND(G506*100,0)&lt;=9,"Medium", ROUND(G506*100,0)&lt;=15,"High")</f>
        <v>Medium</v>
      </c>
      <c r="O506" s="22" t="str">
        <f>TEXT(Table1[[#This Row],[Order date]],"mmmm")</f>
        <v>September</v>
      </c>
    </row>
    <row r="507" spans="1:15" ht="13.5" x14ac:dyDescent="0.25">
      <c r="A507" s="1" t="str">
        <f>"ORD"&amp;"-"&amp;_xlfn.XLOOKUP(C507,Guide!$B$22:$B$26,Guide!$C$22:$C$26)&amp;"-"&amp;_xlfn.XLOOKUP(D507,Guide!$B$29:$B$33,Guide!$C$29:$C$33)&amp;"-"&amp;TEXT(H507,"yyyymmdd")</f>
        <v>ORD-MXC-GOV-20140901</v>
      </c>
      <c r="B507" s="1" t="s">
        <v>515</v>
      </c>
      <c r="C507" s="1" t="s">
        <v>33</v>
      </c>
      <c r="D507" s="1" t="s">
        <v>39</v>
      </c>
      <c r="E507" s="1" t="s">
        <v>84</v>
      </c>
      <c r="F507" s="2">
        <v>1679</v>
      </c>
      <c r="G507" s="4">
        <v>0.06</v>
      </c>
      <c r="H507" s="3">
        <f t="shared" si="21"/>
        <v>41883</v>
      </c>
      <c r="I507" s="1">
        <f>_xlfn.XLOOKUP(E507,Product!$A$2:$A$7,Product!$C$2:$C$7)</f>
        <v>350</v>
      </c>
      <c r="J507" s="22">
        <f t="shared" si="22"/>
        <v>587650</v>
      </c>
      <c r="K507" s="22">
        <f t="shared" si="23"/>
        <v>552391</v>
      </c>
      <c r="L507" s="22">
        <f>K507-(_xlfn.XLOOKUP(E507,Product!$A$2:$A$7,Product!$B$2:$B$7)*F507)</f>
        <v>216591</v>
      </c>
      <c r="M507">
        <f>YEAR(Table1[[#This Row],[Order date]])</f>
        <v>2014</v>
      </c>
      <c r="N507" s="22" t="str" cm="1">
        <f t="array" ref="N507">_xlfn.IFS(G507=0,"No Discount", ROUND(G507*100,0)&lt;=4,"Low", ROUND(G507*100,0)&lt;=9,"Medium", ROUND(G507*100,0)&lt;=15,"High")</f>
        <v>Medium</v>
      </c>
      <c r="O507" s="22" t="str">
        <f>TEXT(Table1[[#This Row],[Order date]],"mmmm")</f>
        <v>September</v>
      </c>
    </row>
    <row r="508" spans="1:15" ht="13.5" x14ac:dyDescent="0.25">
      <c r="A508" s="1" t="str">
        <f>"ORD"&amp;"-"&amp;_xlfn.XLOOKUP(C508,Guide!$B$22:$B$26,Guide!$C$22:$C$26)&amp;"-"&amp;_xlfn.XLOOKUP(D508,Guide!$B$29:$B$33,Guide!$C$29:$C$33)&amp;"-"&amp;TEXT(H508,"yyyymmdd")</f>
        <v>ORD-FRA-GOV-20140901</v>
      </c>
      <c r="B508" s="1" t="s">
        <v>516</v>
      </c>
      <c r="C508" s="1" t="s">
        <v>31</v>
      </c>
      <c r="D508" s="1" t="s">
        <v>39</v>
      </c>
      <c r="E508" s="1" t="s">
        <v>75</v>
      </c>
      <c r="F508" s="2">
        <v>1535</v>
      </c>
      <c r="G508" s="4">
        <v>7.0000000000000007E-2</v>
      </c>
      <c r="H508" s="3">
        <f t="shared" si="21"/>
        <v>41883</v>
      </c>
      <c r="I508" s="1">
        <f>_xlfn.XLOOKUP(E508,Product!$A$2:$A$7,Product!$C$2:$C$7)</f>
        <v>20</v>
      </c>
      <c r="J508" s="22">
        <f t="shared" si="22"/>
        <v>30700</v>
      </c>
      <c r="K508" s="22">
        <f t="shared" si="23"/>
        <v>28550.999999999996</v>
      </c>
      <c r="L508" s="22">
        <f>K508-(_xlfn.XLOOKUP(E508,Product!$A$2:$A$7,Product!$B$2:$B$7)*F508)</f>
        <v>13200.999999999996</v>
      </c>
      <c r="M508">
        <f>YEAR(Table1[[#This Row],[Order date]])</f>
        <v>2014</v>
      </c>
      <c r="N508" s="22" t="str" cm="1">
        <f t="array" ref="N508">_xlfn.IFS(G508=0,"No Discount", ROUND(G508*100,0)&lt;=4,"Low", ROUND(G508*100,0)&lt;=9,"Medium", ROUND(G508*100,0)&lt;=15,"High")</f>
        <v>Medium</v>
      </c>
      <c r="O508" s="22" t="str">
        <f>TEXT(Table1[[#This Row],[Order date]],"mmmm")</f>
        <v>September</v>
      </c>
    </row>
    <row r="509" spans="1:15" ht="13.5" x14ac:dyDescent="0.25">
      <c r="A509" s="1" t="str">
        <f>"ORD"&amp;"-"&amp;_xlfn.XLOOKUP(C509,Guide!$B$22:$B$26,Guide!$C$22:$C$26)&amp;"-"&amp;_xlfn.XLOOKUP(D509,Guide!$B$29:$B$33,Guide!$C$29:$C$33)&amp;"-"&amp;TEXT(H509,"yyyymmdd")</f>
        <v>ORD-GER-ENT-20140901</v>
      </c>
      <c r="B509" s="1" t="s">
        <v>517</v>
      </c>
      <c r="C509" s="1" t="s">
        <v>29</v>
      </c>
      <c r="D509" s="1" t="s">
        <v>45</v>
      </c>
      <c r="E509" s="1" t="s">
        <v>88</v>
      </c>
      <c r="F509" s="2">
        <v>2087</v>
      </c>
      <c r="G509" s="4">
        <v>7.0000000000000007E-2</v>
      </c>
      <c r="H509" s="3">
        <f t="shared" si="21"/>
        <v>41883</v>
      </c>
      <c r="I509" s="1">
        <f>_xlfn.XLOOKUP(E509,Product!$A$2:$A$7,Product!$C$2:$C$7)</f>
        <v>180</v>
      </c>
      <c r="J509" s="22">
        <f t="shared" si="22"/>
        <v>375660</v>
      </c>
      <c r="K509" s="22">
        <f t="shared" si="23"/>
        <v>349363.8</v>
      </c>
      <c r="L509" s="22">
        <f>K509-(_xlfn.XLOOKUP(E509,Product!$A$2:$A$7,Product!$B$2:$B$7)*F509)</f>
        <v>98923.799999999988</v>
      </c>
      <c r="M509">
        <f>YEAR(Table1[[#This Row],[Order date]])</f>
        <v>2014</v>
      </c>
      <c r="N509" s="22" t="str" cm="1">
        <f t="array" ref="N509">_xlfn.IFS(G509=0,"No Discount", ROUND(G509*100,0)&lt;=4,"Low", ROUND(G509*100,0)&lt;=9,"Medium", ROUND(G509*100,0)&lt;=15,"High")</f>
        <v>Medium</v>
      </c>
      <c r="O509" s="22" t="str">
        <f>TEXT(Table1[[#This Row],[Order date]],"mmmm")</f>
        <v>September</v>
      </c>
    </row>
    <row r="510" spans="1:15" ht="13.5" x14ac:dyDescent="0.25">
      <c r="A510" s="1" t="str">
        <f>"ORD"&amp;"-"&amp;_xlfn.XLOOKUP(C510,Guide!$B$22:$B$26,Guide!$C$22:$C$26)&amp;"-"&amp;_xlfn.XLOOKUP(D510,Guide!$B$29:$B$33,Guide!$C$29:$C$33)&amp;"-"&amp;TEXT(H510,"yyyymmdd")</f>
        <v>ORD-FRA-GOV-20140901</v>
      </c>
      <c r="B510" s="1" t="s">
        <v>518</v>
      </c>
      <c r="C510" s="1" t="s">
        <v>31</v>
      </c>
      <c r="D510" s="1" t="s">
        <v>39</v>
      </c>
      <c r="E510" s="1" t="s">
        <v>84</v>
      </c>
      <c r="F510" s="2">
        <v>2876</v>
      </c>
      <c r="G510" s="4">
        <v>7.0000000000000007E-2</v>
      </c>
      <c r="H510" s="3">
        <f t="shared" si="21"/>
        <v>41883</v>
      </c>
      <c r="I510" s="1">
        <f>_xlfn.XLOOKUP(E510,Product!$A$2:$A$7,Product!$C$2:$C$7)</f>
        <v>350</v>
      </c>
      <c r="J510" s="22">
        <f t="shared" si="22"/>
        <v>1006600</v>
      </c>
      <c r="K510" s="22">
        <f t="shared" si="23"/>
        <v>936137.99999999988</v>
      </c>
      <c r="L510" s="22">
        <f>K510-(_xlfn.XLOOKUP(E510,Product!$A$2:$A$7,Product!$B$2:$B$7)*F510)</f>
        <v>360937.99999999988</v>
      </c>
      <c r="M510">
        <f>YEAR(Table1[[#This Row],[Order date]])</f>
        <v>2014</v>
      </c>
      <c r="N510" s="22" t="str" cm="1">
        <f t="array" ref="N510">_xlfn.IFS(G510=0,"No Discount", ROUND(G510*100,0)&lt;=4,"Low", ROUND(G510*100,0)&lt;=9,"Medium", ROUND(G510*100,0)&lt;=15,"High")</f>
        <v>Medium</v>
      </c>
      <c r="O510" s="22" t="str">
        <f>TEXT(Table1[[#This Row],[Order date]],"mmmm")</f>
        <v>September</v>
      </c>
    </row>
    <row r="511" spans="1:15" ht="13.5" x14ac:dyDescent="0.25">
      <c r="A511" s="1" t="str">
        <f>"ORD"&amp;"-"&amp;_xlfn.XLOOKUP(C511,Guide!$B$22:$B$26,Guide!$C$22:$C$26)&amp;"-"&amp;_xlfn.XLOOKUP(D511,Guide!$B$29:$B$33,Guide!$C$29:$C$33)&amp;"-"&amp;TEXT(H511,"yyyymmdd")</f>
        <v>ORD-GER-GOV-20140901</v>
      </c>
      <c r="B511" s="1" t="s">
        <v>519</v>
      </c>
      <c r="C511" s="1" t="s">
        <v>29</v>
      </c>
      <c r="D511" s="1" t="s">
        <v>39</v>
      </c>
      <c r="E511" s="1" t="s">
        <v>75</v>
      </c>
      <c r="F511" s="2">
        <v>1934</v>
      </c>
      <c r="G511" s="4">
        <v>0.08</v>
      </c>
      <c r="H511" s="3">
        <f t="shared" si="21"/>
        <v>41883</v>
      </c>
      <c r="I511" s="1">
        <f>_xlfn.XLOOKUP(E511,Product!$A$2:$A$7,Product!$C$2:$C$7)</f>
        <v>20</v>
      </c>
      <c r="J511" s="22">
        <f t="shared" si="22"/>
        <v>38680</v>
      </c>
      <c r="K511" s="22">
        <f t="shared" si="23"/>
        <v>35585.599999999999</v>
      </c>
      <c r="L511" s="22">
        <f>K511-(_xlfn.XLOOKUP(E511,Product!$A$2:$A$7,Product!$B$2:$B$7)*F511)</f>
        <v>16245.599999999999</v>
      </c>
      <c r="M511">
        <f>YEAR(Table1[[#This Row],[Order date]])</f>
        <v>2014</v>
      </c>
      <c r="N511" s="22" t="str" cm="1">
        <f t="array" ref="N511">_xlfn.IFS(G511=0,"No Discount", ROUND(G511*100,0)&lt;=4,"Low", ROUND(G511*100,0)&lt;=9,"Medium", ROUND(G511*100,0)&lt;=15,"High")</f>
        <v>Medium</v>
      </c>
      <c r="O511" s="22" t="str">
        <f>TEXT(Table1[[#This Row],[Order date]],"mmmm")</f>
        <v>September</v>
      </c>
    </row>
    <row r="512" spans="1:15" ht="13.5" x14ac:dyDescent="0.25">
      <c r="A512" s="1" t="str">
        <f>"ORD"&amp;"-"&amp;_xlfn.XLOOKUP(C512,Guide!$B$22:$B$26,Guide!$C$22:$C$26)&amp;"-"&amp;_xlfn.XLOOKUP(D512,Guide!$B$29:$B$33,Guide!$C$29:$C$33)&amp;"-"&amp;TEXT(H512,"yyyymmdd")</f>
        <v>ORD-MXC-GOV-20140901</v>
      </c>
      <c r="B512" s="1" t="s">
        <v>520</v>
      </c>
      <c r="C512" s="1" t="s">
        <v>33</v>
      </c>
      <c r="D512" s="1" t="s">
        <v>39</v>
      </c>
      <c r="E512" s="1" t="s">
        <v>75</v>
      </c>
      <c r="F512" s="2">
        <v>2993</v>
      </c>
      <c r="G512" s="4">
        <v>0.08</v>
      </c>
      <c r="H512" s="3">
        <f t="shared" si="21"/>
        <v>41883</v>
      </c>
      <c r="I512" s="1">
        <f>_xlfn.XLOOKUP(E512,Product!$A$2:$A$7,Product!$C$2:$C$7)</f>
        <v>20</v>
      </c>
      <c r="J512" s="22">
        <f t="shared" si="22"/>
        <v>59860</v>
      </c>
      <c r="K512" s="22">
        <f t="shared" si="23"/>
        <v>55071.200000000004</v>
      </c>
      <c r="L512" s="22">
        <f>K512-(_xlfn.XLOOKUP(E512,Product!$A$2:$A$7,Product!$B$2:$B$7)*F512)</f>
        <v>25141.200000000004</v>
      </c>
      <c r="M512">
        <f>YEAR(Table1[[#This Row],[Order date]])</f>
        <v>2014</v>
      </c>
      <c r="N512" s="22" t="str" cm="1">
        <f t="array" ref="N512">_xlfn.IFS(G512=0,"No Discount", ROUND(G512*100,0)&lt;=4,"Low", ROUND(G512*100,0)&lt;=9,"Medium", ROUND(G512*100,0)&lt;=15,"High")</f>
        <v>Medium</v>
      </c>
      <c r="O512" s="22" t="str">
        <f>TEXT(Table1[[#This Row],[Order date]],"mmmm")</f>
        <v>September</v>
      </c>
    </row>
    <row r="513" spans="1:15" ht="13.5" x14ac:dyDescent="0.25">
      <c r="A513" s="1" t="str">
        <f>"ORD"&amp;"-"&amp;_xlfn.XLOOKUP(C513,Guide!$B$22:$B$26,Guide!$C$22:$C$26)&amp;"-"&amp;_xlfn.XLOOKUP(D513,Guide!$B$29:$B$33,Guide!$C$29:$C$33)&amp;"-"&amp;TEXT(H513,"yyyymmdd")</f>
        <v>ORD-CND-SMB-20140901</v>
      </c>
      <c r="B513" s="1" t="s">
        <v>521</v>
      </c>
      <c r="C513" s="1" t="s">
        <v>27</v>
      </c>
      <c r="D513" s="1" t="s">
        <v>47</v>
      </c>
      <c r="E513" s="1" t="s">
        <v>78</v>
      </c>
      <c r="F513" s="2">
        <v>2134</v>
      </c>
      <c r="G513" s="4">
        <v>0.08</v>
      </c>
      <c r="H513" s="3">
        <f t="shared" si="21"/>
        <v>41883</v>
      </c>
      <c r="I513" s="1">
        <f>_xlfn.XLOOKUP(E513,Product!$A$2:$A$7,Product!$C$2:$C$7)</f>
        <v>300</v>
      </c>
      <c r="J513" s="22">
        <f t="shared" si="22"/>
        <v>640200</v>
      </c>
      <c r="K513" s="22">
        <f t="shared" si="23"/>
        <v>588984</v>
      </c>
      <c r="L513" s="22">
        <f>K513-(_xlfn.XLOOKUP(E513,Product!$A$2:$A$7,Product!$B$2:$B$7)*F513)</f>
        <v>55484</v>
      </c>
      <c r="M513">
        <f>YEAR(Table1[[#This Row],[Order date]])</f>
        <v>2014</v>
      </c>
      <c r="N513" s="22" t="str" cm="1">
        <f t="array" ref="N513">_xlfn.IFS(G513=0,"No Discount", ROUND(G513*100,0)&lt;=4,"Low", ROUND(G513*100,0)&lt;=9,"Medium", ROUND(G513*100,0)&lt;=15,"High")</f>
        <v>Medium</v>
      </c>
      <c r="O513" s="22" t="str">
        <f>TEXT(Table1[[#This Row],[Order date]],"mmmm")</f>
        <v>September</v>
      </c>
    </row>
    <row r="514" spans="1:15" ht="13.5" x14ac:dyDescent="0.25">
      <c r="A514" s="1" t="str">
        <f>"ORD"&amp;"-"&amp;_xlfn.XLOOKUP(C514,Guide!$B$22:$B$26,Guide!$C$22:$C$26)&amp;"-"&amp;_xlfn.XLOOKUP(D514,Guide!$B$29:$B$33,Guide!$C$29:$C$33)&amp;"-"&amp;TEXT(H514,"yyyymmdd")</f>
        <v>ORD-CND-ENT-20140901</v>
      </c>
      <c r="B514" s="1" t="s">
        <v>522</v>
      </c>
      <c r="C514" s="1" t="s">
        <v>27</v>
      </c>
      <c r="D514" s="1" t="s">
        <v>45</v>
      </c>
      <c r="E514" s="1" t="s">
        <v>88</v>
      </c>
      <c r="F514" s="2">
        <v>567</v>
      </c>
      <c r="G514" s="4">
        <v>0.09</v>
      </c>
      <c r="H514" s="3">
        <f t="shared" ref="H514:H577" si="24">DATE(VALUE(_xlfn.TEXTBEFORE(_xlfn.TEXTAFTER(B514,"""year"": """),"""")),VALUE(_xlfn.TEXTBEFORE(_xlfn.TEXTAFTER(B514,"""month"": """),"""")),VALUE(_xlfn.TEXTBEFORE(_xlfn.TEXTAFTER(B514,"""date"": """),""""))
)</f>
        <v>41883</v>
      </c>
      <c r="I514" s="1">
        <f>_xlfn.XLOOKUP(E514,Product!$A$2:$A$7,Product!$C$2:$C$7)</f>
        <v>180</v>
      </c>
      <c r="J514" s="22">
        <f t="shared" ref="J514:J577" si="25">I514*F514</f>
        <v>102060</v>
      </c>
      <c r="K514" s="22">
        <f t="shared" ref="K514:K577" si="26">J514*(1-IF(G514="-",0,G514))</f>
        <v>92874.6</v>
      </c>
      <c r="L514" s="22">
        <f>K514-(_xlfn.XLOOKUP(E514,Product!$A$2:$A$7,Product!$B$2:$B$7)*F514)</f>
        <v>24834.600000000006</v>
      </c>
      <c r="M514">
        <f>YEAR(Table1[[#This Row],[Order date]])</f>
        <v>2014</v>
      </c>
      <c r="N514" s="22" t="str" cm="1">
        <f t="array" ref="N514">_xlfn.IFS(G514=0,"No Discount", ROUND(G514*100,0)&lt;=4,"Low", ROUND(G514*100,0)&lt;=9,"Medium", ROUND(G514*100,0)&lt;=15,"High")</f>
        <v>Medium</v>
      </c>
      <c r="O514" s="22" t="str">
        <f>TEXT(Table1[[#This Row],[Order date]],"mmmm")</f>
        <v>September</v>
      </c>
    </row>
    <row r="515" spans="1:15" ht="13.5" x14ac:dyDescent="0.25">
      <c r="A515" s="1" t="str">
        <f>"ORD"&amp;"-"&amp;_xlfn.XLOOKUP(C515,Guide!$B$22:$B$26,Guide!$C$22:$C$26)&amp;"-"&amp;_xlfn.XLOOKUP(D515,Guide!$B$29:$B$33,Guide!$C$29:$C$33)&amp;"-"&amp;TEXT(H515,"yyyymmdd")</f>
        <v>ORD-USA-SMB-20140901</v>
      </c>
      <c r="B515" s="1" t="s">
        <v>523</v>
      </c>
      <c r="C515" s="1" t="s">
        <v>35</v>
      </c>
      <c r="D515" s="1" t="s">
        <v>47</v>
      </c>
      <c r="E515" s="1" t="s">
        <v>78</v>
      </c>
      <c r="F515" s="2">
        <v>1867</v>
      </c>
      <c r="G515" s="4">
        <v>0.09</v>
      </c>
      <c r="H515" s="3">
        <f t="shared" si="24"/>
        <v>41883</v>
      </c>
      <c r="I515" s="1">
        <f>_xlfn.XLOOKUP(E515,Product!$A$2:$A$7,Product!$C$2:$C$7)</f>
        <v>300</v>
      </c>
      <c r="J515" s="22">
        <f t="shared" si="25"/>
        <v>560100</v>
      </c>
      <c r="K515" s="22">
        <f t="shared" si="26"/>
        <v>509691</v>
      </c>
      <c r="L515" s="22">
        <f>K515-(_xlfn.XLOOKUP(E515,Product!$A$2:$A$7,Product!$B$2:$B$7)*F515)</f>
        <v>42941</v>
      </c>
      <c r="M515">
        <f>YEAR(Table1[[#This Row],[Order date]])</f>
        <v>2014</v>
      </c>
      <c r="N515" s="22" t="str" cm="1">
        <f t="array" ref="N515">_xlfn.IFS(G515=0,"No Discount", ROUND(G515*100,0)&lt;=4,"Low", ROUND(G515*100,0)&lt;=9,"Medium", ROUND(G515*100,0)&lt;=15,"High")</f>
        <v>Medium</v>
      </c>
      <c r="O515" s="22" t="str">
        <f>TEXT(Table1[[#This Row],[Order date]],"mmmm")</f>
        <v>September</v>
      </c>
    </row>
    <row r="516" spans="1:15" ht="13.5" x14ac:dyDescent="0.25">
      <c r="A516" s="1" t="str">
        <f>"ORD"&amp;"-"&amp;_xlfn.XLOOKUP(C516,Guide!$B$22:$B$26,Guide!$C$22:$C$26)&amp;"-"&amp;_xlfn.XLOOKUP(D516,Guide!$B$29:$B$33,Guide!$C$29:$C$33)&amp;"-"&amp;TEXT(H516,"yyyymmdd")</f>
        <v>ORD-MXC-ENT-20140901</v>
      </c>
      <c r="B516" s="1" t="s">
        <v>524</v>
      </c>
      <c r="C516" s="1" t="s">
        <v>33</v>
      </c>
      <c r="D516" s="1" t="s">
        <v>45</v>
      </c>
      <c r="E516" s="1" t="s">
        <v>88</v>
      </c>
      <c r="F516" s="2">
        <v>2110</v>
      </c>
      <c r="G516" s="4">
        <v>0.09</v>
      </c>
      <c r="H516" s="3">
        <f t="shared" si="24"/>
        <v>41883</v>
      </c>
      <c r="I516" s="1">
        <f>_xlfn.XLOOKUP(E516,Product!$A$2:$A$7,Product!$C$2:$C$7)</f>
        <v>180</v>
      </c>
      <c r="J516" s="22">
        <f t="shared" si="25"/>
        <v>379800</v>
      </c>
      <c r="K516" s="22">
        <f t="shared" si="26"/>
        <v>345618</v>
      </c>
      <c r="L516" s="22">
        <f>K516-(_xlfn.XLOOKUP(E516,Product!$A$2:$A$7,Product!$B$2:$B$7)*F516)</f>
        <v>92418</v>
      </c>
      <c r="M516">
        <f>YEAR(Table1[[#This Row],[Order date]])</f>
        <v>2014</v>
      </c>
      <c r="N516" s="22" t="str" cm="1">
        <f t="array" ref="N516">_xlfn.IFS(G516=0,"No Discount", ROUND(G516*100,0)&lt;=4,"Low", ROUND(G516*100,0)&lt;=9,"Medium", ROUND(G516*100,0)&lt;=15,"High")</f>
        <v>Medium</v>
      </c>
      <c r="O516" s="22" t="str">
        <f>TEXT(Table1[[#This Row],[Order date]],"mmmm")</f>
        <v>September</v>
      </c>
    </row>
    <row r="517" spans="1:15" ht="13.5" x14ac:dyDescent="0.25">
      <c r="A517" s="1" t="str">
        <f>"ORD"&amp;"-"&amp;_xlfn.XLOOKUP(C517,Guide!$B$22:$B$26,Guide!$C$22:$C$26)&amp;"-"&amp;_xlfn.XLOOKUP(D517,Guide!$B$29:$B$33,Guide!$C$29:$C$33)&amp;"-"&amp;TEXT(H517,"yyyymmdd")</f>
        <v>ORD-USA-GOV-20140901</v>
      </c>
      <c r="B517" s="1" t="s">
        <v>525</v>
      </c>
      <c r="C517" s="1" t="s">
        <v>35</v>
      </c>
      <c r="D517" s="1" t="s">
        <v>39</v>
      </c>
      <c r="E517" s="1" t="s">
        <v>84</v>
      </c>
      <c r="F517" s="2">
        <v>2071</v>
      </c>
      <c r="G517" s="4">
        <v>0.09</v>
      </c>
      <c r="H517" s="3">
        <f t="shared" si="24"/>
        <v>41883</v>
      </c>
      <c r="I517" s="1">
        <f>_xlfn.XLOOKUP(E517,Product!$A$2:$A$7,Product!$C$2:$C$7)</f>
        <v>350</v>
      </c>
      <c r="J517" s="22">
        <f t="shared" si="25"/>
        <v>724850</v>
      </c>
      <c r="K517" s="22">
        <f t="shared" si="26"/>
        <v>659613.5</v>
      </c>
      <c r="L517" s="22">
        <f>K517-(_xlfn.XLOOKUP(E517,Product!$A$2:$A$7,Product!$B$2:$B$7)*F517)</f>
        <v>245413.5</v>
      </c>
      <c r="M517">
        <f>YEAR(Table1[[#This Row],[Order date]])</f>
        <v>2014</v>
      </c>
      <c r="N517" s="22" t="str" cm="1">
        <f t="array" ref="N517">_xlfn.IFS(G517=0,"No Discount", ROUND(G517*100,0)&lt;=4,"Low", ROUND(G517*100,0)&lt;=9,"Medium", ROUND(G517*100,0)&lt;=15,"High")</f>
        <v>Medium</v>
      </c>
      <c r="O517" s="22" t="str">
        <f>TEXT(Table1[[#This Row],[Order date]],"mmmm")</f>
        <v>September</v>
      </c>
    </row>
    <row r="518" spans="1:15" ht="13.5" x14ac:dyDescent="0.25">
      <c r="A518" s="1" t="str">
        <f>"ORD"&amp;"-"&amp;_xlfn.XLOOKUP(C518,Guide!$B$22:$B$26,Guide!$C$22:$C$26)&amp;"-"&amp;_xlfn.XLOOKUP(D518,Guide!$B$29:$B$33,Guide!$C$29:$C$33)&amp;"-"&amp;TEXT(H518,"yyyymmdd")</f>
        <v>ORD-GER-CPR-20140901</v>
      </c>
      <c r="B518" s="1" t="s">
        <v>526</v>
      </c>
      <c r="C518" s="1" t="s">
        <v>29</v>
      </c>
      <c r="D518" s="1" t="s">
        <v>43</v>
      </c>
      <c r="E518" s="1" t="s">
        <v>80</v>
      </c>
      <c r="F518" s="2">
        <v>1580</v>
      </c>
      <c r="G518" s="4">
        <v>9.0000000000000011E-2</v>
      </c>
      <c r="H518" s="3">
        <f t="shared" si="24"/>
        <v>41883</v>
      </c>
      <c r="I518" s="1">
        <f>_xlfn.XLOOKUP(E518,Product!$A$2:$A$7,Product!$C$2:$C$7)</f>
        <v>20</v>
      </c>
      <c r="J518" s="22">
        <f t="shared" si="25"/>
        <v>31600</v>
      </c>
      <c r="K518" s="22">
        <f t="shared" si="26"/>
        <v>28756</v>
      </c>
      <c r="L518" s="22">
        <f>K518-(_xlfn.XLOOKUP(E518,Product!$A$2:$A$7,Product!$B$2:$B$7)*F518)</f>
        <v>24016</v>
      </c>
      <c r="M518">
        <f>YEAR(Table1[[#This Row],[Order date]])</f>
        <v>2014</v>
      </c>
      <c r="N518" s="22" t="str" cm="1">
        <f t="array" ref="N518">_xlfn.IFS(G518=0,"No Discount", ROUND(G518*100,0)&lt;=4,"Low", ROUND(G518*100,0)&lt;=9,"Medium", ROUND(G518*100,0)&lt;=15,"High")</f>
        <v>Medium</v>
      </c>
      <c r="O518" s="22" t="str">
        <f>TEXT(Table1[[#This Row],[Order date]],"mmmm")</f>
        <v>September</v>
      </c>
    </row>
    <row r="519" spans="1:15" ht="13.5" x14ac:dyDescent="0.25">
      <c r="A519" s="1" t="str">
        <f>"ORD"&amp;"-"&amp;_xlfn.XLOOKUP(C519,Guide!$B$22:$B$26,Guide!$C$22:$C$26)&amp;"-"&amp;_xlfn.XLOOKUP(D519,Guide!$B$29:$B$33,Guide!$C$29:$C$33)&amp;"-"&amp;TEXT(H519,"yyyymmdd")</f>
        <v>ORD-USA-GOV-20140901</v>
      </c>
      <c r="B519" s="1" t="s">
        <v>527</v>
      </c>
      <c r="C519" s="1" t="s">
        <v>35</v>
      </c>
      <c r="D519" s="1" t="s">
        <v>39</v>
      </c>
      <c r="E519" s="1" t="s">
        <v>82</v>
      </c>
      <c r="F519" s="2">
        <v>2328</v>
      </c>
      <c r="G519" s="4">
        <v>9.9999999999999992E-2</v>
      </c>
      <c r="H519" s="3">
        <f t="shared" si="24"/>
        <v>41883</v>
      </c>
      <c r="I519" s="1">
        <f>_xlfn.XLOOKUP(E519,Product!$A$2:$A$7,Product!$C$2:$C$7)</f>
        <v>15</v>
      </c>
      <c r="J519" s="22">
        <f t="shared" si="25"/>
        <v>34920</v>
      </c>
      <c r="K519" s="22">
        <f t="shared" si="26"/>
        <v>31428</v>
      </c>
      <c r="L519" s="22">
        <f>K519-(_xlfn.XLOOKUP(E519,Product!$A$2:$A$7,Product!$B$2:$B$7)*F519)</f>
        <v>19788</v>
      </c>
      <c r="M519">
        <f>YEAR(Table1[[#This Row],[Order date]])</f>
        <v>2014</v>
      </c>
      <c r="N519" s="22" t="str" cm="1">
        <f t="array" ref="N519">_xlfn.IFS(G519=0,"No Discount", ROUND(G519*100,0)&lt;=4,"Low", ROUND(G519*100,0)&lt;=9,"Medium", ROUND(G519*100,0)&lt;=15,"High")</f>
        <v>High</v>
      </c>
      <c r="O519" s="22" t="str">
        <f>TEXT(Table1[[#This Row],[Order date]],"mmmm")</f>
        <v>September</v>
      </c>
    </row>
    <row r="520" spans="1:15" ht="13.5" x14ac:dyDescent="0.25">
      <c r="A520" s="1" t="str">
        <f>"ORD"&amp;"-"&amp;_xlfn.XLOOKUP(C520,Guide!$B$22:$B$26,Guide!$C$22:$C$26)&amp;"-"&amp;_xlfn.XLOOKUP(D520,Guide!$B$29:$B$33,Guide!$C$29:$C$33)&amp;"-"&amp;TEXT(H520,"yyyymmdd")</f>
        <v>ORD-MXC-SMB-20140901</v>
      </c>
      <c r="B520" s="1" t="s">
        <v>528</v>
      </c>
      <c r="C520" s="1" t="s">
        <v>33</v>
      </c>
      <c r="D520" s="1" t="s">
        <v>47</v>
      </c>
      <c r="E520" s="1" t="s">
        <v>78</v>
      </c>
      <c r="F520" s="2">
        <v>432</v>
      </c>
      <c r="G520" s="4">
        <v>0.1</v>
      </c>
      <c r="H520" s="3">
        <f t="shared" si="24"/>
        <v>41883</v>
      </c>
      <c r="I520" s="1">
        <f>_xlfn.XLOOKUP(E520,Product!$A$2:$A$7,Product!$C$2:$C$7)</f>
        <v>300</v>
      </c>
      <c r="J520" s="22">
        <f t="shared" si="25"/>
        <v>129600</v>
      </c>
      <c r="K520" s="22">
        <f t="shared" si="26"/>
        <v>116640</v>
      </c>
      <c r="L520" s="22">
        <f>K520-(_xlfn.XLOOKUP(E520,Product!$A$2:$A$7,Product!$B$2:$B$7)*F520)</f>
        <v>8640</v>
      </c>
      <c r="M520">
        <f>YEAR(Table1[[#This Row],[Order date]])</f>
        <v>2014</v>
      </c>
      <c r="N520" s="22" t="str" cm="1">
        <f t="array" ref="N520">_xlfn.IFS(G520=0,"No Discount", ROUND(G520*100,0)&lt;=4,"Low", ROUND(G520*100,0)&lt;=9,"Medium", ROUND(G520*100,0)&lt;=15,"High")</f>
        <v>High</v>
      </c>
      <c r="O520" s="22" t="str">
        <f>TEXT(Table1[[#This Row],[Order date]],"mmmm")</f>
        <v>September</v>
      </c>
    </row>
    <row r="521" spans="1:15" ht="13.5" x14ac:dyDescent="0.25">
      <c r="A521" s="1" t="str">
        <f>"ORD"&amp;"-"&amp;_xlfn.XLOOKUP(C521,Guide!$B$22:$B$26,Guide!$C$22:$C$26)&amp;"-"&amp;_xlfn.XLOOKUP(D521,Guide!$B$29:$B$33,Guide!$C$29:$C$33)&amp;"-"&amp;TEXT(H521,"yyyymmdd")</f>
        <v>ORD-USA-ENT-20140901</v>
      </c>
      <c r="B521" s="1" t="s">
        <v>529</v>
      </c>
      <c r="C521" s="1" t="s">
        <v>35</v>
      </c>
      <c r="D521" s="1" t="s">
        <v>45</v>
      </c>
      <c r="E521" s="1" t="s">
        <v>88</v>
      </c>
      <c r="F521" s="2">
        <v>1596</v>
      </c>
      <c r="G521" s="4">
        <v>0.1</v>
      </c>
      <c r="H521" s="3">
        <f t="shared" si="24"/>
        <v>41883</v>
      </c>
      <c r="I521" s="1">
        <f>_xlfn.XLOOKUP(E521,Product!$A$2:$A$7,Product!$C$2:$C$7)</f>
        <v>180</v>
      </c>
      <c r="J521" s="22">
        <f t="shared" si="25"/>
        <v>287280</v>
      </c>
      <c r="K521" s="22">
        <f t="shared" si="26"/>
        <v>258552</v>
      </c>
      <c r="L521" s="22">
        <f>K521-(_xlfn.XLOOKUP(E521,Product!$A$2:$A$7,Product!$B$2:$B$7)*F521)</f>
        <v>67032</v>
      </c>
      <c r="M521">
        <f>YEAR(Table1[[#This Row],[Order date]])</f>
        <v>2014</v>
      </c>
      <c r="N521" s="22" t="str" cm="1">
        <f t="array" ref="N521">_xlfn.IFS(G521=0,"No Discount", ROUND(G521*100,0)&lt;=4,"Low", ROUND(G521*100,0)&lt;=9,"Medium", ROUND(G521*100,0)&lt;=15,"High")</f>
        <v>High</v>
      </c>
      <c r="O521" s="22" t="str">
        <f>TEXT(Table1[[#This Row],[Order date]],"mmmm")</f>
        <v>September</v>
      </c>
    </row>
    <row r="522" spans="1:15" ht="13.5" x14ac:dyDescent="0.25">
      <c r="A522" s="1" t="str">
        <f>"ORD"&amp;"-"&amp;_xlfn.XLOOKUP(C522,Guide!$B$22:$B$26,Guide!$C$22:$C$26)&amp;"-"&amp;_xlfn.XLOOKUP(D522,Guide!$B$29:$B$33,Guide!$C$29:$C$33)&amp;"-"&amp;TEXT(H522,"yyyymmdd")</f>
        <v>ORD-CND-GOV-20140901</v>
      </c>
      <c r="B522" s="1" t="s">
        <v>530</v>
      </c>
      <c r="C522" s="1" t="s">
        <v>27</v>
      </c>
      <c r="D522" s="1" t="s">
        <v>39</v>
      </c>
      <c r="E522" s="1" t="s">
        <v>84</v>
      </c>
      <c r="F522" s="2">
        <v>707</v>
      </c>
      <c r="G522" s="4">
        <v>0.1</v>
      </c>
      <c r="H522" s="3">
        <f t="shared" si="24"/>
        <v>41883</v>
      </c>
      <c r="I522" s="1">
        <f>_xlfn.XLOOKUP(E522,Product!$A$2:$A$7,Product!$C$2:$C$7)</f>
        <v>350</v>
      </c>
      <c r="J522" s="22">
        <f t="shared" si="25"/>
        <v>247450</v>
      </c>
      <c r="K522" s="22">
        <f t="shared" si="26"/>
        <v>222705</v>
      </c>
      <c r="L522" s="22">
        <f>K522-(_xlfn.XLOOKUP(E522,Product!$A$2:$A$7,Product!$B$2:$B$7)*F522)</f>
        <v>81305</v>
      </c>
      <c r="M522">
        <f>YEAR(Table1[[#This Row],[Order date]])</f>
        <v>2014</v>
      </c>
      <c r="N522" s="22" t="str" cm="1">
        <f t="array" ref="N522">_xlfn.IFS(G522=0,"No Discount", ROUND(G522*100,0)&lt;=4,"Low", ROUND(G522*100,0)&lt;=9,"Medium", ROUND(G522*100,0)&lt;=15,"High")</f>
        <v>High</v>
      </c>
      <c r="O522" s="22" t="str">
        <f>TEXT(Table1[[#This Row],[Order date]],"mmmm")</f>
        <v>September</v>
      </c>
    </row>
    <row r="523" spans="1:15" ht="13.5" x14ac:dyDescent="0.25">
      <c r="A523" s="1" t="str">
        <f>"ORD"&amp;"-"&amp;_xlfn.XLOOKUP(C523,Guide!$B$22:$B$26,Guide!$C$22:$C$26)&amp;"-"&amp;_xlfn.XLOOKUP(D523,Guide!$B$29:$B$33,Guide!$C$29:$C$33)&amp;"-"&amp;TEXT(H523,"yyyymmdd")</f>
        <v>ORD-MXC-GOV-20140901</v>
      </c>
      <c r="B523" s="1" t="s">
        <v>531</v>
      </c>
      <c r="C523" s="1" t="s">
        <v>33</v>
      </c>
      <c r="D523" s="1" t="s">
        <v>39</v>
      </c>
      <c r="E523" s="1" t="s">
        <v>82</v>
      </c>
      <c r="F523" s="2">
        <v>2420</v>
      </c>
      <c r="G523" s="4">
        <v>0.12</v>
      </c>
      <c r="H523" s="3">
        <f t="shared" si="24"/>
        <v>41883</v>
      </c>
      <c r="I523" s="1">
        <f>_xlfn.XLOOKUP(E523,Product!$A$2:$A$7,Product!$C$2:$C$7)</f>
        <v>15</v>
      </c>
      <c r="J523" s="22">
        <f t="shared" si="25"/>
        <v>36300</v>
      </c>
      <c r="K523" s="22">
        <f t="shared" si="26"/>
        <v>31944</v>
      </c>
      <c r="L523" s="22">
        <f>K523-(_xlfn.XLOOKUP(E523,Product!$A$2:$A$7,Product!$B$2:$B$7)*F523)</f>
        <v>19844</v>
      </c>
      <c r="M523">
        <f>YEAR(Table1[[#This Row],[Order date]])</f>
        <v>2014</v>
      </c>
      <c r="N523" s="22" t="str" cm="1">
        <f t="array" ref="N523">_xlfn.IFS(G523=0,"No Discount", ROUND(G523*100,0)&lt;=4,"Low", ROUND(G523*100,0)&lt;=9,"Medium", ROUND(G523*100,0)&lt;=15,"High")</f>
        <v>High</v>
      </c>
      <c r="O523" s="22" t="str">
        <f>TEXT(Table1[[#This Row],[Order date]],"mmmm")</f>
        <v>September</v>
      </c>
    </row>
    <row r="524" spans="1:15" ht="13.5" x14ac:dyDescent="0.25">
      <c r="A524" s="1" t="str">
        <f>"ORD"&amp;"-"&amp;_xlfn.XLOOKUP(C524,Guide!$B$22:$B$26,Guide!$C$22:$C$26)&amp;"-"&amp;_xlfn.XLOOKUP(D524,Guide!$B$29:$B$33,Guide!$C$29:$C$33)&amp;"-"&amp;TEXT(H524,"yyyymmdd")</f>
        <v>ORD-USA-MDM-20140901</v>
      </c>
      <c r="B524" s="1" t="s">
        <v>532</v>
      </c>
      <c r="C524" s="1" t="s">
        <v>35</v>
      </c>
      <c r="D524" s="1" t="s">
        <v>41</v>
      </c>
      <c r="E524" s="1" t="s">
        <v>75</v>
      </c>
      <c r="F524" s="2">
        <v>1767</v>
      </c>
      <c r="G524" s="4">
        <v>0.13999999999999999</v>
      </c>
      <c r="H524" s="3">
        <f t="shared" si="24"/>
        <v>41883</v>
      </c>
      <c r="I524" s="1">
        <f>_xlfn.XLOOKUP(E524,Product!$A$2:$A$7,Product!$C$2:$C$7)</f>
        <v>20</v>
      </c>
      <c r="J524" s="22">
        <f t="shared" si="25"/>
        <v>35340</v>
      </c>
      <c r="K524" s="22">
        <f t="shared" si="26"/>
        <v>30392.399999999998</v>
      </c>
      <c r="L524" s="22">
        <f>K524-(_xlfn.XLOOKUP(E524,Product!$A$2:$A$7,Product!$B$2:$B$7)*F524)</f>
        <v>12722.399999999998</v>
      </c>
      <c r="M524">
        <f>YEAR(Table1[[#This Row],[Order date]])</f>
        <v>2014</v>
      </c>
      <c r="N524" s="22" t="str" cm="1">
        <f t="array" ref="N524">_xlfn.IFS(G524=0,"No Discount", ROUND(G524*100,0)&lt;=4,"Low", ROUND(G524*100,0)&lt;=9,"Medium", ROUND(G524*100,0)&lt;=15,"High")</f>
        <v>High</v>
      </c>
      <c r="O524" s="22" t="str">
        <f>TEXT(Table1[[#This Row],[Order date]],"mmmm")</f>
        <v>September</v>
      </c>
    </row>
    <row r="525" spans="1:15" ht="13.5" x14ac:dyDescent="0.25">
      <c r="A525" s="1" t="str">
        <f>"ORD"&amp;"-"&amp;_xlfn.XLOOKUP(C525,Guide!$B$22:$B$26,Guide!$C$22:$C$26)&amp;"-"&amp;_xlfn.XLOOKUP(D525,Guide!$B$29:$B$33,Guide!$C$29:$C$33)&amp;"-"&amp;TEXT(H525,"yyyymmdd")</f>
        <v>ORD-CND-GOV-20140901</v>
      </c>
      <c r="B525" s="1" t="s">
        <v>533</v>
      </c>
      <c r="C525" s="1" t="s">
        <v>27</v>
      </c>
      <c r="D525" s="1" t="s">
        <v>39</v>
      </c>
      <c r="E525" s="1" t="s">
        <v>82</v>
      </c>
      <c r="F525" s="2">
        <v>388</v>
      </c>
      <c r="G525" s="4">
        <v>0.14000000000000001</v>
      </c>
      <c r="H525" s="3">
        <f t="shared" si="24"/>
        <v>41883</v>
      </c>
      <c r="I525" s="1">
        <f>_xlfn.XLOOKUP(E525,Product!$A$2:$A$7,Product!$C$2:$C$7)</f>
        <v>15</v>
      </c>
      <c r="J525" s="22">
        <f t="shared" si="25"/>
        <v>5820</v>
      </c>
      <c r="K525" s="22">
        <f t="shared" si="26"/>
        <v>5005.2</v>
      </c>
      <c r="L525" s="22">
        <f>K525-(_xlfn.XLOOKUP(E525,Product!$A$2:$A$7,Product!$B$2:$B$7)*F525)</f>
        <v>3065.2</v>
      </c>
      <c r="M525">
        <f>YEAR(Table1[[#This Row],[Order date]])</f>
        <v>2014</v>
      </c>
      <c r="N525" s="22" t="str" cm="1">
        <f t="array" ref="N525">_xlfn.IFS(G525=0,"No Discount", ROUND(G525*100,0)&lt;=4,"Low", ROUND(G525*100,0)&lt;=9,"Medium", ROUND(G525*100,0)&lt;=15,"High")</f>
        <v>High</v>
      </c>
      <c r="O525" s="22" t="str">
        <f>TEXT(Table1[[#This Row],[Order date]],"mmmm")</f>
        <v>September</v>
      </c>
    </row>
    <row r="526" spans="1:15" ht="13.5" x14ac:dyDescent="0.25">
      <c r="A526" s="1" t="str">
        <f>"ORD"&amp;"-"&amp;_xlfn.XLOOKUP(C526,Guide!$B$22:$B$26,Guide!$C$22:$C$26)&amp;"-"&amp;_xlfn.XLOOKUP(D526,Guide!$B$29:$B$33,Guide!$C$29:$C$33)&amp;"-"&amp;TEXT(H526,"yyyymmdd")</f>
        <v>ORD-FRA-ENT-20140901</v>
      </c>
      <c r="B526" s="1" t="s">
        <v>534</v>
      </c>
      <c r="C526" s="1" t="s">
        <v>31</v>
      </c>
      <c r="D526" s="1" t="s">
        <v>45</v>
      </c>
      <c r="E526" s="1" t="s">
        <v>88</v>
      </c>
      <c r="F526" s="2">
        <v>663</v>
      </c>
      <c r="G526" s="4">
        <v>0.15</v>
      </c>
      <c r="H526" s="3">
        <f t="shared" si="24"/>
        <v>41883</v>
      </c>
      <c r="I526" s="1">
        <f>_xlfn.XLOOKUP(E526,Product!$A$2:$A$7,Product!$C$2:$C$7)</f>
        <v>180</v>
      </c>
      <c r="J526" s="22">
        <f t="shared" si="25"/>
        <v>119340</v>
      </c>
      <c r="K526" s="22">
        <f t="shared" si="26"/>
        <v>101439</v>
      </c>
      <c r="L526" s="22">
        <f>K526-(_xlfn.XLOOKUP(E526,Product!$A$2:$A$7,Product!$B$2:$B$7)*F526)</f>
        <v>21879</v>
      </c>
      <c r="M526">
        <f>YEAR(Table1[[#This Row],[Order date]])</f>
        <v>2014</v>
      </c>
      <c r="N526" s="22" t="str" cm="1">
        <f t="array" ref="N526">_xlfn.IFS(G526=0,"No Discount", ROUND(G526*100,0)&lt;=4,"Low", ROUND(G526*100,0)&lt;=9,"Medium", ROUND(G526*100,0)&lt;=15,"High")</f>
        <v>High</v>
      </c>
      <c r="O526" s="22" t="str">
        <f>TEXT(Table1[[#This Row],[Order date]],"mmmm")</f>
        <v>September</v>
      </c>
    </row>
    <row r="527" spans="1:15" ht="13.5" x14ac:dyDescent="0.25">
      <c r="A527" s="1" t="str">
        <f>"ORD"&amp;"-"&amp;_xlfn.XLOOKUP(C527,Guide!$B$22:$B$26,Guide!$C$22:$C$26)&amp;"-"&amp;_xlfn.XLOOKUP(D527,Guide!$B$29:$B$33,Guide!$C$29:$C$33)&amp;"-"&amp;TEXT(H527,"yyyymmdd")</f>
        <v>ORD-USA-GOV-20141001</v>
      </c>
      <c r="B527" s="1" t="s">
        <v>535</v>
      </c>
      <c r="C527" s="1" t="s">
        <v>35</v>
      </c>
      <c r="D527" s="1" t="s">
        <v>39</v>
      </c>
      <c r="E527" s="1" t="s">
        <v>75</v>
      </c>
      <c r="F527" s="2">
        <v>1143</v>
      </c>
      <c r="G527" s="4">
        <v>0</v>
      </c>
      <c r="H527" s="3">
        <f t="shared" si="24"/>
        <v>41913</v>
      </c>
      <c r="I527" s="1">
        <f>_xlfn.XLOOKUP(E527,Product!$A$2:$A$7,Product!$C$2:$C$7)</f>
        <v>20</v>
      </c>
      <c r="J527" s="22">
        <f t="shared" si="25"/>
        <v>22860</v>
      </c>
      <c r="K527" s="22">
        <f t="shared" si="26"/>
        <v>22860</v>
      </c>
      <c r="L527" s="22">
        <f>K527-(_xlfn.XLOOKUP(E527,Product!$A$2:$A$7,Product!$B$2:$B$7)*F527)</f>
        <v>11430</v>
      </c>
      <c r="M527">
        <f>YEAR(Table1[[#This Row],[Order date]])</f>
        <v>2014</v>
      </c>
      <c r="N527" s="22" t="str" cm="1">
        <f t="array" ref="N527">_xlfn.IFS(G527=0,"No Discount", ROUND(G527*100,0)&lt;=4,"Low", ROUND(G527*100,0)&lt;=9,"Medium", ROUND(G527*100,0)&lt;=15,"High")</f>
        <v>No Discount</v>
      </c>
      <c r="O527" s="22" t="str">
        <f>TEXT(Table1[[#This Row],[Order date]],"mmmm")</f>
        <v>October</v>
      </c>
    </row>
    <row r="528" spans="1:15" ht="13.5" x14ac:dyDescent="0.25">
      <c r="A528" s="1" t="str">
        <f>"ORD"&amp;"-"&amp;_xlfn.XLOOKUP(C528,Guide!$B$22:$B$26,Guide!$C$22:$C$26)&amp;"-"&amp;_xlfn.XLOOKUP(D528,Guide!$B$29:$B$33,Guide!$C$29:$C$33)&amp;"-"&amp;TEXT(H528,"yyyymmdd")</f>
        <v>ORD-USA-GOV-20141001</v>
      </c>
      <c r="B528" s="1" t="s">
        <v>535</v>
      </c>
      <c r="C528" s="1" t="s">
        <v>35</v>
      </c>
      <c r="D528" s="1" t="s">
        <v>39</v>
      </c>
      <c r="E528" s="1" t="s">
        <v>84</v>
      </c>
      <c r="F528" s="2">
        <v>1143</v>
      </c>
      <c r="G528" s="4">
        <v>0</v>
      </c>
      <c r="H528" s="3">
        <f t="shared" si="24"/>
        <v>41913</v>
      </c>
      <c r="I528" s="1">
        <f>_xlfn.XLOOKUP(E528,Product!$A$2:$A$7,Product!$C$2:$C$7)</f>
        <v>350</v>
      </c>
      <c r="J528" s="22">
        <f t="shared" si="25"/>
        <v>400050</v>
      </c>
      <c r="K528" s="22">
        <f t="shared" si="26"/>
        <v>400050</v>
      </c>
      <c r="L528" s="22">
        <f>K528-(_xlfn.XLOOKUP(E528,Product!$A$2:$A$7,Product!$B$2:$B$7)*F528)</f>
        <v>171450</v>
      </c>
      <c r="M528">
        <f>YEAR(Table1[[#This Row],[Order date]])</f>
        <v>2014</v>
      </c>
      <c r="N528" s="22" t="str" cm="1">
        <f t="array" ref="N528">_xlfn.IFS(G528=0,"No Discount", ROUND(G528*100,0)&lt;=4,"Low", ROUND(G528*100,0)&lt;=9,"Medium", ROUND(G528*100,0)&lt;=15,"High")</f>
        <v>No Discount</v>
      </c>
      <c r="O528" s="22" t="str">
        <f>TEXT(Table1[[#This Row],[Order date]],"mmmm")</f>
        <v>October</v>
      </c>
    </row>
    <row r="529" spans="1:15" ht="13.5" x14ac:dyDescent="0.25">
      <c r="A529" s="1" t="str">
        <f>"ORD"&amp;"-"&amp;_xlfn.XLOOKUP(C529,Guide!$B$22:$B$26,Guide!$C$22:$C$26)&amp;"-"&amp;_xlfn.XLOOKUP(D529,Guide!$B$29:$B$33,Guide!$C$29:$C$33)&amp;"-"&amp;TEXT(H529,"yyyymmdd")</f>
        <v>ORD-MXC-GOV-20141001</v>
      </c>
      <c r="B529" s="1" t="s">
        <v>536</v>
      </c>
      <c r="C529" s="1" t="s">
        <v>33</v>
      </c>
      <c r="D529" s="1" t="s">
        <v>39</v>
      </c>
      <c r="E529" s="1" t="s">
        <v>80</v>
      </c>
      <c r="F529" s="2">
        <v>1397</v>
      </c>
      <c r="G529" s="4">
        <v>0.01</v>
      </c>
      <c r="H529" s="3">
        <f t="shared" si="24"/>
        <v>41913</v>
      </c>
      <c r="I529" s="1">
        <f>_xlfn.XLOOKUP(E529,Product!$A$2:$A$7,Product!$C$2:$C$7)</f>
        <v>20</v>
      </c>
      <c r="J529" s="22">
        <f t="shared" si="25"/>
        <v>27940</v>
      </c>
      <c r="K529" s="22">
        <f t="shared" si="26"/>
        <v>27660.6</v>
      </c>
      <c r="L529" s="22">
        <f>K529-(_xlfn.XLOOKUP(E529,Product!$A$2:$A$7,Product!$B$2:$B$7)*F529)</f>
        <v>23469.599999999999</v>
      </c>
      <c r="M529">
        <f>YEAR(Table1[[#This Row],[Order date]])</f>
        <v>2014</v>
      </c>
      <c r="N529" s="22" t="str" cm="1">
        <f t="array" ref="N529">_xlfn.IFS(G529=0,"No Discount", ROUND(G529*100,0)&lt;=4,"Low", ROUND(G529*100,0)&lt;=9,"Medium", ROUND(G529*100,0)&lt;=15,"High")</f>
        <v>Low</v>
      </c>
      <c r="O529" s="22" t="str">
        <f>TEXT(Table1[[#This Row],[Order date]],"mmmm")</f>
        <v>October</v>
      </c>
    </row>
    <row r="530" spans="1:15" ht="13.5" x14ac:dyDescent="0.25">
      <c r="A530" s="1" t="str">
        <f>"ORD"&amp;"-"&amp;_xlfn.XLOOKUP(C530,Guide!$B$22:$B$26,Guide!$C$22:$C$26)&amp;"-"&amp;_xlfn.XLOOKUP(D530,Guide!$B$29:$B$33,Guide!$C$29:$C$33)&amp;"-"&amp;TEXT(H530,"yyyymmdd")</f>
        <v>ORD-MXC-GOV-20141001</v>
      </c>
      <c r="B530" s="1" t="s">
        <v>536</v>
      </c>
      <c r="C530" s="1" t="s">
        <v>33</v>
      </c>
      <c r="D530" s="1" t="s">
        <v>39</v>
      </c>
      <c r="E530" s="1" t="s">
        <v>78</v>
      </c>
      <c r="F530" s="2">
        <v>1397</v>
      </c>
      <c r="G530" s="4">
        <v>0.01</v>
      </c>
      <c r="H530" s="3">
        <f t="shared" si="24"/>
        <v>41913</v>
      </c>
      <c r="I530" s="1">
        <f>_xlfn.XLOOKUP(E530,Product!$A$2:$A$7,Product!$C$2:$C$7)</f>
        <v>300</v>
      </c>
      <c r="J530" s="22">
        <f t="shared" si="25"/>
        <v>419100</v>
      </c>
      <c r="K530" s="22">
        <f t="shared" si="26"/>
        <v>414909</v>
      </c>
      <c r="L530" s="22">
        <f>K530-(_xlfn.XLOOKUP(E530,Product!$A$2:$A$7,Product!$B$2:$B$7)*F530)</f>
        <v>65659</v>
      </c>
      <c r="M530">
        <f>YEAR(Table1[[#This Row],[Order date]])</f>
        <v>2014</v>
      </c>
      <c r="N530" s="22" t="str" cm="1">
        <f t="array" ref="N530">_xlfn.IFS(G530=0,"No Discount", ROUND(G530*100,0)&lt;=4,"Low", ROUND(G530*100,0)&lt;=9,"Medium", ROUND(G530*100,0)&lt;=15,"High")</f>
        <v>Low</v>
      </c>
      <c r="O530" s="22" t="str">
        <f>TEXT(Table1[[#This Row],[Order date]],"mmmm")</f>
        <v>October</v>
      </c>
    </row>
    <row r="531" spans="1:15" ht="13.5" x14ac:dyDescent="0.25">
      <c r="A531" s="1" t="str">
        <f>"ORD"&amp;"-"&amp;_xlfn.XLOOKUP(C531,Guide!$B$22:$B$26,Guide!$C$22:$C$26)&amp;"-"&amp;_xlfn.XLOOKUP(D531,Guide!$B$29:$B$33,Guide!$C$29:$C$33)&amp;"-"&amp;TEXT(H531,"yyyymmdd")</f>
        <v>ORD-CND-CPR-20141001</v>
      </c>
      <c r="B531" s="1" t="s">
        <v>537</v>
      </c>
      <c r="C531" s="1" t="s">
        <v>27</v>
      </c>
      <c r="D531" s="1" t="s">
        <v>43</v>
      </c>
      <c r="E531" s="1" t="s">
        <v>75</v>
      </c>
      <c r="F531" s="2">
        <v>1295</v>
      </c>
      <c r="G531" s="4">
        <v>0.02</v>
      </c>
      <c r="H531" s="3">
        <f t="shared" si="24"/>
        <v>41913</v>
      </c>
      <c r="I531" s="1">
        <f>_xlfn.XLOOKUP(E531,Product!$A$2:$A$7,Product!$C$2:$C$7)</f>
        <v>20</v>
      </c>
      <c r="J531" s="22">
        <f t="shared" si="25"/>
        <v>25900</v>
      </c>
      <c r="K531" s="22">
        <f t="shared" si="26"/>
        <v>25382</v>
      </c>
      <c r="L531" s="22">
        <f>K531-(_xlfn.XLOOKUP(E531,Product!$A$2:$A$7,Product!$B$2:$B$7)*F531)</f>
        <v>12432</v>
      </c>
      <c r="M531">
        <f>YEAR(Table1[[#This Row],[Order date]])</f>
        <v>2014</v>
      </c>
      <c r="N531" s="22" t="str" cm="1">
        <f t="array" ref="N531">_xlfn.IFS(G531=0,"No Discount", ROUND(G531*100,0)&lt;=4,"Low", ROUND(G531*100,0)&lt;=9,"Medium", ROUND(G531*100,0)&lt;=15,"High")</f>
        <v>Low</v>
      </c>
      <c r="O531" s="22" t="str">
        <f>TEXT(Table1[[#This Row],[Order date]],"mmmm")</f>
        <v>October</v>
      </c>
    </row>
    <row r="532" spans="1:15" ht="13.5" x14ac:dyDescent="0.25">
      <c r="A532" s="1" t="str">
        <f>"ORD"&amp;"-"&amp;_xlfn.XLOOKUP(C532,Guide!$B$22:$B$26,Guide!$C$22:$C$26)&amp;"-"&amp;_xlfn.XLOOKUP(D532,Guide!$B$29:$B$33,Guide!$C$29:$C$33)&amp;"-"&amp;TEXT(H532,"yyyymmdd")</f>
        <v>ORD-USA-GOV-20141001</v>
      </c>
      <c r="B532" s="1" t="s">
        <v>538</v>
      </c>
      <c r="C532" s="1" t="s">
        <v>35</v>
      </c>
      <c r="D532" s="1" t="s">
        <v>39</v>
      </c>
      <c r="E532" s="1" t="s">
        <v>82</v>
      </c>
      <c r="F532" s="2">
        <v>1566</v>
      </c>
      <c r="G532" s="4">
        <v>0.02</v>
      </c>
      <c r="H532" s="3">
        <f t="shared" si="24"/>
        <v>41913</v>
      </c>
      <c r="I532" s="1">
        <f>_xlfn.XLOOKUP(E532,Product!$A$2:$A$7,Product!$C$2:$C$7)</f>
        <v>15</v>
      </c>
      <c r="J532" s="22">
        <f t="shared" si="25"/>
        <v>23490</v>
      </c>
      <c r="K532" s="22">
        <f t="shared" si="26"/>
        <v>23020.2</v>
      </c>
      <c r="L532" s="22">
        <f>K532-(_xlfn.XLOOKUP(E532,Product!$A$2:$A$7,Product!$B$2:$B$7)*F532)</f>
        <v>15190.2</v>
      </c>
      <c r="M532">
        <f>YEAR(Table1[[#This Row],[Order date]])</f>
        <v>2014</v>
      </c>
      <c r="N532" s="22" t="str" cm="1">
        <f t="array" ref="N532">_xlfn.IFS(G532=0,"No Discount", ROUND(G532*100,0)&lt;=4,"Low", ROUND(G532*100,0)&lt;=9,"Medium", ROUND(G532*100,0)&lt;=15,"High")</f>
        <v>Low</v>
      </c>
      <c r="O532" s="22" t="str">
        <f>TEXT(Table1[[#This Row],[Order date]],"mmmm")</f>
        <v>October</v>
      </c>
    </row>
    <row r="533" spans="1:15" ht="13.5" x14ac:dyDescent="0.25">
      <c r="A533" s="1" t="str">
        <f>"ORD"&amp;"-"&amp;_xlfn.XLOOKUP(C533,Guide!$B$22:$B$26,Guide!$C$22:$C$26)&amp;"-"&amp;_xlfn.XLOOKUP(D533,Guide!$B$29:$B$33,Guide!$C$29:$C$33)&amp;"-"&amp;TEXT(H533,"yyyymmdd")</f>
        <v>ORD-CND-CPR-20141001</v>
      </c>
      <c r="B533" s="1" t="s">
        <v>537</v>
      </c>
      <c r="C533" s="1" t="s">
        <v>27</v>
      </c>
      <c r="D533" s="1" t="s">
        <v>43</v>
      </c>
      <c r="E533" s="1" t="s">
        <v>80</v>
      </c>
      <c r="F533" s="2">
        <v>1295</v>
      </c>
      <c r="G533" s="4">
        <v>0.02</v>
      </c>
      <c r="H533" s="3">
        <f t="shared" si="24"/>
        <v>41913</v>
      </c>
      <c r="I533" s="1">
        <f>_xlfn.XLOOKUP(E533,Product!$A$2:$A$7,Product!$C$2:$C$7)</f>
        <v>20</v>
      </c>
      <c r="J533" s="22">
        <f t="shared" si="25"/>
        <v>25900</v>
      </c>
      <c r="K533" s="22">
        <f t="shared" si="26"/>
        <v>25382</v>
      </c>
      <c r="L533" s="22">
        <f>K533-(_xlfn.XLOOKUP(E533,Product!$A$2:$A$7,Product!$B$2:$B$7)*F533)</f>
        <v>21497</v>
      </c>
      <c r="M533">
        <f>YEAR(Table1[[#This Row],[Order date]])</f>
        <v>2014</v>
      </c>
      <c r="N533" s="22" t="str" cm="1">
        <f t="array" ref="N533">_xlfn.IFS(G533=0,"No Discount", ROUND(G533*100,0)&lt;=4,"Low", ROUND(G533*100,0)&lt;=9,"Medium", ROUND(G533*100,0)&lt;=15,"High")</f>
        <v>Low</v>
      </c>
      <c r="O533" s="22" t="str">
        <f>TEXT(Table1[[#This Row],[Order date]],"mmmm")</f>
        <v>October</v>
      </c>
    </row>
    <row r="534" spans="1:15" ht="13.5" x14ac:dyDescent="0.25">
      <c r="A534" s="1" t="str">
        <f>"ORD"&amp;"-"&amp;_xlfn.XLOOKUP(C534,Guide!$B$22:$B$26,Guide!$C$22:$C$26)&amp;"-"&amp;_xlfn.XLOOKUP(D534,Guide!$B$29:$B$33,Guide!$C$29:$C$33)&amp;"-"&amp;TEXT(H534,"yyyymmdd")</f>
        <v>ORD-USA-GOV-20141001</v>
      </c>
      <c r="B534" s="1" t="s">
        <v>538</v>
      </c>
      <c r="C534" s="1" t="s">
        <v>35</v>
      </c>
      <c r="D534" s="1" t="s">
        <v>39</v>
      </c>
      <c r="E534" s="1" t="s">
        <v>88</v>
      </c>
      <c r="F534" s="2">
        <v>1566</v>
      </c>
      <c r="G534" s="4">
        <v>0.02</v>
      </c>
      <c r="H534" s="3">
        <f t="shared" si="24"/>
        <v>41913</v>
      </c>
      <c r="I534" s="1">
        <f>_xlfn.XLOOKUP(E534,Product!$A$2:$A$7,Product!$C$2:$C$7)</f>
        <v>180</v>
      </c>
      <c r="J534" s="22">
        <f t="shared" si="25"/>
        <v>281880</v>
      </c>
      <c r="K534" s="22">
        <f t="shared" si="26"/>
        <v>276242.40000000002</v>
      </c>
      <c r="L534" s="22">
        <f>K534-(_xlfn.XLOOKUP(E534,Product!$A$2:$A$7,Product!$B$2:$B$7)*F534)</f>
        <v>88322.400000000023</v>
      </c>
      <c r="M534">
        <f>YEAR(Table1[[#This Row],[Order date]])</f>
        <v>2014</v>
      </c>
      <c r="N534" s="22" t="str" cm="1">
        <f t="array" ref="N534">_xlfn.IFS(G534=0,"No Discount", ROUND(G534*100,0)&lt;=4,"Low", ROUND(G534*100,0)&lt;=9,"Medium", ROUND(G534*100,0)&lt;=15,"High")</f>
        <v>Low</v>
      </c>
      <c r="O534" s="22" t="str">
        <f>TEXT(Table1[[#This Row],[Order date]],"mmmm")</f>
        <v>October</v>
      </c>
    </row>
    <row r="535" spans="1:15" ht="13.5" x14ac:dyDescent="0.25">
      <c r="A535" s="1" t="str">
        <f>"ORD"&amp;"-"&amp;_xlfn.XLOOKUP(C535,Guide!$B$22:$B$26,Guide!$C$22:$C$26)&amp;"-"&amp;_xlfn.XLOOKUP(D535,Guide!$B$29:$B$33,Guide!$C$29:$C$33)&amp;"-"&amp;TEXT(H535,"yyyymmdd")</f>
        <v>ORD-GER-GOV-20141001</v>
      </c>
      <c r="B535" s="1" t="s">
        <v>539</v>
      </c>
      <c r="C535" s="1" t="s">
        <v>29</v>
      </c>
      <c r="D535" s="1" t="s">
        <v>39</v>
      </c>
      <c r="E535" s="1" t="s">
        <v>78</v>
      </c>
      <c r="F535" s="2">
        <v>2877</v>
      </c>
      <c r="G535" s="4">
        <v>0.02</v>
      </c>
      <c r="H535" s="3">
        <f t="shared" si="24"/>
        <v>41913</v>
      </c>
      <c r="I535" s="1">
        <f>_xlfn.XLOOKUP(E535,Product!$A$2:$A$7,Product!$C$2:$C$7)</f>
        <v>300</v>
      </c>
      <c r="J535" s="22">
        <f t="shared" si="25"/>
        <v>863100</v>
      </c>
      <c r="K535" s="22">
        <f t="shared" si="26"/>
        <v>845838</v>
      </c>
      <c r="L535" s="22">
        <f>K535-(_xlfn.XLOOKUP(E535,Product!$A$2:$A$7,Product!$B$2:$B$7)*F535)</f>
        <v>126588</v>
      </c>
      <c r="M535">
        <f>YEAR(Table1[[#This Row],[Order date]])</f>
        <v>2014</v>
      </c>
      <c r="N535" s="22" t="str" cm="1">
        <f t="array" ref="N535">_xlfn.IFS(G535=0,"No Discount", ROUND(G535*100,0)&lt;=4,"Low", ROUND(G535*100,0)&lt;=9,"Medium", ROUND(G535*100,0)&lt;=15,"High")</f>
        <v>Low</v>
      </c>
      <c r="O535" s="22" t="str">
        <f>TEXT(Table1[[#This Row],[Order date]],"mmmm")</f>
        <v>October</v>
      </c>
    </row>
    <row r="536" spans="1:15" ht="13.5" x14ac:dyDescent="0.25">
      <c r="A536" s="1" t="str">
        <f>"ORD"&amp;"-"&amp;_xlfn.XLOOKUP(C536,Guide!$B$22:$B$26,Guide!$C$22:$C$26)&amp;"-"&amp;_xlfn.XLOOKUP(D536,Guide!$B$29:$B$33,Guide!$C$29:$C$33)&amp;"-"&amp;TEXT(H536,"yyyymmdd")</f>
        <v>ORD-GER-GOV-20141001</v>
      </c>
      <c r="B536" s="1" t="s">
        <v>539</v>
      </c>
      <c r="C536" s="1" t="s">
        <v>29</v>
      </c>
      <c r="D536" s="1" t="s">
        <v>39</v>
      </c>
      <c r="E536" s="1" t="s">
        <v>88</v>
      </c>
      <c r="F536" s="2">
        <v>2877</v>
      </c>
      <c r="G536" s="4">
        <v>0.02</v>
      </c>
      <c r="H536" s="3">
        <f t="shared" si="24"/>
        <v>41913</v>
      </c>
      <c r="I536" s="1">
        <f>_xlfn.XLOOKUP(E536,Product!$A$2:$A$7,Product!$C$2:$C$7)</f>
        <v>180</v>
      </c>
      <c r="J536" s="22">
        <f t="shared" si="25"/>
        <v>517860</v>
      </c>
      <c r="K536" s="22">
        <f t="shared" si="26"/>
        <v>507502.8</v>
      </c>
      <c r="L536" s="22">
        <f>K536-(_xlfn.XLOOKUP(E536,Product!$A$2:$A$7,Product!$B$2:$B$7)*F536)</f>
        <v>162262.79999999999</v>
      </c>
      <c r="M536">
        <f>YEAR(Table1[[#This Row],[Order date]])</f>
        <v>2014</v>
      </c>
      <c r="N536" s="22" t="str" cm="1">
        <f t="array" ref="N536">_xlfn.IFS(G536=0,"No Discount", ROUND(G536*100,0)&lt;=4,"Low", ROUND(G536*100,0)&lt;=9,"Medium", ROUND(G536*100,0)&lt;=15,"High")</f>
        <v>Low</v>
      </c>
      <c r="O536" s="22" t="str">
        <f>TEXT(Table1[[#This Row],[Order date]],"mmmm")</f>
        <v>October</v>
      </c>
    </row>
    <row r="537" spans="1:15" ht="13.5" x14ac:dyDescent="0.25">
      <c r="A537" s="1" t="str">
        <f>"ORD"&amp;"-"&amp;_xlfn.XLOOKUP(C537,Guide!$B$22:$B$26,Guide!$C$22:$C$26)&amp;"-"&amp;_xlfn.XLOOKUP(D537,Guide!$B$29:$B$33,Guide!$C$29:$C$33)&amp;"-"&amp;TEXT(H537,"yyyymmdd")</f>
        <v>ORD-CND-ENT-20141001</v>
      </c>
      <c r="B537" s="1" t="s">
        <v>540</v>
      </c>
      <c r="C537" s="1" t="s">
        <v>27</v>
      </c>
      <c r="D537" s="1" t="s">
        <v>45</v>
      </c>
      <c r="E537" s="1" t="s">
        <v>75</v>
      </c>
      <c r="F537" s="2">
        <v>2009</v>
      </c>
      <c r="G537" s="4">
        <v>0.03</v>
      </c>
      <c r="H537" s="3">
        <f t="shared" si="24"/>
        <v>41913</v>
      </c>
      <c r="I537" s="1">
        <f>_xlfn.XLOOKUP(E537,Product!$A$2:$A$7,Product!$C$2:$C$7)</f>
        <v>20</v>
      </c>
      <c r="J537" s="22">
        <f t="shared" si="25"/>
        <v>40180</v>
      </c>
      <c r="K537" s="22">
        <f t="shared" si="26"/>
        <v>38974.6</v>
      </c>
      <c r="L537" s="22">
        <f>K537-(_xlfn.XLOOKUP(E537,Product!$A$2:$A$7,Product!$B$2:$B$7)*F537)</f>
        <v>18884.599999999999</v>
      </c>
      <c r="M537">
        <f>YEAR(Table1[[#This Row],[Order date]])</f>
        <v>2014</v>
      </c>
      <c r="N537" s="22" t="str" cm="1">
        <f t="array" ref="N537">_xlfn.IFS(G537=0,"No Discount", ROUND(G537*100,0)&lt;=4,"Low", ROUND(G537*100,0)&lt;=9,"Medium", ROUND(G537*100,0)&lt;=15,"High")</f>
        <v>Low</v>
      </c>
      <c r="O537" s="22" t="str">
        <f>TEXT(Table1[[#This Row],[Order date]],"mmmm")</f>
        <v>October</v>
      </c>
    </row>
    <row r="538" spans="1:15" ht="13.5" x14ac:dyDescent="0.25">
      <c r="A538" s="1" t="str">
        <f>"ORD"&amp;"-"&amp;_xlfn.XLOOKUP(C538,Guide!$B$22:$B$26,Guide!$C$22:$C$26)&amp;"-"&amp;_xlfn.XLOOKUP(D538,Guide!$B$29:$B$33,Guide!$C$29:$C$33)&amp;"-"&amp;TEXT(H538,"yyyymmdd")</f>
        <v>ORD-CND-ENT-20141001</v>
      </c>
      <c r="B538" s="1" t="s">
        <v>540</v>
      </c>
      <c r="C538" s="1" t="s">
        <v>27</v>
      </c>
      <c r="D538" s="1" t="s">
        <v>45</v>
      </c>
      <c r="E538" s="1" t="s">
        <v>88</v>
      </c>
      <c r="F538" s="2">
        <v>2009</v>
      </c>
      <c r="G538" s="4">
        <v>0.03</v>
      </c>
      <c r="H538" s="3">
        <f t="shared" si="24"/>
        <v>41913</v>
      </c>
      <c r="I538" s="1">
        <f>_xlfn.XLOOKUP(E538,Product!$A$2:$A$7,Product!$C$2:$C$7)</f>
        <v>180</v>
      </c>
      <c r="J538" s="22">
        <f t="shared" si="25"/>
        <v>361620</v>
      </c>
      <c r="K538" s="22">
        <f t="shared" si="26"/>
        <v>350771.39999999997</v>
      </c>
      <c r="L538" s="22">
        <f>K538-(_xlfn.XLOOKUP(E538,Product!$A$2:$A$7,Product!$B$2:$B$7)*F538)</f>
        <v>109691.39999999997</v>
      </c>
      <c r="M538">
        <f>YEAR(Table1[[#This Row],[Order date]])</f>
        <v>2014</v>
      </c>
      <c r="N538" s="22" t="str" cm="1">
        <f t="array" ref="N538">_xlfn.IFS(G538=0,"No Discount", ROUND(G538*100,0)&lt;=4,"Low", ROUND(G538*100,0)&lt;=9,"Medium", ROUND(G538*100,0)&lt;=15,"High")</f>
        <v>Low</v>
      </c>
      <c r="O538" s="22" t="str">
        <f>TEXT(Table1[[#This Row],[Order date]],"mmmm")</f>
        <v>October</v>
      </c>
    </row>
    <row r="539" spans="1:15" ht="13.5" x14ac:dyDescent="0.25">
      <c r="A539" s="1" t="str">
        <f>"ORD"&amp;"-"&amp;_xlfn.XLOOKUP(C539,Guide!$B$22:$B$26,Guide!$C$22:$C$26)&amp;"-"&amp;_xlfn.XLOOKUP(D539,Guide!$B$29:$B$33,Guide!$C$29:$C$33)&amp;"-"&amp;TEXT(H539,"yyyymmdd")</f>
        <v>ORD-MXC-MDM-20141001</v>
      </c>
      <c r="B539" s="1" t="s">
        <v>541</v>
      </c>
      <c r="C539" s="1" t="s">
        <v>33</v>
      </c>
      <c r="D539" s="1" t="s">
        <v>41</v>
      </c>
      <c r="E539" s="1" t="s">
        <v>75</v>
      </c>
      <c r="F539" s="2">
        <v>2031</v>
      </c>
      <c r="G539" s="4">
        <v>3.9999999999999994E-2</v>
      </c>
      <c r="H539" s="3">
        <f t="shared" si="24"/>
        <v>41913</v>
      </c>
      <c r="I539" s="1">
        <f>_xlfn.XLOOKUP(E539,Product!$A$2:$A$7,Product!$C$2:$C$7)</f>
        <v>20</v>
      </c>
      <c r="J539" s="22">
        <f t="shared" si="25"/>
        <v>40620</v>
      </c>
      <c r="K539" s="22">
        <f t="shared" si="26"/>
        <v>38995.199999999997</v>
      </c>
      <c r="L539" s="22">
        <f>K539-(_xlfn.XLOOKUP(E539,Product!$A$2:$A$7,Product!$B$2:$B$7)*F539)</f>
        <v>18685.199999999997</v>
      </c>
      <c r="M539">
        <f>YEAR(Table1[[#This Row],[Order date]])</f>
        <v>2014</v>
      </c>
      <c r="N539" s="22" t="str" cm="1">
        <f t="array" ref="N539">_xlfn.IFS(G539=0,"No Discount", ROUND(G539*100,0)&lt;=4,"Low", ROUND(G539*100,0)&lt;=9,"Medium", ROUND(G539*100,0)&lt;=15,"High")</f>
        <v>Low</v>
      </c>
      <c r="O539" s="22" t="str">
        <f>TEXT(Table1[[#This Row],[Order date]],"mmmm")</f>
        <v>October</v>
      </c>
    </row>
    <row r="540" spans="1:15" ht="13.5" x14ac:dyDescent="0.25">
      <c r="A540" s="1" t="str">
        <f>"ORD"&amp;"-"&amp;_xlfn.XLOOKUP(C540,Guide!$B$22:$B$26,Guide!$C$22:$C$26)&amp;"-"&amp;_xlfn.XLOOKUP(D540,Guide!$B$29:$B$33,Guide!$C$29:$C$33)&amp;"-"&amp;TEXT(H540,"yyyymmdd")</f>
        <v>ORD-MXC-MDM-20141001</v>
      </c>
      <c r="B540" s="1" t="s">
        <v>541</v>
      </c>
      <c r="C540" s="1" t="s">
        <v>33</v>
      </c>
      <c r="D540" s="1" t="s">
        <v>41</v>
      </c>
      <c r="E540" s="1" t="s">
        <v>82</v>
      </c>
      <c r="F540" s="2">
        <v>2031</v>
      </c>
      <c r="G540" s="4">
        <v>3.9999999999999994E-2</v>
      </c>
      <c r="H540" s="3">
        <f t="shared" si="24"/>
        <v>41913</v>
      </c>
      <c r="I540" s="1">
        <f>_xlfn.XLOOKUP(E540,Product!$A$2:$A$7,Product!$C$2:$C$7)</f>
        <v>15</v>
      </c>
      <c r="J540" s="22">
        <f t="shared" si="25"/>
        <v>30465</v>
      </c>
      <c r="K540" s="22">
        <f t="shared" si="26"/>
        <v>29246.399999999998</v>
      </c>
      <c r="L540" s="22">
        <f>K540-(_xlfn.XLOOKUP(E540,Product!$A$2:$A$7,Product!$B$2:$B$7)*F540)</f>
        <v>19091.399999999998</v>
      </c>
      <c r="M540">
        <f>YEAR(Table1[[#This Row],[Order date]])</f>
        <v>2014</v>
      </c>
      <c r="N540" s="22" t="str" cm="1">
        <f t="array" ref="N540">_xlfn.IFS(G540=0,"No Discount", ROUND(G540*100,0)&lt;=4,"Low", ROUND(G540*100,0)&lt;=9,"Medium", ROUND(G540*100,0)&lt;=15,"High")</f>
        <v>Low</v>
      </c>
      <c r="O540" s="22" t="str">
        <f>TEXT(Table1[[#This Row],[Order date]],"mmmm")</f>
        <v>October</v>
      </c>
    </row>
    <row r="541" spans="1:15" ht="13.5" x14ac:dyDescent="0.25">
      <c r="A541" s="1" t="str">
        <f>"ORD"&amp;"-"&amp;_xlfn.XLOOKUP(C541,Guide!$B$22:$B$26,Guide!$C$22:$C$26)&amp;"-"&amp;_xlfn.XLOOKUP(D541,Guide!$B$29:$B$33,Guide!$C$29:$C$33)&amp;"-"&amp;TEXT(H541,"yyyymmdd")</f>
        <v>ORD-GER-SMB-20141001</v>
      </c>
      <c r="B541" s="1" t="s">
        <v>542</v>
      </c>
      <c r="C541" s="1" t="s">
        <v>29</v>
      </c>
      <c r="D541" s="1" t="s">
        <v>47</v>
      </c>
      <c r="E541" s="1" t="s">
        <v>82</v>
      </c>
      <c r="F541" s="2">
        <v>2021</v>
      </c>
      <c r="G541" s="4">
        <v>0.04</v>
      </c>
      <c r="H541" s="3">
        <f t="shared" si="24"/>
        <v>41913</v>
      </c>
      <c r="I541" s="1">
        <f>_xlfn.XLOOKUP(E541,Product!$A$2:$A$7,Product!$C$2:$C$7)</f>
        <v>15</v>
      </c>
      <c r="J541" s="22">
        <f t="shared" si="25"/>
        <v>30315</v>
      </c>
      <c r="K541" s="22">
        <f t="shared" si="26"/>
        <v>29102.399999999998</v>
      </c>
      <c r="L541" s="22">
        <f>K541-(_xlfn.XLOOKUP(E541,Product!$A$2:$A$7,Product!$B$2:$B$7)*F541)</f>
        <v>18997.399999999998</v>
      </c>
      <c r="M541">
        <f>YEAR(Table1[[#This Row],[Order date]])</f>
        <v>2014</v>
      </c>
      <c r="N541" s="22" t="str" cm="1">
        <f t="array" ref="N541">_xlfn.IFS(G541=0,"No Discount", ROUND(G541*100,0)&lt;=4,"Low", ROUND(G541*100,0)&lt;=9,"Medium", ROUND(G541*100,0)&lt;=15,"High")</f>
        <v>Low</v>
      </c>
      <c r="O541" s="22" t="str">
        <f>TEXT(Table1[[#This Row],[Order date]],"mmmm")</f>
        <v>October</v>
      </c>
    </row>
    <row r="542" spans="1:15" ht="13.5" x14ac:dyDescent="0.25">
      <c r="A542" s="1" t="str">
        <f>"ORD"&amp;"-"&amp;_xlfn.XLOOKUP(C542,Guide!$B$22:$B$26,Guide!$C$22:$C$26)&amp;"-"&amp;_xlfn.XLOOKUP(D542,Guide!$B$29:$B$33,Guide!$C$29:$C$33)&amp;"-"&amp;TEXT(H542,"yyyymmdd")</f>
        <v>ORD-GER-SMB-20141001</v>
      </c>
      <c r="B542" s="1" t="s">
        <v>542</v>
      </c>
      <c r="C542" s="1" t="s">
        <v>29</v>
      </c>
      <c r="D542" s="1" t="s">
        <v>47</v>
      </c>
      <c r="E542" s="1" t="s">
        <v>80</v>
      </c>
      <c r="F542" s="2">
        <v>2021</v>
      </c>
      <c r="G542" s="4">
        <v>0.04</v>
      </c>
      <c r="H542" s="3">
        <f t="shared" si="24"/>
        <v>41913</v>
      </c>
      <c r="I542" s="1">
        <f>_xlfn.XLOOKUP(E542,Product!$A$2:$A$7,Product!$C$2:$C$7)</f>
        <v>20</v>
      </c>
      <c r="J542" s="22">
        <f t="shared" si="25"/>
        <v>40420</v>
      </c>
      <c r="K542" s="22">
        <f t="shared" si="26"/>
        <v>38803.199999999997</v>
      </c>
      <c r="L542" s="22">
        <f>K542-(_xlfn.XLOOKUP(E542,Product!$A$2:$A$7,Product!$B$2:$B$7)*F542)</f>
        <v>32740.199999999997</v>
      </c>
      <c r="M542">
        <f>YEAR(Table1[[#This Row],[Order date]])</f>
        <v>2014</v>
      </c>
      <c r="N542" s="22" t="str" cm="1">
        <f t="array" ref="N542">_xlfn.IFS(G542=0,"No Discount", ROUND(G542*100,0)&lt;=4,"Low", ROUND(G542*100,0)&lt;=9,"Medium", ROUND(G542*100,0)&lt;=15,"High")</f>
        <v>Low</v>
      </c>
      <c r="O542" s="22" t="str">
        <f>TEXT(Table1[[#This Row],[Order date]],"mmmm")</f>
        <v>October</v>
      </c>
    </row>
    <row r="543" spans="1:15" ht="13.5" x14ac:dyDescent="0.25">
      <c r="A543" s="1" t="str">
        <f>"ORD"&amp;"-"&amp;_xlfn.XLOOKUP(C543,Guide!$B$22:$B$26,Guide!$C$22:$C$26)&amp;"-"&amp;_xlfn.XLOOKUP(D543,Guide!$B$29:$B$33,Guide!$C$29:$C$33)&amp;"-"&amp;TEXT(H543,"yyyymmdd")</f>
        <v>ORD-FRA-GOV-20141001</v>
      </c>
      <c r="B543" s="1" t="s">
        <v>543</v>
      </c>
      <c r="C543" s="1" t="s">
        <v>31</v>
      </c>
      <c r="D543" s="1" t="s">
        <v>39</v>
      </c>
      <c r="E543" s="1" t="s">
        <v>78</v>
      </c>
      <c r="F543" s="2">
        <v>2177</v>
      </c>
      <c r="G543" s="4">
        <v>0.04</v>
      </c>
      <c r="H543" s="3">
        <f t="shared" si="24"/>
        <v>41913</v>
      </c>
      <c r="I543" s="1">
        <f>_xlfn.XLOOKUP(E543,Product!$A$2:$A$7,Product!$C$2:$C$7)</f>
        <v>300</v>
      </c>
      <c r="J543" s="22">
        <f t="shared" si="25"/>
        <v>653100</v>
      </c>
      <c r="K543" s="22">
        <f t="shared" si="26"/>
        <v>626976</v>
      </c>
      <c r="L543" s="22">
        <f>K543-(_xlfn.XLOOKUP(E543,Product!$A$2:$A$7,Product!$B$2:$B$7)*F543)</f>
        <v>82726</v>
      </c>
      <c r="M543">
        <f>YEAR(Table1[[#This Row],[Order date]])</f>
        <v>2014</v>
      </c>
      <c r="N543" s="22" t="str" cm="1">
        <f t="array" ref="N543">_xlfn.IFS(G543=0,"No Discount", ROUND(G543*100,0)&lt;=4,"Low", ROUND(G543*100,0)&lt;=9,"Medium", ROUND(G543*100,0)&lt;=15,"High")</f>
        <v>Low</v>
      </c>
      <c r="O543" s="22" t="str">
        <f>TEXT(Table1[[#This Row],[Order date]],"mmmm")</f>
        <v>October</v>
      </c>
    </row>
    <row r="544" spans="1:15" ht="13.5" x14ac:dyDescent="0.25">
      <c r="A544" s="1" t="str">
        <f>"ORD"&amp;"-"&amp;_xlfn.XLOOKUP(C544,Guide!$B$22:$B$26,Guide!$C$22:$C$26)&amp;"-"&amp;_xlfn.XLOOKUP(D544,Guide!$B$29:$B$33,Guide!$C$29:$C$33)&amp;"-"&amp;TEXT(H544,"yyyymmdd")</f>
        <v>ORD-FRA-GOV-20141001</v>
      </c>
      <c r="B544" s="1" t="s">
        <v>543</v>
      </c>
      <c r="C544" s="1" t="s">
        <v>31</v>
      </c>
      <c r="D544" s="1" t="s">
        <v>39</v>
      </c>
      <c r="E544" s="1" t="s">
        <v>88</v>
      </c>
      <c r="F544" s="2">
        <v>2177</v>
      </c>
      <c r="G544" s="4">
        <v>0.04</v>
      </c>
      <c r="H544" s="3">
        <f t="shared" si="24"/>
        <v>41913</v>
      </c>
      <c r="I544" s="1">
        <f>_xlfn.XLOOKUP(E544,Product!$A$2:$A$7,Product!$C$2:$C$7)</f>
        <v>180</v>
      </c>
      <c r="J544" s="22">
        <f t="shared" si="25"/>
        <v>391860</v>
      </c>
      <c r="K544" s="22">
        <f t="shared" si="26"/>
        <v>376185.59999999998</v>
      </c>
      <c r="L544" s="22">
        <f>K544-(_xlfn.XLOOKUP(E544,Product!$A$2:$A$7,Product!$B$2:$B$7)*F544)</f>
        <v>114945.59999999998</v>
      </c>
      <c r="M544">
        <f>YEAR(Table1[[#This Row],[Order date]])</f>
        <v>2014</v>
      </c>
      <c r="N544" s="22" t="str" cm="1">
        <f t="array" ref="N544">_xlfn.IFS(G544=0,"No Discount", ROUND(G544*100,0)&lt;=4,"Low", ROUND(G544*100,0)&lt;=9,"Medium", ROUND(G544*100,0)&lt;=15,"High")</f>
        <v>Low</v>
      </c>
      <c r="O544" s="22" t="str">
        <f>TEXT(Table1[[#This Row],[Order date]],"mmmm")</f>
        <v>October</v>
      </c>
    </row>
    <row r="545" spans="1:15" ht="13.5" x14ac:dyDescent="0.25">
      <c r="A545" s="1" t="str">
        <f>"ORD"&amp;"-"&amp;_xlfn.XLOOKUP(C545,Guide!$B$22:$B$26,Guide!$C$22:$C$26)&amp;"-"&amp;_xlfn.XLOOKUP(D545,Guide!$B$29:$B$33,Guide!$C$29:$C$33)&amp;"-"&amp;TEXT(H545,"yyyymmdd")</f>
        <v>ORD-MXC-GOV-20141001</v>
      </c>
      <c r="B545" s="1" t="s">
        <v>544</v>
      </c>
      <c r="C545" s="1" t="s">
        <v>33</v>
      </c>
      <c r="D545" s="1" t="s">
        <v>39</v>
      </c>
      <c r="E545" s="1" t="s">
        <v>75</v>
      </c>
      <c r="F545" s="2">
        <v>2689</v>
      </c>
      <c r="G545" s="4">
        <v>4.9999999999999996E-2</v>
      </c>
      <c r="H545" s="3">
        <f t="shared" si="24"/>
        <v>41913</v>
      </c>
      <c r="I545" s="1">
        <f>_xlfn.XLOOKUP(E545,Product!$A$2:$A$7,Product!$C$2:$C$7)</f>
        <v>20</v>
      </c>
      <c r="J545" s="22">
        <f t="shared" si="25"/>
        <v>53780</v>
      </c>
      <c r="K545" s="22">
        <f t="shared" si="26"/>
        <v>51091</v>
      </c>
      <c r="L545" s="22">
        <f>K545-(_xlfn.XLOOKUP(E545,Product!$A$2:$A$7,Product!$B$2:$B$7)*F545)</f>
        <v>24201</v>
      </c>
      <c r="M545">
        <f>YEAR(Table1[[#This Row],[Order date]])</f>
        <v>2014</v>
      </c>
      <c r="N545" s="22" t="str" cm="1">
        <f t="array" ref="N545">_xlfn.IFS(G545=0,"No Discount", ROUND(G545*100,0)&lt;=4,"Low", ROUND(G545*100,0)&lt;=9,"Medium", ROUND(G545*100,0)&lt;=15,"High")</f>
        <v>Medium</v>
      </c>
      <c r="O545" s="22" t="str">
        <f>TEXT(Table1[[#This Row],[Order date]],"mmmm")</f>
        <v>October</v>
      </c>
    </row>
    <row r="546" spans="1:15" ht="13.5" x14ac:dyDescent="0.25">
      <c r="A546" s="1" t="str">
        <f>"ORD"&amp;"-"&amp;_xlfn.XLOOKUP(C546,Guide!$B$22:$B$26,Guide!$C$22:$C$26)&amp;"-"&amp;_xlfn.XLOOKUP(D546,Guide!$B$29:$B$33,Guide!$C$29:$C$33)&amp;"-"&amp;TEXT(H546,"yyyymmdd")</f>
        <v>ORD-MXC-GOV-20141001</v>
      </c>
      <c r="B546" s="1" t="s">
        <v>544</v>
      </c>
      <c r="C546" s="1" t="s">
        <v>33</v>
      </c>
      <c r="D546" s="1" t="s">
        <v>39</v>
      </c>
      <c r="E546" s="1" t="s">
        <v>78</v>
      </c>
      <c r="F546" s="2">
        <v>2689</v>
      </c>
      <c r="G546" s="4">
        <v>4.9999999999999996E-2</v>
      </c>
      <c r="H546" s="3">
        <f t="shared" si="24"/>
        <v>41913</v>
      </c>
      <c r="I546" s="1">
        <f>_xlfn.XLOOKUP(E546,Product!$A$2:$A$7,Product!$C$2:$C$7)</f>
        <v>300</v>
      </c>
      <c r="J546" s="22">
        <f t="shared" si="25"/>
        <v>806700</v>
      </c>
      <c r="K546" s="22">
        <f t="shared" si="26"/>
        <v>766365</v>
      </c>
      <c r="L546" s="22">
        <f>K546-(_xlfn.XLOOKUP(E546,Product!$A$2:$A$7,Product!$B$2:$B$7)*F546)</f>
        <v>94115</v>
      </c>
      <c r="M546">
        <f>YEAR(Table1[[#This Row],[Order date]])</f>
        <v>2014</v>
      </c>
      <c r="N546" s="22" t="str" cm="1">
        <f t="array" ref="N546">_xlfn.IFS(G546=0,"No Discount", ROUND(G546*100,0)&lt;=4,"Low", ROUND(G546*100,0)&lt;=9,"Medium", ROUND(G546*100,0)&lt;=15,"High")</f>
        <v>Medium</v>
      </c>
      <c r="O546" s="22" t="str">
        <f>TEXT(Table1[[#This Row],[Order date]],"mmmm")</f>
        <v>October</v>
      </c>
    </row>
    <row r="547" spans="1:15" ht="13.5" x14ac:dyDescent="0.25">
      <c r="A547" s="1" t="str">
        <f>"ORD"&amp;"-"&amp;_xlfn.XLOOKUP(C547,Guide!$B$22:$B$26,Guide!$C$22:$C$26)&amp;"-"&amp;_xlfn.XLOOKUP(D547,Guide!$B$29:$B$33,Guide!$C$29:$C$33)&amp;"-"&amp;TEXT(H547,"yyyymmdd")</f>
        <v>ORD-USA-ENT-20141001</v>
      </c>
      <c r="B547" s="1" t="s">
        <v>545</v>
      </c>
      <c r="C547" s="1" t="s">
        <v>35</v>
      </c>
      <c r="D547" s="1" t="s">
        <v>45</v>
      </c>
      <c r="E547" s="1" t="s">
        <v>75</v>
      </c>
      <c r="F547" s="2">
        <v>861</v>
      </c>
      <c r="G547" s="4">
        <v>0.05</v>
      </c>
      <c r="H547" s="3">
        <f t="shared" si="24"/>
        <v>41913</v>
      </c>
      <c r="I547" s="1">
        <f>_xlfn.XLOOKUP(E547,Product!$A$2:$A$7,Product!$C$2:$C$7)</f>
        <v>20</v>
      </c>
      <c r="J547" s="22">
        <f t="shared" si="25"/>
        <v>17220</v>
      </c>
      <c r="K547" s="22">
        <f t="shared" si="26"/>
        <v>16359</v>
      </c>
      <c r="L547" s="22">
        <f>K547-(_xlfn.XLOOKUP(E547,Product!$A$2:$A$7,Product!$B$2:$B$7)*F547)</f>
        <v>7749</v>
      </c>
      <c r="M547">
        <f>YEAR(Table1[[#This Row],[Order date]])</f>
        <v>2014</v>
      </c>
      <c r="N547" s="22" t="str" cm="1">
        <f t="array" ref="N547">_xlfn.IFS(G547=0,"No Discount", ROUND(G547*100,0)&lt;=4,"Low", ROUND(G547*100,0)&lt;=9,"Medium", ROUND(G547*100,0)&lt;=15,"High")</f>
        <v>Medium</v>
      </c>
      <c r="O547" s="22" t="str">
        <f>TEXT(Table1[[#This Row],[Order date]],"mmmm")</f>
        <v>October</v>
      </c>
    </row>
    <row r="548" spans="1:15" ht="13.5" x14ac:dyDescent="0.25">
      <c r="A548" s="1" t="str">
        <f>"ORD"&amp;"-"&amp;_xlfn.XLOOKUP(C548,Guide!$B$22:$B$26,Guide!$C$22:$C$26)&amp;"-"&amp;_xlfn.XLOOKUP(D548,Guide!$B$29:$B$33,Guide!$C$29:$C$33)&amp;"-"&amp;TEXT(H548,"yyyymmdd")</f>
        <v>ORD-USA-ENT-20141001</v>
      </c>
      <c r="B548" s="1" t="s">
        <v>545</v>
      </c>
      <c r="C548" s="1" t="s">
        <v>35</v>
      </c>
      <c r="D548" s="1" t="s">
        <v>45</v>
      </c>
      <c r="E548" s="1" t="s">
        <v>88</v>
      </c>
      <c r="F548" s="2">
        <v>861</v>
      </c>
      <c r="G548" s="4">
        <v>0.05</v>
      </c>
      <c r="H548" s="3">
        <f t="shared" si="24"/>
        <v>41913</v>
      </c>
      <c r="I548" s="1">
        <f>_xlfn.XLOOKUP(E548,Product!$A$2:$A$7,Product!$C$2:$C$7)</f>
        <v>180</v>
      </c>
      <c r="J548" s="22">
        <f t="shared" si="25"/>
        <v>154980</v>
      </c>
      <c r="K548" s="22">
        <f t="shared" si="26"/>
        <v>147231</v>
      </c>
      <c r="L548" s="22">
        <f>K548-(_xlfn.XLOOKUP(E548,Product!$A$2:$A$7,Product!$B$2:$B$7)*F548)</f>
        <v>43911</v>
      </c>
      <c r="M548">
        <f>YEAR(Table1[[#This Row],[Order date]])</f>
        <v>2014</v>
      </c>
      <c r="N548" s="22" t="str" cm="1">
        <f t="array" ref="N548">_xlfn.IFS(G548=0,"No Discount", ROUND(G548*100,0)&lt;=4,"Low", ROUND(G548*100,0)&lt;=9,"Medium", ROUND(G548*100,0)&lt;=15,"High")</f>
        <v>Medium</v>
      </c>
      <c r="O548" s="22" t="str">
        <f>TEXT(Table1[[#This Row],[Order date]],"mmmm")</f>
        <v>October</v>
      </c>
    </row>
    <row r="549" spans="1:15" ht="13.5" x14ac:dyDescent="0.25">
      <c r="A549" s="1" t="str">
        <f>"ORD"&amp;"-"&amp;_xlfn.XLOOKUP(C549,Guide!$B$22:$B$26,Guide!$C$22:$C$26)&amp;"-"&amp;_xlfn.XLOOKUP(D549,Guide!$B$29:$B$33,Guide!$C$29:$C$33)&amp;"-"&amp;TEXT(H549,"yyyymmdd")</f>
        <v>ORD-USA-MDM-20141001</v>
      </c>
      <c r="B549" s="1" t="s">
        <v>546</v>
      </c>
      <c r="C549" s="1" t="s">
        <v>35</v>
      </c>
      <c r="D549" s="1" t="s">
        <v>41</v>
      </c>
      <c r="E549" s="1" t="s">
        <v>75</v>
      </c>
      <c r="F549" s="2">
        <v>1153</v>
      </c>
      <c r="G549" s="4">
        <v>6.0000000000000005E-2</v>
      </c>
      <c r="H549" s="3">
        <f t="shared" si="24"/>
        <v>41913</v>
      </c>
      <c r="I549" s="1">
        <f>_xlfn.XLOOKUP(E549,Product!$A$2:$A$7,Product!$C$2:$C$7)</f>
        <v>20</v>
      </c>
      <c r="J549" s="22">
        <f t="shared" si="25"/>
        <v>23060</v>
      </c>
      <c r="K549" s="22">
        <f t="shared" si="26"/>
        <v>21676.399999999998</v>
      </c>
      <c r="L549" s="22">
        <f>K549-(_xlfn.XLOOKUP(E549,Product!$A$2:$A$7,Product!$B$2:$B$7)*F549)</f>
        <v>10146.399999999998</v>
      </c>
      <c r="M549">
        <f>YEAR(Table1[[#This Row],[Order date]])</f>
        <v>2014</v>
      </c>
      <c r="N549" s="22" t="str" cm="1">
        <f t="array" ref="N549">_xlfn.IFS(G549=0,"No Discount", ROUND(G549*100,0)&lt;=4,"Low", ROUND(G549*100,0)&lt;=9,"Medium", ROUND(G549*100,0)&lt;=15,"High")</f>
        <v>Medium</v>
      </c>
      <c r="O549" s="22" t="str">
        <f>TEXT(Table1[[#This Row],[Order date]],"mmmm")</f>
        <v>October</v>
      </c>
    </row>
    <row r="550" spans="1:15" ht="13.5" x14ac:dyDescent="0.25">
      <c r="A550" s="1" t="str">
        <f>"ORD"&amp;"-"&amp;_xlfn.XLOOKUP(C550,Guide!$B$22:$B$26,Guide!$C$22:$C$26)&amp;"-"&amp;_xlfn.XLOOKUP(D550,Guide!$B$29:$B$33,Guide!$C$29:$C$33)&amp;"-"&amp;TEXT(H550,"yyyymmdd")</f>
        <v>ORD-USA-MDM-20141001</v>
      </c>
      <c r="B550" s="1" t="s">
        <v>546</v>
      </c>
      <c r="C550" s="1" t="s">
        <v>35</v>
      </c>
      <c r="D550" s="1" t="s">
        <v>41</v>
      </c>
      <c r="E550" s="1" t="s">
        <v>78</v>
      </c>
      <c r="F550" s="2">
        <v>1153</v>
      </c>
      <c r="G550" s="4">
        <v>6.0000000000000005E-2</v>
      </c>
      <c r="H550" s="3">
        <f t="shared" si="24"/>
        <v>41913</v>
      </c>
      <c r="I550" s="1">
        <f>_xlfn.XLOOKUP(E550,Product!$A$2:$A$7,Product!$C$2:$C$7)</f>
        <v>300</v>
      </c>
      <c r="J550" s="22">
        <f t="shared" si="25"/>
        <v>345900</v>
      </c>
      <c r="K550" s="22">
        <f t="shared" si="26"/>
        <v>325146</v>
      </c>
      <c r="L550" s="22">
        <f>K550-(_xlfn.XLOOKUP(E550,Product!$A$2:$A$7,Product!$B$2:$B$7)*F550)</f>
        <v>36896</v>
      </c>
      <c r="M550">
        <f>YEAR(Table1[[#This Row],[Order date]])</f>
        <v>2014</v>
      </c>
      <c r="N550" s="22" t="str" cm="1">
        <f t="array" ref="N550">_xlfn.IFS(G550=0,"No Discount", ROUND(G550*100,0)&lt;=4,"Low", ROUND(G550*100,0)&lt;=9,"Medium", ROUND(G550*100,0)&lt;=15,"High")</f>
        <v>Medium</v>
      </c>
      <c r="O550" s="22" t="str">
        <f>TEXT(Table1[[#This Row],[Order date]],"mmmm")</f>
        <v>October</v>
      </c>
    </row>
    <row r="551" spans="1:15" ht="13.5" x14ac:dyDescent="0.25">
      <c r="A551" s="1" t="str">
        <f>"ORD"&amp;"-"&amp;_xlfn.XLOOKUP(C551,Guide!$B$22:$B$26,Guide!$C$22:$C$26)&amp;"-"&amp;_xlfn.XLOOKUP(D551,Guide!$B$29:$B$33,Guide!$C$29:$C$33)&amp;"-"&amp;TEXT(H551,"yyyymmdd")</f>
        <v>ORD-FRA-GOV-20141001</v>
      </c>
      <c r="B551" s="1" t="s">
        <v>547</v>
      </c>
      <c r="C551" s="1" t="s">
        <v>31</v>
      </c>
      <c r="D551" s="1" t="s">
        <v>39</v>
      </c>
      <c r="E551" s="1" t="s">
        <v>82</v>
      </c>
      <c r="F551" s="2">
        <v>1976</v>
      </c>
      <c r="G551" s="4">
        <v>7.0000000000000007E-2</v>
      </c>
      <c r="H551" s="3">
        <f t="shared" si="24"/>
        <v>41913</v>
      </c>
      <c r="I551" s="1">
        <f>_xlfn.XLOOKUP(E551,Product!$A$2:$A$7,Product!$C$2:$C$7)</f>
        <v>15</v>
      </c>
      <c r="J551" s="22">
        <f t="shared" si="25"/>
        <v>29640</v>
      </c>
      <c r="K551" s="22">
        <f t="shared" si="26"/>
        <v>27565.199999999997</v>
      </c>
      <c r="L551" s="22">
        <f>K551-(_xlfn.XLOOKUP(E551,Product!$A$2:$A$7,Product!$B$2:$B$7)*F551)</f>
        <v>17685.199999999997</v>
      </c>
      <c r="M551">
        <f>YEAR(Table1[[#This Row],[Order date]])</f>
        <v>2014</v>
      </c>
      <c r="N551" s="22" t="str" cm="1">
        <f t="array" ref="N551">_xlfn.IFS(G551=0,"No Discount", ROUND(G551*100,0)&lt;=4,"Low", ROUND(G551*100,0)&lt;=9,"Medium", ROUND(G551*100,0)&lt;=15,"High")</f>
        <v>Medium</v>
      </c>
      <c r="O551" s="22" t="str">
        <f>TEXT(Table1[[#This Row],[Order date]],"mmmm")</f>
        <v>October</v>
      </c>
    </row>
    <row r="552" spans="1:15" ht="13.5" x14ac:dyDescent="0.25">
      <c r="A552" s="1" t="str">
        <f>"ORD"&amp;"-"&amp;_xlfn.XLOOKUP(C552,Guide!$B$22:$B$26,Guide!$C$22:$C$26)&amp;"-"&amp;_xlfn.XLOOKUP(D552,Guide!$B$29:$B$33,Guide!$C$29:$C$33)&amp;"-"&amp;TEXT(H552,"yyyymmdd")</f>
        <v>ORD-FRA-SMB-20141001</v>
      </c>
      <c r="B552" s="1" t="s">
        <v>548</v>
      </c>
      <c r="C552" s="1" t="s">
        <v>31</v>
      </c>
      <c r="D552" s="1" t="s">
        <v>47</v>
      </c>
      <c r="E552" s="1" t="s">
        <v>82</v>
      </c>
      <c r="F552" s="2">
        <v>2181</v>
      </c>
      <c r="G552" s="4">
        <v>7.0000000000000007E-2</v>
      </c>
      <c r="H552" s="3">
        <f t="shared" si="24"/>
        <v>41913</v>
      </c>
      <c r="I552" s="1">
        <f>_xlfn.XLOOKUP(E552,Product!$A$2:$A$7,Product!$C$2:$C$7)</f>
        <v>15</v>
      </c>
      <c r="J552" s="22">
        <f t="shared" si="25"/>
        <v>32715</v>
      </c>
      <c r="K552" s="22">
        <f t="shared" si="26"/>
        <v>30424.949999999997</v>
      </c>
      <c r="L552" s="22">
        <f>K552-(_xlfn.XLOOKUP(E552,Product!$A$2:$A$7,Product!$B$2:$B$7)*F552)</f>
        <v>19519.949999999997</v>
      </c>
      <c r="M552">
        <f>YEAR(Table1[[#This Row],[Order date]])</f>
        <v>2014</v>
      </c>
      <c r="N552" s="22" t="str" cm="1">
        <f t="array" ref="N552">_xlfn.IFS(G552=0,"No Discount", ROUND(G552*100,0)&lt;=4,"Low", ROUND(G552*100,0)&lt;=9,"Medium", ROUND(G552*100,0)&lt;=15,"High")</f>
        <v>Medium</v>
      </c>
      <c r="O552" s="22" t="str">
        <f>TEXT(Table1[[#This Row],[Order date]],"mmmm")</f>
        <v>October</v>
      </c>
    </row>
    <row r="553" spans="1:15" ht="13.5" x14ac:dyDescent="0.25">
      <c r="A553" s="1" t="str">
        <f>"ORD"&amp;"-"&amp;_xlfn.XLOOKUP(C553,Guide!$B$22:$B$26,Guide!$C$22:$C$26)&amp;"-"&amp;_xlfn.XLOOKUP(D553,Guide!$B$29:$B$33,Guide!$C$29:$C$33)&amp;"-"&amp;TEXT(H553,"yyyymmdd")</f>
        <v>ORD-FRA-SMB-20141001</v>
      </c>
      <c r="B553" s="1" t="s">
        <v>548</v>
      </c>
      <c r="C553" s="1" t="s">
        <v>31</v>
      </c>
      <c r="D553" s="1" t="s">
        <v>47</v>
      </c>
      <c r="E553" s="1" t="s">
        <v>80</v>
      </c>
      <c r="F553" s="2">
        <v>2181</v>
      </c>
      <c r="G553" s="4">
        <v>7.0000000000000007E-2</v>
      </c>
      <c r="H553" s="3">
        <f t="shared" si="24"/>
        <v>41913</v>
      </c>
      <c r="I553" s="1">
        <f>_xlfn.XLOOKUP(E553,Product!$A$2:$A$7,Product!$C$2:$C$7)</f>
        <v>20</v>
      </c>
      <c r="J553" s="22">
        <f t="shared" si="25"/>
        <v>43620</v>
      </c>
      <c r="K553" s="22">
        <f t="shared" si="26"/>
        <v>40566.6</v>
      </c>
      <c r="L553" s="22">
        <f>K553-(_xlfn.XLOOKUP(E553,Product!$A$2:$A$7,Product!$B$2:$B$7)*F553)</f>
        <v>34023.599999999999</v>
      </c>
      <c r="M553">
        <f>YEAR(Table1[[#This Row],[Order date]])</f>
        <v>2014</v>
      </c>
      <c r="N553" s="22" t="str" cm="1">
        <f t="array" ref="N553">_xlfn.IFS(G553=0,"No Discount", ROUND(G553*100,0)&lt;=4,"Low", ROUND(G553*100,0)&lt;=9,"Medium", ROUND(G553*100,0)&lt;=15,"High")</f>
        <v>Medium</v>
      </c>
      <c r="O553" s="22" t="str">
        <f>TEXT(Table1[[#This Row],[Order date]],"mmmm")</f>
        <v>October</v>
      </c>
    </row>
    <row r="554" spans="1:15" ht="13.5" x14ac:dyDescent="0.25">
      <c r="A554" s="1" t="str">
        <f>"ORD"&amp;"-"&amp;_xlfn.XLOOKUP(C554,Guide!$B$22:$B$26,Guide!$C$22:$C$26)&amp;"-"&amp;_xlfn.XLOOKUP(D554,Guide!$B$29:$B$33,Guide!$C$29:$C$33)&amp;"-"&amp;TEXT(H554,"yyyymmdd")</f>
        <v>ORD-FRA-GOV-20141001</v>
      </c>
      <c r="B554" s="1" t="s">
        <v>547</v>
      </c>
      <c r="C554" s="1" t="s">
        <v>31</v>
      </c>
      <c r="D554" s="1" t="s">
        <v>39</v>
      </c>
      <c r="E554" s="1" t="s">
        <v>88</v>
      </c>
      <c r="F554" s="2">
        <v>1976</v>
      </c>
      <c r="G554" s="4">
        <v>7.0000000000000007E-2</v>
      </c>
      <c r="H554" s="3">
        <f t="shared" si="24"/>
        <v>41913</v>
      </c>
      <c r="I554" s="1">
        <f>_xlfn.XLOOKUP(E554,Product!$A$2:$A$7,Product!$C$2:$C$7)</f>
        <v>180</v>
      </c>
      <c r="J554" s="22">
        <f t="shared" si="25"/>
        <v>355680</v>
      </c>
      <c r="K554" s="22">
        <f t="shared" si="26"/>
        <v>330782.39999999997</v>
      </c>
      <c r="L554" s="22">
        <f>K554-(_xlfn.XLOOKUP(E554,Product!$A$2:$A$7,Product!$B$2:$B$7)*F554)</f>
        <v>93662.399999999965</v>
      </c>
      <c r="M554">
        <f>YEAR(Table1[[#This Row],[Order date]])</f>
        <v>2014</v>
      </c>
      <c r="N554" s="22" t="str" cm="1">
        <f t="array" ref="N554">_xlfn.IFS(G554=0,"No Discount", ROUND(G554*100,0)&lt;=4,"Low", ROUND(G554*100,0)&lt;=9,"Medium", ROUND(G554*100,0)&lt;=15,"High")</f>
        <v>Medium</v>
      </c>
      <c r="O554" s="22" t="str">
        <f>TEXT(Table1[[#This Row],[Order date]],"mmmm")</f>
        <v>October</v>
      </c>
    </row>
    <row r="555" spans="1:15" ht="13.5" x14ac:dyDescent="0.25">
      <c r="A555" s="1" t="str">
        <f>"ORD"&amp;"-"&amp;_xlfn.XLOOKUP(C555,Guide!$B$22:$B$26,Guide!$C$22:$C$26)&amp;"-"&amp;_xlfn.XLOOKUP(D555,Guide!$B$29:$B$33,Guide!$C$29:$C$33)&amp;"-"&amp;TEXT(H555,"yyyymmdd")</f>
        <v>ORD-FRA-MDM-20141001</v>
      </c>
      <c r="B555" s="1" t="s">
        <v>549</v>
      </c>
      <c r="C555" s="1" t="s">
        <v>31</v>
      </c>
      <c r="D555" s="1" t="s">
        <v>41</v>
      </c>
      <c r="E555" s="1" t="s">
        <v>75</v>
      </c>
      <c r="F555" s="2">
        <v>1227</v>
      </c>
      <c r="G555" s="4">
        <v>0.09</v>
      </c>
      <c r="H555" s="3">
        <f t="shared" si="24"/>
        <v>41913</v>
      </c>
      <c r="I555" s="1">
        <f>_xlfn.XLOOKUP(E555,Product!$A$2:$A$7,Product!$C$2:$C$7)</f>
        <v>20</v>
      </c>
      <c r="J555" s="22">
        <f t="shared" si="25"/>
        <v>24540</v>
      </c>
      <c r="K555" s="22">
        <f t="shared" si="26"/>
        <v>22331.4</v>
      </c>
      <c r="L555" s="22">
        <f>K555-(_xlfn.XLOOKUP(E555,Product!$A$2:$A$7,Product!$B$2:$B$7)*F555)</f>
        <v>10061.400000000001</v>
      </c>
      <c r="M555">
        <f>YEAR(Table1[[#This Row],[Order date]])</f>
        <v>2014</v>
      </c>
      <c r="N555" s="22" t="str" cm="1">
        <f t="array" ref="N555">_xlfn.IFS(G555=0,"No Discount", ROUND(G555*100,0)&lt;=4,"Low", ROUND(G555*100,0)&lt;=9,"Medium", ROUND(G555*100,0)&lt;=15,"High")</f>
        <v>Medium</v>
      </c>
      <c r="O555" s="22" t="str">
        <f>TEXT(Table1[[#This Row],[Order date]],"mmmm")</f>
        <v>October</v>
      </c>
    </row>
    <row r="556" spans="1:15" ht="13.5" x14ac:dyDescent="0.25">
      <c r="A556" s="1" t="str">
        <f>"ORD"&amp;"-"&amp;_xlfn.XLOOKUP(C556,Guide!$B$22:$B$26,Guide!$C$22:$C$26)&amp;"-"&amp;_xlfn.XLOOKUP(D556,Guide!$B$29:$B$33,Guide!$C$29:$C$33)&amp;"-"&amp;TEXT(H556,"yyyymmdd")</f>
        <v>ORD-FRA-MDM-20141001</v>
      </c>
      <c r="B556" s="1" t="s">
        <v>549</v>
      </c>
      <c r="C556" s="1" t="s">
        <v>31</v>
      </c>
      <c r="D556" s="1" t="s">
        <v>41</v>
      </c>
      <c r="E556" s="1" t="s">
        <v>78</v>
      </c>
      <c r="F556" s="2">
        <v>1227</v>
      </c>
      <c r="G556" s="4">
        <v>0.09</v>
      </c>
      <c r="H556" s="3">
        <f t="shared" si="24"/>
        <v>41913</v>
      </c>
      <c r="I556" s="1">
        <f>_xlfn.XLOOKUP(E556,Product!$A$2:$A$7,Product!$C$2:$C$7)</f>
        <v>300</v>
      </c>
      <c r="J556" s="22">
        <f t="shared" si="25"/>
        <v>368100</v>
      </c>
      <c r="K556" s="22">
        <f t="shared" si="26"/>
        <v>334971</v>
      </c>
      <c r="L556" s="22">
        <f>K556-(_xlfn.XLOOKUP(E556,Product!$A$2:$A$7,Product!$B$2:$B$7)*F556)</f>
        <v>28221</v>
      </c>
      <c r="M556">
        <f>YEAR(Table1[[#This Row],[Order date]])</f>
        <v>2014</v>
      </c>
      <c r="N556" s="22" t="str" cm="1">
        <f t="array" ref="N556">_xlfn.IFS(G556=0,"No Discount", ROUND(G556*100,0)&lt;=4,"Low", ROUND(G556*100,0)&lt;=9,"Medium", ROUND(G556*100,0)&lt;=15,"High")</f>
        <v>Medium</v>
      </c>
      <c r="O556" s="22" t="str">
        <f>TEXT(Table1[[#This Row],[Order date]],"mmmm")</f>
        <v>October</v>
      </c>
    </row>
    <row r="557" spans="1:15" ht="13.5" x14ac:dyDescent="0.25">
      <c r="A557" s="1" t="str">
        <f>"ORD"&amp;"-"&amp;_xlfn.XLOOKUP(C557,Guide!$B$22:$B$26,Guide!$C$22:$C$26)&amp;"-"&amp;_xlfn.XLOOKUP(D557,Guide!$B$29:$B$33,Guide!$C$29:$C$33)&amp;"-"&amp;TEXT(H557,"yyyymmdd")</f>
        <v>ORD-CND-GOV-20141001</v>
      </c>
      <c r="B557" s="1" t="s">
        <v>550</v>
      </c>
      <c r="C557" s="1" t="s">
        <v>27</v>
      </c>
      <c r="D557" s="1" t="s">
        <v>39</v>
      </c>
      <c r="E557" s="1" t="s">
        <v>88</v>
      </c>
      <c r="F557" s="2">
        <v>1269</v>
      </c>
      <c r="G557" s="4">
        <v>0.09</v>
      </c>
      <c r="H557" s="3">
        <f t="shared" si="24"/>
        <v>41913</v>
      </c>
      <c r="I557" s="1">
        <f>_xlfn.XLOOKUP(E557,Product!$A$2:$A$7,Product!$C$2:$C$7)</f>
        <v>180</v>
      </c>
      <c r="J557" s="22">
        <f t="shared" si="25"/>
        <v>228420</v>
      </c>
      <c r="K557" s="22">
        <f t="shared" si="26"/>
        <v>207862.2</v>
      </c>
      <c r="L557" s="22">
        <f>K557-(_xlfn.XLOOKUP(E557,Product!$A$2:$A$7,Product!$B$2:$B$7)*F557)</f>
        <v>55582.200000000012</v>
      </c>
      <c r="M557">
        <f>YEAR(Table1[[#This Row],[Order date]])</f>
        <v>2014</v>
      </c>
      <c r="N557" s="22" t="str" cm="1">
        <f t="array" ref="N557">_xlfn.IFS(G557=0,"No Discount", ROUND(G557*100,0)&lt;=4,"Low", ROUND(G557*100,0)&lt;=9,"Medium", ROUND(G557*100,0)&lt;=15,"High")</f>
        <v>Medium</v>
      </c>
      <c r="O557" s="22" t="str">
        <f>TEXT(Table1[[#This Row],[Order date]],"mmmm")</f>
        <v>October</v>
      </c>
    </row>
    <row r="558" spans="1:15" ht="13.5" x14ac:dyDescent="0.25">
      <c r="A558" s="1" t="str">
        <f>"ORD"&amp;"-"&amp;_xlfn.XLOOKUP(C558,Guide!$B$22:$B$26,Guide!$C$22:$C$26)&amp;"-"&amp;_xlfn.XLOOKUP(D558,Guide!$B$29:$B$33,Guide!$C$29:$C$33)&amp;"-"&amp;TEXT(H558,"yyyymmdd")</f>
        <v>ORD-CND-GOV-20141001</v>
      </c>
      <c r="B558" s="1" t="s">
        <v>550</v>
      </c>
      <c r="C558" s="1" t="s">
        <v>27</v>
      </c>
      <c r="D558" s="1" t="s">
        <v>39</v>
      </c>
      <c r="E558" s="1" t="s">
        <v>84</v>
      </c>
      <c r="F558" s="2">
        <v>1269</v>
      </c>
      <c r="G558" s="4">
        <v>0.09</v>
      </c>
      <c r="H558" s="3">
        <f t="shared" si="24"/>
        <v>41913</v>
      </c>
      <c r="I558" s="1">
        <f>_xlfn.XLOOKUP(E558,Product!$A$2:$A$7,Product!$C$2:$C$7)</f>
        <v>350</v>
      </c>
      <c r="J558" s="22">
        <f t="shared" si="25"/>
        <v>444150</v>
      </c>
      <c r="K558" s="22">
        <f t="shared" si="26"/>
        <v>404176.5</v>
      </c>
      <c r="L558" s="22">
        <f>K558-(_xlfn.XLOOKUP(E558,Product!$A$2:$A$7,Product!$B$2:$B$7)*F558)</f>
        <v>150376.5</v>
      </c>
      <c r="M558">
        <f>YEAR(Table1[[#This Row],[Order date]])</f>
        <v>2014</v>
      </c>
      <c r="N558" s="22" t="str" cm="1">
        <f t="array" ref="N558">_xlfn.IFS(G558=0,"No Discount", ROUND(G558*100,0)&lt;=4,"Low", ROUND(G558*100,0)&lt;=9,"Medium", ROUND(G558*100,0)&lt;=15,"High")</f>
        <v>Medium</v>
      </c>
      <c r="O558" s="22" t="str">
        <f>TEXT(Table1[[#This Row],[Order date]],"mmmm")</f>
        <v>October</v>
      </c>
    </row>
    <row r="559" spans="1:15" ht="13.5" x14ac:dyDescent="0.25">
      <c r="A559" s="1" t="str">
        <f>"ORD"&amp;"-"&amp;_xlfn.XLOOKUP(C559,Guide!$B$22:$B$26,Guide!$C$22:$C$26)&amp;"-"&amp;_xlfn.XLOOKUP(D559,Guide!$B$29:$B$33,Guide!$C$29:$C$33)&amp;"-"&amp;TEXT(H559,"yyyymmdd")</f>
        <v>ORD-GER-GOV-20141001</v>
      </c>
      <c r="B559" s="1" t="s">
        <v>551</v>
      </c>
      <c r="C559" s="1" t="s">
        <v>29</v>
      </c>
      <c r="D559" s="1" t="s">
        <v>39</v>
      </c>
      <c r="E559" s="1" t="s">
        <v>75</v>
      </c>
      <c r="F559" s="2">
        <v>360</v>
      </c>
      <c r="G559" s="4">
        <v>9.0000000000000011E-2</v>
      </c>
      <c r="H559" s="3">
        <f t="shared" si="24"/>
        <v>41913</v>
      </c>
      <c r="I559" s="1">
        <f>_xlfn.XLOOKUP(E559,Product!$A$2:$A$7,Product!$C$2:$C$7)</f>
        <v>20</v>
      </c>
      <c r="J559" s="22">
        <f t="shared" si="25"/>
        <v>7200</v>
      </c>
      <c r="K559" s="22">
        <f t="shared" si="26"/>
        <v>6552</v>
      </c>
      <c r="L559" s="22">
        <f>K559-(_xlfn.XLOOKUP(E559,Product!$A$2:$A$7,Product!$B$2:$B$7)*F559)</f>
        <v>2952</v>
      </c>
      <c r="M559">
        <f>YEAR(Table1[[#This Row],[Order date]])</f>
        <v>2014</v>
      </c>
      <c r="N559" s="22" t="str" cm="1">
        <f t="array" ref="N559">_xlfn.IFS(G559=0,"No Discount", ROUND(G559*100,0)&lt;=4,"Low", ROUND(G559*100,0)&lt;=9,"Medium", ROUND(G559*100,0)&lt;=15,"High")</f>
        <v>Medium</v>
      </c>
      <c r="O559" s="22" t="str">
        <f>TEXT(Table1[[#This Row],[Order date]],"mmmm")</f>
        <v>October</v>
      </c>
    </row>
    <row r="560" spans="1:15" ht="13.5" x14ac:dyDescent="0.25">
      <c r="A560" s="1" t="str">
        <f>"ORD"&amp;"-"&amp;_xlfn.XLOOKUP(C560,Guide!$B$22:$B$26,Guide!$C$22:$C$26)&amp;"-"&amp;_xlfn.XLOOKUP(D560,Guide!$B$29:$B$33,Guide!$C$29:$C$33)&amp;"-"&amp;TEXT(H560,"yyyymmdd")</f>
        <v>ORD-GER-GOV-20141001</v>
      </c>
      <c r="B560" s="1" t="s">
        <v>551</v>
      </c>
      <c r="C560" s="1" t="s">
        <v>29</v>
      </c>
      <c r="D560" s="1" t="s">
        <v>39</v>
      </c>
      <c r="E560" s="1" t="s">
        <v>78</v>
      </c>
      <c r="F560" s="2">
        <v>360</v>
      </c>
      <c r="G560" s="4">
        <v>9.0000000000000011E-2</v>
      </c>
      <c r="H560" s="3">
        <f t="shared" si="24"/>
        <v>41913</v>
      </c>
      <c r="I560" s="1">
        <f>_xlfn.XLOOKUP(E560,Product!$A$2:$A$7,Product!$C$2:$C$7)</f>
        <v>300</v>
      </c>
      <c r="J560" s="22">
        <f t="shared" si="25"/>
        <v>108000</v>
      </c>
      <c r="K560" s="22">
        <f t="shared" si="26"/>
        <v>98280</v>
      </c>
      <c r="L560" s="22">
        <f>K560-(_xlfn.XLOOKUP(E560,Product!$A$2:$A$7,Product!$B$2:$B$7)*F560)</f>
        <v>8280</v>
      </c>
      <c r="M560">
        <f>YEAR(Table1[[#This Row],[Order date]])</f>
        <v>2014</v>
      </c>
      <c r="N560" s="22" t="str" cm="1">
        <f t="array" ref="N560">_xlfn.IFS(G560=0,"No Discount", ROUND(G560*100,0)&lt;=4,"Low", ROUND(G560*100,0)&lt;=9,"Medium", ROUND(G560*100,0)&lt;=15,"High")</f>
        <v>Medium</v>
      </c>
      <c r="O560" s="22" t="str">
        <f>TEXT(Table1[[#This Row],[Order date]],"mmmm")</f>
        <v>October</v>
      </c>
    </row>
    <row r="561" spans="1:15" ht="13.5" x14ac:dyDescent="0.25">
      <c r="A561" s="1" t="str">
        <f>"ORD"&amp;"-"&amp;_xlfn.XLOOKUP(C561,Guide!$B$22:$B$26,Guide!$C$22:$C$26)&amp;"-"&amp;_xlfn.XLOOKUP(D561,Guide!$B$29:$B$33,Guide!$C$29:$C$33)&amp;"-"&amp;TEXT(H561,"yyyymmdd")</f>
        <v>ORD-GER-GOV-20141001</v>
      </c>
      <c r="B561" s="1" t="s">
        <v>552</v>
      </c>
      <c r="C561" s="1" t="s">
        <v>29</v>
      </c>
      <c r="D561" s="1" t="s">
        <v>39</v>
      </c>
      <c r="E561" s="1" t="s">
        <v>75</v>
      </c>
      <c r="F561" s="2">
        <v>241</v>
      </c>
      <c r="G561" s="4">
        <v>0.1</v>
      </c>
      <c r="H561" s="3">
        <f t="shared" si="24"/>
        <v>41913</v>
      </c>
      <c r="I561" s="1">
        <f>_xlfn.XLOOKUP(E561,Product!$A$2:$A$7,Product!$C$2:$C$7)</f>
        <v>20</v>
      </c>
      <c r="J561" s="22">
        <f t="shared" si="25"/>
        <v>4820</v>
      </c>
      <c r="K561" s="22">
        <f t="shared" si="26"/>
        <v>4338</v>
      </c>
      <c r="L561" s="22">
        <f>K561-(_xlfn.XLOOKUP(E561,Product!$A$2:$A$7,Product!$B$2:$B$7)*F561)</f>
        <v>1928</v>
      </c>
      <c r="M561">
        <f>YEAR(Table1[[#This Row],[Order date]])</f>
        <v>2014</v>
      </c>
      <c r="N561" s="22" t="str" cm="1">
        <f t="array" ref="N561">_xlfn.IFS(G561=0,"No Discount", ROUND(G561*100,0)&lt;=4,"Low", ROUND(G561*100,0)&lt;=9,"Medium", ROUND(G561*100,0)&lt;=15,"High")</f>
        <v>High</v>
      </c>
      <c r="O561" s="22" t="str">
        <f>TEXT(Table1[[#This Row],[Order date]],"mmmm")</f>
        <v>October</v>
      </c>
    </row>
    <row r="562" spans="1:15" ht="13.5" x14ac:dyDescent="0.25">
      <c r="A562" s="1" t="str">
        <f>"ORD"&amp;"-"&amp;_xlfn.XLOOKUP(C562,Guide!$B$22:$B$26,Guide!$C$22:$C$26)&amp;"-"&amp;_xlfn.XLOOKUP(D562,Guide!$B$29:$B$33,Guide!$C$29:$C$33)&amp;"-"&amp;TEXT(H562,"yyyymmdd")</f>
        <v>ORD-GER-GOV-20141001</v>
      </c>
      <c r="B562" s="1" t="s">
        <v>552</v>
      </c>
      <c r="C562" s="1" t="s">
        <v>29</v>
      </c>
      <c r="D562" s="1" t="s">
        <v>39</v>
      </c>
      <c r="E562" s="1" t="s">
        <v>88</v>
      </c>
      <c r="F562" s="2">
        <v>241</v>
      </c>
      <c r="G562" s="4">
        <v>0.1</v>
      </c>
      <c r="H562" s="3">
        <f t="shared" si="24"/>
        <v>41913</v>
      </c>
      <c r="I562" s="1">
        <f>_xlfn.XLOOKUP(E562,Product!$A$2:$A$7,Product!$C$2:$C$7)</f>
        <v>180</v>
      </c>
      <c r="J562" s="22">
        <f t="shared" si="25"/>
        <v>43380</v>
      </c>
      <c r="K562" s="22">
        <f t="shared" si="26"/>
        <v>39042</v>
      </c>
      <c r="L562" s="22">
        <f>K562-(_xlfn.XLOOKUP(E562,Product!$A$2:$A$7,Product!$B$2:$B$7)*F562)</f>
        <v>10122</v>
      </c>
      <c r="M562">
        <f>YEAR(Table1[[#This Row],[Order date]])</f>
        <v>2014</v>
      </c>
      <c r="N562" s="22" t="str" cm="1">
        <f t="array" ref="N562">_xlfn.IFS(G562=0,"No Discount", ROUND(G562*100,0)&lt;=4,"Low", ROUND(G562*100,0)&lt;=9,"Medium", ROUND(G562*100,0)&lt;=15,"High")</f>
        <v>High</v>
      </c>
      <c r="O562" s="22" t="str">
        <f>TEXT(Table1[[#This Row],[Order date]],"mmmm")</f>
        <v>October</v>
      </c>
    </row>
    <row r="563" spans="1:15" ht="13.5" x14ac:dyDescent="0.25">
      <c r="A563" s="1" t="str">
        <f>"ORD"&amp;"-"&amp;_xlfn.XLOOKUP(C563,Guide!$B$22:$B$26,Guide!$C$22:$C$26)&amp;"-"&amp;_xlfn.XLOOKUP(D563,Guide!$B$29:$B$33,Guide!$C$29:$C$33)&amp;"-"&amp;TEXT(H563,"yyyymmdd")</f>
        <v>ORD-GER-CPR-20141001</v>
      </c>
      <c r="B563" s="1" t="s">
        <v>553</v>
      </c>
      <c r="C563" s="1" t="s">
        <v>29</v>
      </c>
      <c r="D563" s="1" t="s">
        <v>43</v>
      </c>
      <c r="E563" s="1" t="s">
        <v>88</v>
      </c>
      <c r="F563" s="2">
        <v>472</v>
      </c>
      <c r="G563" s="4">
        <v>0.10999999999999999</v>
      </c>
      <c r="H563" s="3">
        <f t="shared" si="24"/>
        <v>41913</v>
      </c>
      <c r="I563" s="1">
        <f>_xlfn.XLOOKUP(E563,Product!$A$2:$A$7,Product!$C$2:$C$7)</f>
        <v>180</v>
      </c>
      <c r="J563" s="22">
        <f t="shared" si="25"/>
        <v>84960</v>
      </c>
      <c r="K563" s="22">
        <f t="shared" si="26"/>
        <v>75614.399999999994</v>
      </c>
      <c r="L563" s="22">
        <f>K563-(_xlfn.XLOOKUP(E563,Product!$A$2:$A$7,Product!$B$2:$B$7)*F563)</f>
        <v>18974.399999999994</v>
      </c>
      <c r="M563">
        <f>YEAR(Table1[[#This Row],[Order date]])</f>
        <v>2014</v>
      </c>
      <c r="N563" s="22" t="str" cm="1">
        <f t="array" ref="N563">_xlfn.IFS(G563=0,"No Discount", ROUND(G563*100,0)&lt;=4,"Low", ROUND(G563*100,0)&lt;=9,"Medium", ROUND(G563*100,0)&lt;=15,"High")</f>
        <v>High</v>
      </c>
      <c r="O563" s="22" t="str">
        <f>TEXT(Table1[[#This Row],[Order date]],"mmmm")</f>
        <v>October</v>
      </c>
    </row>
    <row r="564" spans="1:15" ht="13.5" x14ac:dyDescent="0.25">
      <c r="A564" s="1" t="str">
        <f>"ORD"&amp;"-"&amp;_xlfn.XLOOKUP(C564,Guide!$B$22:$B$26,Guide!$C$22:$C$26)&amp;"-"&amp;_xlfn.XLOOKUP(D564,Guide!$B$29:$B$33,Guide!$C$29:$C$33)&amp;"-"&amp;TEXT(H564,"yyyymmdd")</f>
        <v>ORD-GER-CPR-20141001</v>
      </c>
      <c r="B564" s="1" t="s">
        <v>553</v>
      </c>
      <c r="C564" s="1" t="s">
        <v>29</v>
      </c>
      <c r="D564" s="1" t="s">
        <v>43</v>
      </c>
      <c r="E564" s="1" t="s">
        <v>84</v>
      </c>
      <c r="F564" s="2">
        <v>472</v>
      </c>
      <c r="G564" s="4">
        <v>0.10999999999999999</v>
      </c>
      <c r="H564" s="3">
        <f t="shared" si="24"/>
        <v>41913</v>
      </c>
      <c r="I564" s="1">
        <f>_xlfn.XLOOKUP(E564,Product!$A$2:$A$7,Product!$C$2:$C$7)</f>
        <v>350</v>
      </c>
      <c r="J564" s="22">
        <f t="shared" si="25"/>
        <v>165200</v>
      </c>
      <c r="K564" s="22">
        <f t="shared" si="26"/>
        <v>147028</v>
      </c>
      <c r="L564" s="22">
        <f>K564-(_xlfn.XLOOKUP(E564,Product!$A$2:$A$7,Product!$B$2:$B$7)*F564)</f>
        <v>52628</v>
      </c>
      <c r="M564">
        <f>YEAR(Table1[[#This Row],[Order date]])</f>
        <v>2014</v>
      </c>
      <c r="N564" s="22" t="str" cm="1">
        <f t="array" ref="N564">_xlfn.IFS(G564=0,"No Discount", ROUND(G564*100,0)&lt;=4,"Low", ROUND(G564*100,0)&lt;=9,"Medium", ROUND(G564*100,0)&lt;=15,"High")</f>
        <v>High</v>
      </c>
      <c r="O564" s="22" t="str">
        <f>TEXT(Table1[[#This Row],[Order date]],"mmmm")</f>
        <v>October</v>
      </c>
    </row>
    <row r="565" spans="1:15" ht="13.5" x14ac:dyDescent="0.25">
      <c r="A565" s="1" t="str">
        <f>"ORD"&amp;"-"&amp;_xlfn.XLOOKUP(C565,Guide!$B$22:$B$26,Guide!$C$22:$C$26)&amp;"-"&amp;_xlfn.XLOOKUP(D565,Guide!$B$29:$B$33,Guide!$C$29:$C$33)&amp;"-"&amp;TEXT(H565,"yyyymmdd")</f>
        <v>ORD-FRA-ENT-20141001</v>
      </c>
      <c r="B565" s="1" t="s">
        <v>554</v>
      </c>
      <c r="C565" s="1" t="s">
        <v>31</v>
      </c>
      <c r="D565" s="1" t="s">
        <v>45</v>
      </c>
      <c r="E565" s="1" t="s">
        <v>75</v>
      </c>
      <c r="F565" s="2">
        <v>2441</v>
      </c>
      <c r="G565" s="4">
        <v>0.11</v>
      </c>
      <c r="H565" s="3">
        <f t="shared" si="24"/>
        <v>41913</v>
      </c>
      <c r="I565" s="1">
        <f>_xlfn.XLOOKUP(E565,Product!$A$2:$A$7,Product!$C$2:$C$7)</f>
        <v>20</v>
      </c>
      <c r="J565" s="22">
        <f t="shared" si="25"/>
        <v>48820</v>
      </c>
      <c r="K565" s="22">
        <f t="shared" si="26"/>
        <v>43449.8</v>
      </c>
      <c r="L565" s="22">
        <f>K565-(_xlfn.XLOOKUP(E565,Product!$A$2:$A$7,Product!$B$2:$B$7)*F565)</f>
        <v>19039.800000000003</v>
      </c>
      <c r="M565">
        <f>YEAR(Table1[[#This Row],[Order date]])</f>
        <v>2014</v>
      </c>
      <c r="N565" s="22" t="str" cm="1">
        <f t="array" ref="N565">_xlfn.IFS(G565=0,"No Discount", ROUND(G565*100,0)&lt;=4,"Low", ROUND(G565*100,0)&lt;=9,"Medium", ROUND(G565*100,0)&lt;=15,"High")</f>
        <v>High</v>
      </c>
      <c r="O565" s="22" t="str">
        <f>TEXT(Table1[[#This Row],[Order date]],"mmmm")</f>
        <v>October</v>
      </c>
    </row>
    <row r="566" spans="1:15" ht="13.5" x14ac:dyDescent="0.25">
      <c r="A566" s="1" t="str">
        <f>"ORD"&amp;"-"&amp;_xlfn.XLOOKUP(C566,Guide!$B$22:$B$26,Guide!$C$22:$C$26)&amp;"-"&amp;_xlfn.XLOOKUP(D566,Guide!$B$29:$B$33,Guide!$C$29:$C$33)&amp;"-"&amp;TEXT(H566,"yyyymmdd")</f>
        <v>ORD-FRA-ENT-20141001</v>
      </c>
      <c r="B566" s="1" t="s">
        <v>554</v>
      </c>
      <c r="C566" s="1" t="s">
        <v>31</v>
      </c>
      <c r="D566" s="1" t="s">
        <v>45</v>
      </c>
      <c r="E566" s="1" t="s">
        <v>80</v>
      </c>
      <c r="F566" s="2">
        <v>2441</v>
      </c>
      <c r="G566" s="4">
        <v>0.11</v>
      </c>
      <c r="H566" s="3">
        <f t="shared" si="24"/>
        <v>41913</v>
      </c>
      <c r="I566" s="1">
        <f>_xlfn.XLOOKUP(E566,Product!$A$2:$A$7,Product!$C$2:$C$7)</f>
        <v>20</v>
      </c>
      <c r="J566" s="22">
        <f t="shared" si="25"/>
        <v>48820</v>
      </c>
      <c r="K566" s="22">
        <f t="shared" si="26"/>
        <v>43449.8</v>
      </c>
      <c r="L566" s="22">
        <f>K566-(_xlfn.XLOOKUP(E566,Product!$A$2:$A$7,Product!$B$2:$B$7)*F566)</f>
        <v>36126.800000000003</v>
      </c>
      <c r="M566">
        <f>YEAR(Table1[[#This Row],[Order date]])</f>
        <v>2014</v>
      </c>
      <c r="N566" s="22" t="str" cm="1">
        <f t="array" ref="N566">_xlfn.IFS(G566=0,"No Discount", ROUND(G566*100,0)&lt;=4,"Low", ROUND(G566*100,0)&lt;=9,"Medium", ROUND(G566*100,0)&lt;=15,"High")</f>
        <v>High</v>
      </c>
      <c r="O566" s="22" t="str">
        <f>TEXT(Table1[[#This Row],[Order date]],"mmmm")</f>
        <v>October</v>
      </c>
    </row>
    <row r="567" spans="1:15" ht="13.5" x14ac:dyDescent="0.25">
      <c r="A567" s="1" t="str">
        <f>"ORD"&amp;"-"&amp;_xlfn.XLOOKUP(C567,Guide!$B$22:$B$26,Guide!$C$22:$C$26)&amp;"-"&amp;_xlfn.XLOOKUP(D567,Guide!$B$29:$B$33,Guide!$C$29:$C$33)&amp;"-"&amp;TEXT(H567,"yyyymmdd")</f>
        <v>ORD-MXC-GOV-20141001</v>
      </c>
      <c r="B567" s="1" t="s">
        <v>555</v>
      </c>
      <c r="C567" s="1" t="s">
        <v>33</v>
      </c>
      <c r="D567" s="1" t="s">
        <v>39</v>
      </c>
      <c r="E567" s="1" t="s">
        <v>75</v>
      </c>
      <c r="F567" s="2">
        <v>905</v>
      </c>
      <c r="G567" s="4">
        <v>0.12</v>
      </c>
      <c r="H567" s="3">
        <f t="shared" si="24"/>
        <v>41913</v>
      </c>
      <c r="I567" s="1">
        <f>_xlfn.XLOOKUP(E567,Product!$A$2:$A$7,Product!$C$2:$C$7)</f>
        <v>20</v>
      </c>
      <c r="J567" s="22">
        <f t="shared" si="25"/>
        <v>18100</v>
      </c>
      <c r="K567" s="22">
        <f t="shared" si="26"/>
        <v>15928</v>
      </c>
      <c r="L567" s="22">
        <f>K567-(_xlfn.XLOOKUP(E567,Product!$A$2:$A$7,Product!$B$2:$B$7)*F567)</f>
        <v>6878</v>
      </c>
      <c r="M567">
        <f>YEAR(Table1[[#This Row],[Order date]])</f>
        <v>2014</v>
      </c>
      <c r="N567" s="22" t="str" cm="1">
        <f t="array" ref="N567">_xlfn.IFS(G567=0,"No Discount", ROUND(G567*100,0)&lt;=4,"Low", ROUND(G567*100,0)&lt;=9,"Medium", ROUND(G567*100,0)&lt;=15,"High")</f>
        <v>High</v>
      </c>
      <c r="O567" s="22" t="str">
        <f>TEXT(Table1[[#This Row],[Order date]],"mmmm")</f>
        <v>October</v>
      </c>
    </row>
    <row r="568" spans="1:15" ht="13.5" x14ac:dyDescent="0.25">
      <c r="A568" s="1" t="str">
        <f>"ORD"&amp;"-"&amp;_xlfn.XLOOKUP(C568,Guide!$B$22:$B$26,Guide!$C$22:$C$26)&amp;"-"&amp;_xlfn.XLOOKUP(D568,Guide!$B$29:$B$33,Guide!$C$29:$C$33)&amp;"-"&amp;TEXT(H568,"yyyymmdd")</f>
        <v>ORD-USA-GOV-20141001</v>
      </c>
      <c r="B568" s="1" t="s">
        <v>556</v>
      </c>
      <c r="C568" s="1" t="s">
        <v>35</v>
      </c>
      <c r="D568" s="1" t="s">
        <v>39</v>
      </c>
      <c r="E568" s="1" t="s">
        <v>78</v>
      </c>
      <c r="F568" s="2">
        <v>986</v>
      </c>
      <c r="G568" s="4">
        <v>0.12</v>
      </c>
      <c r="H568" s="3">
        <f t="shared" si="24"/>
        <v>41913</v>
      </c>
      <c r="I568" s="1">
        <f>_xlfn.XLOOKUP(E568,Product!$A$2:$A$7,Product!$C$2:$C$7)</f>
        <v>300</v>
      </c>
      <c r="J568" s="22">
        <f t="shared" si="25"/>
        <v>295800</v>
      </c>
      <c r="K568" s="22">
        <f t="shared" si="26"/>
        <v>260304</v>
      </c>
      <c r="L568" s="22">
        <f>K568-(_xlfn.XLOOKUP(E568,Product!$A$2:$A$7,Product!$B$2:$B$7)*F568)</f>
        <v>13804</v>
      </c>
      <c r="M568">
        <f>YEAR(Table1[[#This Row],[Order date]])</f>
        <v>2014</v>
      </c>
      <c r="N568" s="22" t="str" cm="1">
        <f t="array" ref="N568">_xlfn.IFS(G568=0,"No Discount", ROUND(G568*100,0)&lt;=4,"Low", ROUND(G568*100,0)&lt;=9,"Medium", ROUND(G568*100,0)&lt;=15,"High")</f>
        <v>High</v>
      </c>
      <c r="O568" s="22" t="str">
        <f>TEXT(Table1[[#This Row],[Order date]],"mmmm")</f>
        <v>October</v>
      </c>
    </row>
    <row r="569" spans="1:15" ht="13.5" x14ac:dyDescent="0.25">
      <c r="A569" s="1" t="str">
        <f>"ORD"&amp;"-"&amp;_xlfn.XLOOKUP(C569,Guide!$B$22:$B$26,Guide!$C$22:$C$26)&amp;"-"&amp;_xlfn.XLOOKUP(D569,Guide!$B$29:$B$33,Guide!$C$29:$C$33)&amp;"-"&amp;TEXT(H569,"yyyymmdd")</f>
        <v>ORD-MXC-ENT-20141001</v>
      </c>
      <c r="B569" s="1" t="s">
        <v>557</v>
      </c>
      <c r="C569" s="1" t="s">
        <v>33</v>
      </c>
      <c r="D569" s="1" t="s">
        <v>45</v>
      </c>
      <c r="E569" s="1" t="s">
        <v>75</v>
      </c>
      <c r="F569" s="2">
        <v>2156</v>
      </c>
      <c r="G569" s="4">
        <v>0.12</v>
      </c>
      <c r="H569" s="3">
        <f t="shared" si="24"/>
        <v>41913</v>
      </c>
      <c r="I569" s="1">
        <f>_xlfn.XLOOKUP(E569,Product!$A$2:$A$7,Product!$C$2:$C$7)</f>
        <v>20</v>
      </c>
      <c r="J569" s="22">
        <f t="shared" si="25"/>
        <v>43120</v>
      </c>
      <c r="K569" s="22">
        <f t="shared" si="26"/>
        <v>37945.599999999999</v>
      </c>
      <c r="L569" s="22">
        <f>K569-(_xlfn.XLOOKUP(E569,Product!$A$2:$A$7,Product!$B$2:$B$7)*F569)</f>
        <v>16385.599999999999</v>
      </c>
      <c r="M569">
        <f>YEAR(Table1[[#This Row],[Order date]])</f>
        <v>2014</v>
      </c>
      <c r="N569" s="22" t="str" cm="1">
        <f t="array" ref="N569">_xlfn.IFS(G569=0,"No Discount", ROUND(G569*100,0)&lt;=4,"Low", ROUND(G569*100,0)&lt;=9,"Medium", ROUND(G569*100,0)&lt;=15,"High")</f>
        <v>High</v>
      </c>
      <c r="O569" s="22" t="str">
        <f>TEXT(Table1[[#This Row],[Order date]],"mmmm")</f>
        <v>October</v>
      </c>
    </row>
    <row r="570" spans="1:15" ht="13.5" x14ac:dyDescent="0.25">
      <c r="A570" s="1" t="str">
        <f>"ORD"&amp;"-"&amp;_xlfn.XLOOKUP(C570,Guide!$B$22:$B$26,Guide!$C$22:$C$26)&amp;"-"&amp;_xlfn.XLOOKUP(D570,Guide!$B$29:$B$33,Guide!$C$29:$C$33)&amp;"-"&amp;TEXT(H570,"yyyymmdd")</f>
        <v>ORD-CND-GOV-20141001</v>
      </c>
      <c r="B570" s="1" t="s">
        <v>558</v>
      </c>
      <c r="C570" s="1" t="s">
        <v>27</v>
      </c>
      <c r="D570" s="1" t="s">
        <v>39</v>
      </c>
      <c r="E570" s="1" t="s">
        <v>82</v>
      </c>
      <c r="F570" s="2">
        <v>2734</v>
      </c>
      <c r="G570" s="4">
        <v>0.12</v>
      </c>
      <c r="H570" s="3">
        <f t="shared" si="24"/>
        <v>41913</v>
      </c>
      <c r="I570" s="1">
        <f>_xlfn.XLOOKUP(E570,Product!$A$2:$A$7,Product!$C$2:$C$7)</f>
        <v>15</v>
      </c>
      <c r="J570" s="22">
        <f t="shared" si="25"/>
        <v>41010</v>
      </c>
      <c r="K570" s="22">
        <f t="shared" si="26"/>
        <v>36088.800000000003</v>
      </c>
      <c r="L570" s="22">
        <f>K570-(_xlfn.XLOOKUP(E570,Product!$A$2:$A$7,Product!$B$2:$B$7)*F570)</f>
        <v>22418.800000000003</v>
      </c>
      <c r="M570">
        <f>YEAR(Table1[[#This Row],[Order date]])</f>
        <v>2014</v>
      </c>
      <c r="N570" s="22" t="str" cm="1">
        <f t="array" ref="N570">_xlfn.IFS(G570=0,"No Discount", ROUND(G570*100,0)&lt;=4,"Low", ROUND(G570*100,0)&lt;=9,"Medium", ROUND(G570*100,0)&lt;=15,"High")</f>
        <v>High</v>
      </c>
      <c r="O570" s="22" t="str">
        <f>TEXT(Table1[[#This Row],[Order date]],"mmmm")</f>
        <v>October</v>
      </c>
    </row>
    <row r="571" spans="1:15" ht="13.5" x14ac:dyDescent="0.25">
      <c r="A571" s="1" t="str">
        <f>"ORD"&amp;"-"&amp;_xlfn.XLOOKUP(C571,Guide!$B$22:$B$26,Guide!$C$22:$C$26)&amp;"-"&amp;_xlfn.XLOOKUP(D571,Guide!$B$29:$B$33,Guide!$C$29:$C$33)&amp;"-"&amp;TEXT(H571,"yyyymmdd")</f>
        <v>ORD-MXC-ENT-20141001</v>
      </c>
      <c r="B571" s="1" t="s">
        <v>557</v>
      </c>
      <c r="C571" s="1" t="s">
        <v>33</v>
      </c>
      <c r="D571" s="1" t="s">
        <v>45</v>
      </c>
      <c r="E571" s="1" t="s">
        <v>80</v>
      </c>
      <c r="F571" s="2">
        <v>2156</v>
      </c>
      <c r="G571" s="4">
        <v>0.12</v>
      </c>
      <c r="H571" s="3">
        <f t="shared" si="24"/>
        <v>41913</v>
      </c>
      <c r="I571" s="1">
        <f>_xlfn.XLOOKUP(E571,Product!$A$2:$A$7,Product!$C$2:$C$7)</f>
        <v>20</v>
      </c>
      <c r="J571" s="22">
        <f t="shared" si="25"/>
        <v>43120</v>
      </c>
      <c r="K571" s="22">
        <f t="shared" si="26"/>
        <v>37945.599999999999</v>
      </c>
      <c r="L571" s="22">
        <f>K571-(_xlfn.XLOOKUP(E571,Product!$A$2:$A$7,Product!$B$2:$B$7)*F571)</f>
        <v>31477.599999999999</v>
      </c>
      <c r="M571">
        <f>YEAR(Table1[[#This Row],[Order date]])</f>
        <v>2014</v>
      </c>
      <c r="N571" s="22" t="str" cm="1">
        <f t="array" ref="N571">_xlfn.IFS(G571=0,"No Discount", ROUND(G571*100,0)&lt;=4,"Low", ROUND(G571*100,0)&lt;=9,"Medium", ROUND(G571*100,0)&lt;=15,"High")</f>
        <v>High</v>
      </c>
      <c r="O571" s="22" t="str">
        <f>TEXT(Table1[[#This Row],[Order date]],"mmmm")</f>
        <v>October</v>
      </c>
    </row>
    <row r="572" spans="1:15" ht="13.5" x14ac:dyDescent="0.25">
      <c r="A572" s="1" t="str">
        <f>"ORD"&amp;"-"&amp;_xlfn.XLOOKUP(C572,Guide!$B$22:$B$26,Guide!$C$22:$C$26)&amp;"-"&amp;_xlfn.XLOOKUP(D572,Guide!$B$29:$B$33,Guide!$C$29:$C$33)&amp;"-"&amp;TEXT(H572,"yyyymmdd")</f>
        <v>ORD-MXC-GOV-20141001</v>
      </c>
      <c r="B572" s="1" t="s">
        <v>555</v>
      </c>
      <c r="C572" s="1" t="s">
        <v>33</v>
      </c>
      <c r="D572" s="1" t="s">
        <v>39</v>
      </c>
      <c r="E572" s="1" t="s">
        <v>88</v>
      </c>
      <c r="F572" s="2">
        <v>905</v>
      </c>
      <c r="G572" s="4">
        <v>0.12</v>
      </c>
      <c r="H572" s="3">
        <f t="shared" si="24"/>
        <v>41913</v>
      </c>
      <c r="I572" s="1">
        <f>_xlfn.XLOOKUP(E572,Product!$A$2:$A$7,Product!$C$2:$C$7)</f>
        <v>180</v>
      </c>
      <c r="J572" s="22">
        <f t="shared" si="25"/>
        <v>162900</v>
      </c>
      <c r="K572" s="22">
        <f t="shared" si="26"/>
        <v>143352</v>
      </c>
      <c r="L572" s="22">
        <f>K572-(_xlfn.XLOOKUP(E572,Product!$A$2:$A$7,Product!$B$2:$B$7)*F572)</f>
        <v>34752</v>
      </c>
      <c r="M572">
        <f>YEAR(Table1[[#This Row],[Order date]])</f>
        <v>2014</v>
      </c>
      <c r="N572" s="22" t="str" cm="1">
        <f t="array" ref="N572">_xlfn.IFS(G572=0,"No Discount", ROUND(G572*100,0)&lt;=4,"Low", ROUND(G572*100,0)&lt;=9,"Medium", ROUND(G572*100,0)&lt;=15,"High")</f>
        <v>High</v>
      </c>
      <c r="O572" s="22" t="str">
        <f>TEXT(Table1[[#This Row],[Order date]],"mmmm")</f>
        <v>October</v>
      </c>
    </row>
    <row r="573" spans="1:15" ht="13.5" x14ac:dyDescent="0.25">
      <c r="A573" s="1" t="str">
        <f>"ORD"&amp;"-"&amp;_xlfn.XLOOKUP(C573,Guide!$B$22:$B$26,Guide!$C$22:$C$26)&amp;"-"&amp;_xlfn.XLOOKUP(D573,Guide!$B$29:$B$33,Guide!$C$29:$C$33)&amp;"-"&amp;TEXT(H573,"yyyymmdd")</f>
        <v>ORD-USA-GOV-20141001</v>
      </c>
      <c r="B573" s="1" t="s">
        <v>556</v>
      </c>
      <c r="C573" s="1" t="s">
        <v>35</v>
      </c>
      <c r="D573" s="1" t="s">
        <v>39</v>
      </c>
      <c r="E573" s="1" t="s">
        <v>88</v>
      </c>
      <c r="F573" s="2">
        <v>986</v>
      </c>
      <c r="G573" s="4">
        <v>0.12</v>
      </c>
      <c r="H573" s="3">
        <f t="shared" si="24"/>
        <v>41913</v>
      </c>
      <c r="I573" s="1">
        <f>_xlfn.XLOOKUP(E573,Product!$A$2:$A$7,Product!$C$2:$C$7)</f>
        <v>180</v>
      </c>
      <c r="J573" s="22">
        <f t="shared" si="25"/>
        <v>177480</v>
      </c>
      <c r="K573" s="22">
        <f t="shared" si="26"/>
        <v>156182.39999999999</v>
      </c>
      <c r="L573" s="22">
        <f>K573-(_xlfn.XLOOKUP(E573,Product!$A$2:$A$7,Product!$B$2:$B$7)*F573)</f>
        <v>37862.399999999994</v>
      </c>
      <c r="M573">
        <f>YEAR(Table1[[#This Row],[Order date]])</f>
        <v>2014</v>
      </c>
      <c r="N573" s="22" t="str" cm="1">
        <f t="array" ref="N573">_xlfn.IFS(G573=0,"No Discount", ROUND(G573*100,0)&lt;=4,"Low", ROUND(G573*100,0)&lt;=9,"Medium", ROUND(G573*100,0)&lt;=15,"High")</f>
        <v>High</v>
      </c>
      <c r="O573" s="22" t="str">
        <f>TEXT(Table1[[#This Row],[Order date]],"mmmm")</f>
        <v>October</v>
      </c>
    </row>
    <row r="574" spans="1:15" ht="13.5" x14ac:dyDescent="0.25">
      <c r="A574" s="1" t="str">
        <f>"ORD"&amp;"-"&amp;_xlfn.XLOOKUP(C574,Guide!$B$22:$B$26,Guide!$C$22:$C$26)&amp;"-"&amp;_xlfn.XLOOKUP(D574,Guide!$B$29:$B$33,Guide!$C$29:$C$33)&amp;"-"&amp;TEXT(H574,"yyyymmdd")</f>
        <v>ORD-CND-GOV-20141001</v>
      </c>
      <c r="B574" s="1" t="s">
        <v>558</v>
      </c>
      <c r="C574" s="1" t="s">
        <v>27</v>
      </c>
      <c r="D574" s="1" t="s">
        <v>39</v>
      </c>
      <c r="E574" s="1" t="s">
        <v>84</v>
      </c>
      <c r="F574" s="2">
        <v>2734</v>
      </c>
      <c r="G574" s="4">
        <v>0.12</v>
      </c>
      <c r="H574" s="3">
        <f t="shared" si="24"/>
        <v>41913</v>
      </c>
      <c r="I574" s="1">
        <f>_xlfn.XLOOKUP(E574,Product!$A$2:$A$7,Product!$C$2:$C$7)</f>
        <v>350</v>
      </c>
      <c r="J574" s="22">
        <f t="shared" si="25"/>
        <v>956900</v>
      </c>
      <c r="K574" s="22">
        <f t="shared" si="26"/>
        <v>842072</v>
      </c>
      <c r="L574" s="22">
        <f>K574-(_xlfn.XLOOKUP(E574,Product!$A$2:$A$7,Product!$B$2:$B$7)*F574)</f>
        <v>295272</v>
      </c>
      <c r="M574">
        <f>YEAR(Table1[[#This Row],[Order date]])</f>
        <v>2014</v>
      </c>
      <c r="N574" s="22" t="str" cm="1">
        <f t="array" ref="N574">_xlfn.IFS(G574=0,"No Discount", ROUND(G574*100,0)&lt;=4,"Low", ROUND(G574*100,0)&lt;=9,"Medium", ROUND(G574*100,0)&lt;=15,"High")</f>
        <v>High</v>
      </c>
      <c r="O574" s="22" t="str">
        <f>TEXT(Table1[[#This Row],[Order date]],"mmmm")</f>
        <v>October</v>
      </c>
    </row>
    <row r="575" spans="1:15" ht="13.5" x14ac:dyDescent="0.25">
      <c r="A575" s="1" t="str">
        <f>"ORD"&amp;"-"&amp;_xlfn.XLOOKUP(C575,Guide!$B$22:$B$26,Guide!$C$22:$C$26)&amp;"-"&amp;_xlfn.XLOOKUP(D575,Guide!$B$29:$B$33,Guide!$C$29:$C$33)&amp;"-"&amp;TEXT(H575,"yyyymmdd")</f>
        <v>ORD-CND-GOV-20141001</v>
      </c>
      <c r="B575" s="1" t="s">
        <v>559</v>
      </c>
      <c r="C575" s="1" t="s">
        <v>27</v>
      </c>
      <c r="D575" s="1" t="s">
        <v>39</v>
      </c>
      <c r="E575" s="1" t="s">
        <v>75</v>
      </c>
      <c r="F575" s="2">
        <v>1249</v>
      </c>
      <c r="G575" s="4">
        <v>0.13</v>
      </c>
      <c r="H575" s="3">
        <f t="shared" si="24"/>
        <v>41913</v>
      </c>
      <c r="I575" s="1">
        <f>_xlfn.XLOOKUP(E575,Product!$A$2:$A$7,Product!$C$2:$C$7)</f>
        <v>20</v>
      </c>
      <c r="J575" s="22">
        <f t="shared" si="25"/>
        <v>24980</v>
      </c>
      <c r="K575" s="22">
        <f t="shared" si="26"/>
        <v>21732.6</v>
      </c>
      <c r="L575" s="22">
        <f>K575-(_xlfn.XLOOKUP(E575,Product!$A$2:$A$7,Product!$B$2:$B$7)*F575)</f>
        <v>9242.5999999999985</v>
      </c>
      <c r="M575">
        <f>YEAR(Table1[[#This Row],[Order date]])</f>
        <v>2014</v>
      </c>
      <c r="N575" s="22" t="str" cm="1">
        <f t="array" ref="N575">_xlfn.IFS(G575=0,"No Discount", ROUND(G575*100,0)&lt;=4,"Low", ROUND(G575*100,0)&lt;=9,"Medium", ROUND(G575*100,0)&lt;=15,"High")</f>
        <v>High</v>
      </c>
      <c r="O575" s="22" t="str">
        <f>TEXT(Table1[[#This Row],[Order date]],"mmmm")</f>
        <v>October</v>
      </c>
    </row>
    <row r="576" spans="1:15" ht="13.5" x14ac:dyDescent="0.25">
      <c r="A576" s="1" t="str">
        <f>"ORD"&amp;"-"&amp;_xlfn.XLOOKUP(C576,Guide!$B$22:$B$26,Guide!$C$22:$C$26)&amp;"-"&amp;_xlfn.XLOOKUP(D576,Guide!$B$29:$B$33,Guide!$C$29:$C$33)&amp;"-"&amp;TEXT(H576,"yyyymmdd")</f>
        <v>ORD-CND-GOV-20141001</v>
      </c>
      <c r="B576" s="1" t="s">
        <v>559</v>
      </c>
      <c r="C576" s="1" t="s">
        <v>27</v>
      </c>
      <c r="D576" s="1" t="s">
        <v>39</v>
      </c>
      <c r="E576" s="1" t="s">
        <v>82</v>
      </c>
      <c r="F576" s="2">
        <v>1249</v>
      </c>
      <c r="G576" s="4">
        <v>0.13</v>
      </c>
      <c r="H576" s="3">
        <f t="shared" si="24"/>
        <v>41913</v>
      </c>
      <c r="I576" s="1">
        <f>_xlfn.XLOOKUP(E576,Product!$A$2:$A$7,Product!$C$2:$C$7)</f>
        <v>15</v>
      </c>
      <c r="J576" s="22">
        <f t="shared" si="25"/>
        <v>18735</v>
      </c>
      <c r="K576" s="22">
        <f t="shared" si="26"/>
        <v>16299.45</v>
      </c>
      <c r="L576" s="22">
        <f>K576-(_xlfn.XLOOKUP(E576,Product!$A$2:$A$7,Product!$B$2:$B$7)*F576)</f>
        <v>10054.450000000001</v>
      </c>
      <c r="M576">
        <f>YEAR(Table1[[#This Row],[Order date]])</f>
        <v>2014</v>
      </c>
      <c r="N576" s="22" t="str" cm="1">
        <f t="array" ref="N576">_xlfn.IFS(G576=0,"No Discount", ROUND(G576*100,0)&lt;=4,"Low", ROUND(G576*100,0)&lt;=9,"Medium", ROUND(G576*100,0)&lt;=15,"High")</f>
        <v>High</v>
      </c>
      <c r="O576" s="22" t="str">
        <f>TEXT(Table1[[#This Row],[Order date]],"mmmm")</f>
        <v>October</v>
      </c>
    </row>
    <row r="577" spans="1:15" ht="13.5" x14ac:dyDescent="0.25">
      <c r="A577" s="1" t="str">
        <f>"ORD"&amp;"-"&amp;_xlfn.XLOOKUP(C577,Guide!$B$22:$B$26,Guide!$C$22:$C$26)&amp;"-"&amp;_xlfn.XLOOKUP(D577,Guide!$B$29:$B$33,Guide!$C$29:$C$33)&amp;"-"&amp;TEXT(H577,"yyyymmdd")</f>
        <v>ORD-CND-MDM-20141001</v>
      </c>
      <c r="B577" s="1" t="s">
        <v>560</v>
      </c>
      <c r="C577" s="1" t="s">
        <v>27</v>
      </c>
      <c r="D577" s="1" t="s">
        <v>41</v>
      </c>
      <c r="E577" s="1" t="s">
        <v>75</v>
      </c>
      <c r="F577" s="2">
        <v>1565</v>
      </c>
      <c r="G577" s="4">
        <v>0.13</v>
      </c>
      <c r="H577" s="3">
        <f t="shared" si="24"/>
        <v>41913</v>
      </c>
      <c r="I577" s="1">
        <f>_xlfn.XLOOKUP(E577,Product!$A$2:$A$7,Product!$C$2:$C$7)</f>
        <v>20</v>
      </c>
      <c r="J577" s="22">
        <f t="shared" si="25"/>
        <v>31300</v>
      </c>
      <c r="K577" s="22">
        <f t="shared" si="26"/>
        <v>27231</v>
      </c>
      <c r="L577" s="22">
        <f>K577-(_xlfn.XLOOKUP(E577,Product!$A$2:$A$7,Product!$B$2:$B$7)*F577)</f>
        <v>11581</v>
      </c>
      <c r="M577">
        <f>YEAR(Table1[[#This Row],[Order date]])</f>
        <v>2014</v>
      </c>
      <c r="N577" s="22" t="str" cm="1">
        <f t="array" ref="N577">_xlfn.IFS(G577=0,"No Discount", ROUND(G577*100,0)&lt;=4,"Low", ROUND(G577*100,0)&lt;=9,"Medium", ROUND(G577*100,0)&lt;=15,"High")</f>
        <v>High</v>
      </c>
      <c r="O577" s="22" t="str">
        <f>TEXT(Table1[[#This Row],[Order date]],"mmmm")</f>
        <v>October</v>
      </c>
    </row>
    <row r="578" spans="1:15" ht="13.5" x14ac:dyDescent="0.25">
      <c r="A578" s="1" t="str">
        <f>"ORD"&amp;"-"&amp;_xlfn.XLOOKUP(C578,Guide!$B$22:$B$26,Guide!$C$22:$C$26)&amp;"-"&amp;_xlfn.XLOOKUP(D578,Guide!$B$29:$B$33,Guide!$C$29:$C$33)&amp;"-"&amp;TEXT(H578,"yyyymmdd")</f>
        <v>ORD-MXC-CPR-20141001</v>
      </c>
      <c r="B578" s="1" t="s">
        <v>561</v>
      </c>
      <c r="C578" s="1" t="s">
        <v>33</v>
      </c>
      <c r="D578" s="1" t="s">
        <v>43</v>
      </c>
      <c r="E578" s="1" t="s">
        <v>88</v>
      </c>
      <c r="F578" s="2">
        <v>410</v>
      </c>
      <c r="G578" s="4">
        <v>0.13</v>
      </c>
      <c r="H578" s="3">
        <f t="shared" ref="H578:H641" si="27">DATE(VALUE(_xlfn.TEXTBEFORE(_xlfn.TEXTAFTER(B578,"""year"": """),"""")),VALUE(_xlfn.TEXTBEFORE(_xlfn.TEXTAFTER(B578,"""month"": """),"""")),VALUE(_xlfn.TEXTBEFORE(_xlfn.TEXTAFTER(B578,"""date"": """),""""))
)</f>
        <v>41913</v>
      </c>
      <c r="I578" s="1">
        <f>_xlfn.XLOOKUP(E578,Product!$A$2:$A$7,Product!$C$2:$C$7)</f>
        <v>180</v>
      </c>
      <c r="J578" s="22">
        <f t="shared" ref="J578:J641" si="28">I578*F578</f>
        <v>73800</v>
      </c>
      <c r="K578" s="22">
        <f t="shared" ref="K578:K641" si="29">J578*(1-IF(G578="-",0,G578))</f>
        <v>64206</v>
      </c>
      <c r="L578" s="22">
        <f>K578-(_xlfn.XLOOKUP(E578,Product!$A$2:$A$7,Product!$B$2:$B$7)*F578)</f>
        <v>15006</v>
      </c>
      <c r="M578">
        <f>YEAR(Table1[[#This Row],[Order date]])</f>
        <v>2014</v>
      </c>
      <c r="N578" s="22" t="str" cm="1">
        <f t="array" ref="N578">_xlfn.IFS(G578=0,"No Discount", ROUND(G578*100,0)&lt;=4,"Low", ROUND(G578*100,0)&lt;=9,"Medium", ROUND(G578*100,0)&lt;=15,"High")</f>
        <v>High</v>
      </c>
      <c r="O578" s="22" t="str">
        <f>TEXT(Table1[[#This Row],[Order date]],"mmmm")</f>
        <v>October</v>
      </c>
    </row>
    <row r="579" spans="1:15" ht="13.5" x14ac:dyDescent="0.25">
      <c r="A579" s="1" t="str">
        <f>"ORD"&amp;"-"&amp;_xlfn.XLOOKUP(C579,Guide!$B$22:$B$26,Guide!$C$22:$C$26)&amp;"-"&amp;_xlfn.XLOOKUP(D579,Guide!$B$29:$B$33,Guide!$C$29:$C$33)&amp;"-"&amp;TEXT(H579,"yyyymmdd")</f>
        <v>ORD-CND-MDM-20141001</v>
      </c>
      <c r="B579" s="1" t="s">
        <v>560</v>
      </c>
      <c r="C579" s="1" t="s">
        <v>27</v>
      </c>
      <c r="D579" s="1" t="s">
        <v>41</v>
      </c>
      <c r="E579" s="1" t="s">
        <v>78</v>
      </c>
      <c r="F579" s="2">
        <v>1565</v>
      </c>
      <c r="G579" s="4">
        <v>0.13</v>
      </c>
      <c r="H579" s="3">
        <f t="shared" si="27"/>
        <v>41913</v>
      </c>
      <c r="I579" s="1">
        <f>_xlfn.XLOOKUP(E579,Product!$A$2:$A$7,Product!$C$2:$C$7)</f>
        <v>300</v>
      </c>
      <c r="J579" s="22">
        <f t="shared" si="28"/>
        <v>469500</v>
      </c>
      <c r="K579" s="22">
        <f t="shared" si="29"/>
        <v>408465</v>
      </c>
      <c r="L579" s="22">
        <f>K579-(_xlfn.XLOOKUP(E579,Product!$A$2:$A$7,Product!$B$2:$B$7)*F579)</f>
        <v>17215</v>
      </c>
      <c r="M579">
        <f>YEAR(Table1[[#This Row],[Order date]])</f>
        <v>2014</v>
      </c>
      <c r="N579" s="22" t="str" cm="1">
        <f t="array" ref="N579">_xlfn.IFS(G579=0,"No Discount", ROUND(G579*100,0)&lt;=4,"Low", ROUND(G579*100,0)&lt;=9,"Medium", ROUND(G579*100,0)&lt;=15,"High")</f>
        <v>High</v>
      </c>
      <c r="O579" s="22" t="str">
        <f>TEXT(Table1[[#This Row],[Order date]],"mmmm")</f>
        <v>October</v>
      </c>
    </row>
    <row r="580" spans="1:15" ht="13.5" x14ac:dyDescent="0.25">
      <c r="A580" s="1" t="str">
        <f>"ORD"&amp;"-"&amp;_xlfn.XLOOKUP(C580,Guide!$B$22:$B$26,Guide!$C$22:$C$26)&amp;"-"&amp;_xlfn.XLOOKUP(D580,Guide!$B$29:$B$33,Guide!$C$29:$C$33)&amp;"-"&amp;TEXT(H580,"yyyymmdd")</f>
        <v>ORD-MXC-CPR-20141001</v>
      </c>
      <c r="B580" s="1" t="s">
        <v>561</v>
      </c>
      <c r="C580" s="1" t="s">
        <v>33</v>
      </c>
      <c r="D580" s="1" t="s">
        <v>43</v>
      </c>
      <c r="E580" s="1" t="s">
        <v>84</v>
      </c>
      <c r="F580" s="2">
        <v>410</v>
      </c>
      <c r="G580" s="4">
        <v>0.13</v>
      </c>
      <c r="H580" s="3">
        <f t="shared" si="27"/>
        <v>41913</v>
      </c>
      <c r="I580" s="1">
        <f>_xlfn.XLOOKUP(E580,Product!$A$2:$A$7,Product!$C$2:$C$7)</f>
        <v>350</v>
      </c>
      <c r="J580" s="22">
        <f t="shared" si="28"/>
        <v>143500</v>
      </c>
      <c r="K580" s="22">
        <f t="shared" si="29"/>
        <v>124845</v>
      </c>
      <c r="L580" s="22">
        <f>K580-(_xlfn.XLOOKUP(E580,Product!$A$2:$A$7,Product!$B$2:$B$7)*F580)</f>
        <v>42845</v>
      </c>
      <c r="M580">
        <f>YEAR(Table1[[#This Row],[Order date]])</f>
        <v>2014</v>
      </c>
      <c r="N580" s="22" t="str" cm="1">
        <f t="array" ref="N580">_xlfn.IFS(G580=0,"No Discount", ROUND(G580*100,0)&lt;=4,"Low", ROUND(G580*100,0)&lt;=9,"Medium", ROUND(G580*100,0)&lt;=15,"High")</f>
        <v>High</v>
      </c>
      <c r="O580" s="22" t="str">
        <f>TEXT(Table1[[#This Row],[Order date]],"mmmm")</f>
        <v>October</v>
      </c>
    </row>
    <row r="581" spans="1:15" ht="13.5" x14ac:dyDescent="0.25">
      <c r="A581" s="1" t="str">
        <f>"ORD"&amp;"-"&amp;_xlfn.XLOOKUP(C581,Guide!$B$22:$B$26,Guide!$C$22:$C$26)&amp;"-"&amp;_xlfn.XLOOKUP(D581,Guide!$B$29:$B$33,Guide!$C$29:$C$33)&amp;"-"&amp;TEXT(H581,"yyyymmdd")</f>
        <v>ORD-FRA-CPR-20141001</v>
      </c>
      <c r="B581" s="1" t="s">
        <v>562</v>
      </c>
      <c r="C581" s="1" t="s">
        <v>31</v>
      </c>
      <c r="D581" s="1" t="s">
        <v>43</v>
      </c>
      <c r="E581" s="1" t="s">
        <v>75</v>
      </c>
      <c r="F581" s="2">
        <v>1393</v>
      </c>
      <c r="G581" s="4">
        <v>0.13999999999999999</v>
      </c>
      <c r="H581" s="3">
        <f t="shared" si="27"/>
        <v>41913</v>
      </c>
      <c r="I581" s="1">
        <f>_xlfn.XLOOKUP(E581,Product!$A$2:$A$7,Product!$C$2:$C$7)</f>
        <v>20</v>
      </c>
      <c r="J581" s="22">
        <f t="shared" si="28"/>
        <v>27860</v>
      </c>
      <c r="K581" s="22">
        <f t="shared" si="29"/>
        <v>23959.599999999999</v>
      </c>
      <c r="L581" s="22">
        <f>K581-(_xlfn.XLOOKUP(E581,Product!$A$2:$A$7,Product!$B$2:$B$7)*F581)</f>
        <v>10029.599999999999</v>
      </c>
      <c r="M581">
        <f>YEAR(Table1[[#This Row],[Order date]])</f>
        <v>2014</v>
      </c>
      <c r="N581" s="22" t="str" cm="1">
        <f t="array" ref="N581">_xlfn.IFS(G581=0,"No Discount", ROUND(G581*100,0)&lt;=4,"Low", ROUND(G581*100,0)&lt;=9,"Medium", ROUND(G581*100,0)&lt;=15,"High")</f>
        <v>High</v>
      </c>
      <c r="O581" s="22" t="str">
        <f>TEXT(Table1[[#This Row],[Order date]],"mmmm")</f>
        <v>October</v>
      </c>
    </row>
    <row r="582" spans="1:15" ht="13.5" x14ac:dyDescent="0.25">
      <c r="A582" s="1" t="str">
        <f>"ORD"&amp;"-"&amp;_xlfn.XLOOKUP(C582,Guide!$B$22:$B$26,Guide!$C$22:$C$26)&amp;"-"&amp;_xlfn.XLOOKUP(D582,Guide!$B$29:$B$33,Guide!$C$29:$C$33)&amp;"-"&amp;TEXT(H582,"yyyymmdd")</f>
        <v>ORD-FRA-CPR-20141001</v>
      </c>
      <c r="B582" s="1" t="s">
        <v>562</v>
      </c>
      <c r="C582" s="1" t="s">
        <v>31</v>
      </c>
      <c r="D582" s="1" t="s">
        <v>43</v>
      </c>
      <c r="E582" s="1" t="s">
        <v>84</v>
      </c>
      <c r="F582" s="2">
        <v>1393</v>
      </c>
      <c r="G582" s="4">
        <v>0.13999999999999999</v>
      </c>
      <c r="H582" s="3">
        <f t="shared" si="27"/>
        <v>41913</v>
      </c>
      <c r="I582" s="1">
        <f>_xlfn.XLOOKUP(E582,Product!$A$2:$A$7,Product!$C$2:$C$7)</f>
        <v>350</v>
      </c>
      <c r="J582" s="22">
        <f t="shared" si="28"/>
        <v>487550</v>
      </c>
      <c r="K582" s="22">
        <f t="shared" si="29"/>
        <v>419293</v>
      </c>
      <c r="L582" s="22">
        <f>K582-(_xlfn.XLOOKUP(E582,Product!$A$2:$A$7,Product!$B$2:$B$7)*F582)</f>
        <v>140693</v>
      </c>
      <c r="M582">
        <f>YEAR(Table1[[#This Row],[Order date]])</f>
        <v>2014</v>
      </c>
      <c r="N582" s="22" t="str" cm="1">
        <f t="array" ref="N582">_xlfn.IFS(G582=0,"No Discount", ROUND(G582*100,0)&lt;=4,"Low", ROUND(G582*100,0)&lt;=9,"Medium", ROUND(G582*100,0)&lt;=15,"High")</f>
        <v>High</v>
      </c>
      <c r="O582" s="22" t="str">
        <f>TEXT(Table1[[#This Row],[Order date]],"mmmm")</f>
        <v>October</v>
      </c>
    </row>
    <row r="583" spans="1:15" ht="13.5" x14ac:dyDescent="0.25">
      <c r="A583" s="1" t="str">
        <f>"ORD"&amp;"-"&amp;_xlfn.XLOOKUP(C583,Guide!$B$22:$B$26,Guide!$C$22:$C$26)&amp;"-"&amp;_xlfn.XLOOKUP(D583,Guide!$B$29:$B$33,Guide!$C$29:$C$33)&amp;"-"&amp;TEXT(H583,"yyyymmdd")</f>
        <v>ORD-USA-SMB-20141001</v>
      </c>
      <c r="B583" s="1" t="s">
        <v>563</v>
      </c>
      <c r="C583" s="1" t="s">
        <v>35</v>
      </c>
      <c r="D583" s="1" t="s">
        <v>47</v>
      </c>
      <c r="E583" s="1" t="s">
        <v>78</v>
      </c>
      <c r="F583" s="2">
        <v>1010</v>
      </c>
      <c r="G583" s="4">
        <v>0.14000000000000001</v>
      </c>
      <c r="H583" s="3">
        <f t="shared" si="27"/>
        <v>41913</v>
      </c>
      <c r="I583" s="1">
        <f>_xlfn.XLOOKUP(E583,Product!$A$2:$A$7,Product!$C$2:$C$7)</f>
        <v>300</v>
      </c>
      <c r="J583" s="22">
        <f t="shared" si="28"/>
        <v>303000</v>
      </c>
      <c r="K583" s="22">
        <f t="shared" si="29"/>
        <v>260580</v>
      </c>
      <c r="L583" s="22">
        <f>K583-(_xlfn.XLOOKUP(E583,Product!$A$2:$A$7,Product!$B$2:$B$7)*F583)</f>
        <v>8080</v>
      </c>
      <c r="M583">
        <f>YEAR(Table1[[#This Row],[Order date]])</f>
        <v>2014</v>
      </c>
      <c r="N583" s="22" t="str" cm="1">
        <f t="array" ref="N583">_xlfn.IFS(G583=0,"No Discount", ROUND(G583*100,0)&lt;=4,"Low", ROUND(G583*100,0)&lt;=9,"Medium", ROUND(G583*100,0)&lt;=15,"High")</f>
        <v>High</v>
      </c>
      <c r="O583" s="22" t="str">
        <f>TEXT(Table1[[#This Row],[Order date]],"mmmm")</f>
        <v>October</v>
      </c>
    </row>
    <row r="584" spans="1:15" ht="13.5" x14ac:dyDescent="0.25">
      <c r="A584" s="1" t="str">
        <f>"ORD"&amp;"-"&amp;_xlfn.XLOOKUP(C584,Guide!$B$22:$B$26,Guide!$C$22:$C$26)&amp;"-"&amp;_xlfn.XLOOKUP(D584,Guide!$B$29:$B$33,Guide!$C$29:$C$33)&amp;"-"&amp;TEXT(H584,"yyyymmdd")</f>
        <v>ORD-CND-SMB-20141001</v>
      </c>
      <c r="B584" s="1" t="s">
        <v>564</v>
      </c>
      <c r="C584" s="1" t="s">
        <v>27</v>
      </c>
      <c r="D584" s="1" t="s">
        <v>47</v>
      </c>
      <c r="E584" s="1" t="s">
        <v>78</v>
      </c>
      <c r="F584" s="2">
        <v>1496</v>
      </c>
      <c r="G584" s="4">
        <v>0.14000000000000001</v>
      </c>
      <c r="H584" s="3">
        <f t="shared" si="27"/>
        <v>41913</v>
      </c>
      <c r="I584" s="1">
        <f>_xlfn.XLOOKUP(E584,Product!$A$2:$A$7,Product!$C$2:$C$7)</f>
        <v>300</v>
      </c>
      <c r="J584" s="22">
        <f t="shared" si="28"/>
        <v>448800</v>
      </c>
      <c r="K584" s="22">
        <f t="shared" si="29"/>
        <v>385968</v>
      </c>
      <c r="L584" s="22">
        <f>K584-(_xlfn.XLOOKUP(E584,Product!$A$2:$A$7,Product!$B$2:$B$7)*F584)</f>
        <v>11968</v>
      </c>
      <c r="M584">
        <f>YEAR(Table1[[#This Row],[Order date]])</f>
        <v>2014</v>
      </c>
      <c r="N584" s="22" t="str" cm="1">
        <f t="array" ref="N584">_xlfn.IFS(G584=0,"No Discount", ROUND(G584*100,0)&lt;=4,"Low", ROUND(G584*100,0)&lt;=9,"Medium", ROUND(G584*100,0)&lt;=15,"High")</f>
        <v>High</v>
      </c>
      <c r="O584" s="22" t="str">
        <f>TEXT(Table1[[#This Row],[Order date]],"mmmm")</f>
        <v>October</v>
      </c>
    </row>
    <row r="585" spans="1:15" ht="13.5" x14ac:dyDescent="0.25">
      <c r="A585" s="1" t="str">
        <f>"ORD"&amp;"-"&amp;_xlfn.XLOOKUP(C585,Guide!$B$22:$B$26,Guide!$C$22:$C$26)&amp;"-"&amp;_xlfn.XLOOKUP(D585,Guide!$B$29:$B$33,Guide!$C$29:$C$33)&amp;"-"&amp;TEXT(H585,"yyyymmdd")</f>
        <v>ORD-FRA-GOV-20141001</v>
      </c>
      <c r="B585" s="1" t="s">
        <v>565</v>
      </c>
      <c r="C585" s="1" t="s">
        <v>31</v>
      </c>
      <c r="D585" s="1" t="s">
        <v>39</v>
      </c>
      <c r="E585" s="1" t="s">
        <v>75</v>
      </c>
      <c r="F585" s="2">
        <v>1731</v>
      </c>
      <c r="G585" s="4">
        <v>0.14000000000000001</v>
      </c>
      <c r="H585" s="3">
        <f t="shared" si="27"/>
        <v>41913</v>
      </c>
      <c r="I585" s="1">
        <f>_xlfn.XLOOKUP(E585,Product!$A$2:$A$7,Product!$C$2:$C$7)</f>
        <v>20</v>
      </c>
      <c r="J585" s="22">
        <f t="shared" si="28"/>
        <v>34620</v>
      </c>
      <c r="K585" s="22">
        <f t="shared" si="29"/>
        <v>29773.200000000001</v>
      </c>
      <c r="L585" s="22">
        <f>K585-(_xlfn.XLOOKUP(E585,Product!$A$2:$A$7,Product!$B$2:$B$7)*F585)</f>
        <v>12463.2</v>
      </c>
      <c r="M585">
        <f>YEAR(Table1[[#This Row],[Order date]])</f>
        <v>2014</v>
      </c>
      <c r="N585" s="22" t="str" cm="1">
        <f t="array" ref="N585">_xlfn.IFS(G585=0,"No Discount", ROUND(G585*100,0)&lt;=4,"Low", ROUND(G585*100,0)&lt;=9,"Medium", ROUND(G585*100,0)&lt;=15,"High")</f>
        <v>High</v>
      </c>
      <c r="O585" s="22" t="str">
        <f>TEXT(Table1[[#This Row],[Order date]],"mmmm")</f>
        <v>October</v>
      </c>
    </row>
    <row r="586" spans="1:15" ht="13.5" x14ac:dyDescent="0.25">
      <c r="A586" s="1" t="str">
        <f>"ORD"&amp;"-"&amp;_xlfn.XLOOKUP(C586,Guide!$B$22:$B$26,Guide!$C$22:$C$26)&amp;"-"&amp;_xlfn.XLOOKUP(D586,Guide!$B$29:$B$33,Guide!$C$29:$C$33)&amp;"-"&amp;TEXT(H586,"yyyymmdd")</f>
        <v>ORD-USA-SMB-20141001</v>
      </c>
      <c r="B586" s="1" t="s">
        <v>563</v>
      </c>
      <c r="C586" s="1" t="s">
        <v>35</v>
      </c>
      <c r="D586" s="1" t="s">
        <v>47</v>
      </c>
      <c r="E586" s="1" t="s">
        <v>80</v>
      </c>
      <c r="F586" s="2">
        <v>1010</v>
      </c>
      <c r="G586" s="4">
        <v>0.14000000000000001</v>
      </c>
      <c r="H586" s="3">
        <f t="shared" si="27"/>
        <v>41913</v>
      </c>
      <c r="I586" s="1">
        <f>_xlfn.XLOOKUP(E586,Product!$A$2:$A$7,Product!$C$2:$C$7)</f>
        <v>20</v>
      </c>
      <c r="J586" s="22">
        <f t="shared" si="28"/>
        <v>20200</v>
      </c>
      <c r="K586" s="22">
        <f t="shared" si="29"/>
        <v>17372</v>
      </c>
      <c r="L586" s="22">
        <f>K586-(_xlfn.XLOOKUP(E586,Product!$A$2:$A$7,Product!$B$2:$B$7)*F586)</f>
        <v>14342</v>
      </c>
      <c r="M586">
        <f>YEAR(Table1[[#This Row],[Order date]])</f>
        <v>2014</v>
      </c>
      <c r="N586" s="22" t="str" cm="1">
        <f t="array" ref="N586">_xlfn.IFS(G586=0,"No Discount", ROUND(G586*100,0)&lt;=4,"Low", ROUND(G586*100,0)&lt;=9,"Medium", ROUND(G586*100,0)&lt;=15,"High")</f>
        <v>High</v>
      </c>
      <c r="O586" s="22" t="str">
        <f>TEXT(Table1[[#This Row],[Order date]],"mmmm")</f>
        <v>October</v>
      </c>
    </row>
    <row r="587" spans="1:15" ht="13.5" x14ac:dyDescent="0.25">
      <c r="A587" s="1" t="str">
        <f>"ORD"&amp;"-"&amp;_xlfn.XLOOKUP(C587,Guide!$B$22:$B$26,Guide!$C$22:$C$26)&amp;"-"&amp;_xlfn.XLOOKUP(D587,Guide!$B$29:$B$33,Guide!$C$29:$C$33)&amp;"-"&amp;TEXT(H587,"yyyymmdd")</f>
        <v>ORD-USA-CPR-20141001</v>
      </c>
      <c r="B587" s="1" t="s">
        <v>566</v>
      </c>
      <c r="C587" s="1" t="s">
        <v>35</v>
      </c>
      <c r="D587" s="1" t="s">
        <v>43</v>
      </c>
      <c r="E587" s="1" t="s">
        <v>75</v>
      </c>
      <c r="F587" s="2">
        <v>2914</v>
      </c>
      <c r="G587" s="4">
        <v>0.14000000000000001</v>
      </c>
      <c r="H587" s="3">
        <f t="shared" si="27"/>
        <v>41913</v>
      </c>
      <c r="I587" s="1">
        <f>_xlfn.XLOOKUP(E587,Product!$A$2:$A$7,Product!$C$2:$C$7)</f>
        <v>20</v>
      </c>
      <c r="J587" s="22">
        <f t="shared" si="28"/>
        <v>58280</v>
      </c>
      <c r="K587" s="22">
        <f t="shared" si="29"/>
        <v>50120.799999999996</v>
      </c>
      <c r="L587" s="22">
        <f>K587-(_xlfn.XLOOKUP(E587,Product!$A$2:$A$7,Product!$B$2:$B$7)*F587)</f>
        <v>20980.799999999996</v>
      </c>
      <c r="M587">
        <f>YEAR(Table1[[#This Row],[Order date]])</f>
        <v>2014</v>
      </c>
      <c r="N587" s="22" t="str" cm="1">
        <f t="array" ref="N587">_xlfn.IFS(G587=0,"No Discount", ROUND(G587*100,0)&lt;=4,"Low", ROUND(G587*100,0)&lt;=9,"Medium", ROUND(G587*100,0)&lt;=15,"High")</f>
        <v>High</v>
      </c>
      <c r="O587" s="22" t="str">
        <f>TEXT(Table1[[#This Row],[Order date]],"mmmm")</f>
        <v>October</v>
      </c>
    </row>
    <row r="588" spans="1:15" ht="13.5" x14ac:dyDescent="0.25">
      <c r="A588" s="1" t="str">
        <f>"ORD"&amp;"-"&amp;_xlfn.XLOOKUP(C588,Guide!$B$22:$B$26,Guide!$C$22:$C$26)&amp;"-"&amp;_xlfn.XLOOKUP(D588,Guide!$B$29:$B$33,Guide!$C$29:$C$33)&amp;"-"&amp;TEXT(H588,"yyyymmdd")</f>
        <v>ORD-CND-SMB-20141001</v>
      </c>
      <c r="B588" s="1" t="s">
        <v>564</v>
      </c>
      <c r="C588" s="1" t="s">
        <v>27</v>
      </c>
      <c r="D588" s="1" t="s">
        <v>47</v>
      </c>
      <c r="E588" s="1" t="s">
        <v>80</v>
      </c>
      <c r="F588" s="2">
        <v>1496</v>
      </c>
      <c r="G588" s="4">
        <v>0.14000000000000001</v>
      </c>
      <c r="H588" s="3">
        <f t="shared" si="27"/>
        <v>41913</v>
      </c>
      <c r="I588" s="1">
        <f>_xlfn.XLOOKUP(E588,Product!$A$2:$A$7,Product!$C$2:$C$7)</f>
        <v>20</v>
      </c>
      <c r="J588" s="22">
        <f t="shared" si="28"/>
        <v>29920</v>
      </c>
      <c r="K588" s="22">
        <f t="shared" si="29"/>
        <v>25731.200000000001</v>
      </c>
      <c r="L588" s="22">
        <f>K588-(_xlfn.XLOOKUP(E588,Product!$A$2:$A$7,Product!$B$2:$B$7)*F588)</f>
        <v>21243.200000000001</v>
      </c>
      <c r="M588">
        <f>YEAR(Table1[[#This Row],[Order date]])</f>
        <v>2014</v>
      </c>
      <c r="N588" s="22" t="str" cm="1">
        <f t="array" ref="N588">_xlfn.IFS(G588=0,"No Discount", ROUND(G588*100,0)&lt;=4,"Low", ROUND(G588*100,0)&lt;=9,"Medium", ROUND(G588*100,0)&lt;=15,"High")</f>
        <v>High</v>
      </c>
      <c r="O588" s="22" t="str">
        <f>TEXT(Table1[[#This Row],[Order date]],"mmmm")</f>
        <v>October</v>
      </c>
    </row>
    <row r="589" spans="1:15" ht="13.5" x14ac:dyDescent="0.25">
      <c r="A589" s="1" t="str">
        <f>"ORD"&amp;"-"&amp;_xlfn.XLOOKUP(C589,Guide!$B$22:$B$26,Guide!$C$22:$C$26)&amp;"-"&amp;_xlfn.XLOOKUP(D589,Guide!$B$29:$B$33,Guide!$C$29:$C$33)&amp;"-"&amp;TEXT(H589,"yyyymmdd")</f>
        <v>ORD-FRA-GOV-20141001</v>
      </c>
      <c r="B589" s="1" t="s">
        <v>565</v>
      </c>
      <c r="C589" s="1" t="s">
        <v>31</v>
      </c>
      <c r="D589" s="1" t="s">
        <v>39</v>
      </c>
      <c r="E589" s="1" t="s">
        <v>84</v>
      </c>
      <c r="F589" s="2">
        <v>1731</v>
      </c>
      <c r="G589" s="4">
        <v>0.14000000000000001</v>
      </c>
      <c r="H589" s="3">
        <f t="shared" si="27"/>
        <v>41913</v>
      </c>
      <c r="I589" s="1">
        <f>_xlfn.XLOOKUP(E589,Product!$A$2:$A$7,Product!$C$2:$C$7)</f>
        <v>350</v>
      </c>
      <c r="J589" s="22">
        <f t="shared" si="28"/>
        <v>605850</v>
      </c>
      <c r="K589" s="22">
        <f t="shared" si="29"/>
        <v>521031</v>
      </c>
      <c r="L589" s="22">
        <f>K589-(_xlfn.XLOOKUP(E589,Product!$A$2:$A$7,Product!$B$2:$B$7)*F589)</f>
        <v>174831</v>
      </c>
      <c r="M589">
        <f>YEAR(Table1[[#This Row],[Order date]])</f>
        <v>2014</v>
      </c>
      <c r="N589" s="22" t="str" cm="1">
        <f t="array" ref="N589">_xlfn.IFS(G589=0,"No Discount", ROUND(G589*100,0)&lt;=4,"Low", ROUND(G589*100,0)&lt;=9,"Medium", ROUND(G589*100,0)&lt;=15,"High")</f>
        <v>High</v>
      </c>
      <c r="O589" s="22" t="str">
        <f>TEXT(Table1[[#This Row],[Order date]],"mmmm")</f>
        <v>October</v>
      </c>
    </row>
    <row r="590" spans="1:15" ht="13.5" x14ac:dyDescent="0.25">
      <c r="A590" s="1" t="str">
        <f>"ORD"&amp;"-"&amp;_xlfn.XLOOKUP(C590,Guide!$B$22:$B$26,Guide!$C$22:$C$26)&amp;"-"&amp;_xlfn.XLOOKUP(D590,Guide!$B$29:$B$33,Guide!$C$29:$C$33)&amp;"-"&amp;TEXT(H590,"yyyymmdd")</f>
        <v>ORD-USA-CPR-20141001</v>
      </c>
      <c r="B590" s="1" t="s">
        <v>566</v>
      </c>
      <c r="C590" s="1" t="s">
        <v>35</v>
      </c>
      <c r="D590" s="1" t="s">
        <v>43</v>
      </c>
      <c r="E590" s="1" t="s">
        <v>84</v>
      </c>
      <c r="F590" s="2">
        <v>2914</v>
      </c>
      <c r="G590" s="4">
        <v>0.14000000000000001</v>
      </c>
      <c r="H590" s="3">
        <f t="shared" si="27"/>
        <v>41913</v>
      </c>
      <c r="I590" s="1">
        <f>_xlfn.XLOOKUP(E590,Product!$A$2:$A$7,Product!$C$2:$C$7)</f>
        <v>350</v>
      </c>
      <c r="J590" s="22">
        <f t="shared" si="28"/>
        <v>1019900</v>
      </c>
      <c r="K590" s="22">
        <f t="shared" si="29"/>
        <v>877114</v>
      </c>
      <c r="L590" s="22">
        <f>K590-(_xlfn.XLOOKUP(E590,Product!$A$2:$A$7,Product!$B$2:$B$7)*F590)</f>
        <v>294314</v>
      </c>
      <c r="M590">
        <f>YEAR(Table1[[#This Row],[Order date]])</f>
        <v>2014</v>
      </c>
      <c r="N590" s="22" t="str" cm="1">
        <f t="array" ref="N590">_xlfn.IFS(G590=0,"No Discount", ROUND(G590*100,0)&lt;=4,"Low", ROUND(G590*100,0)&lt;=9,"Medium", ROUND(G590*100,0)&lt;=15,"High")</f>
        <v>High</v>
      </c>
      <c r="O590" s="22" t="str">
        <f>TEXT(Table1[[#This Row],[Order date]],"mmmm")</f>
        <v>October</v>
      </c>
    </row>
    <row r="591" spans="1:15" ht="13.5" x14ac:dyDescent="0.25">
      <c r="A591" s="1" t="str">
        <f>"ORD"&amp;"-"&amp;_xlfn.XLOOKUP(C591,Guide!$B$22:$B$26,Guide!$C$22:$C$26)&amp;"-"&amp;_xlfn.XLOOKUP(D591,Guide!$B$29:$B$33,Guide!$C$29:$C$33)&amp;"-"&amp;TEXT(H591,"yyyymmdd")</f>
        <v>ORD-MXC-SMB-20141001</v>
      </c>
      <c r="B591" s="1" t="s">
        <v>567</v>
      </c>
      <c r="C591" s="1" t="s">
        <v>33</v>
      </c>
      <c r="D591" s="1" t="s">
        <v>47</v>
      </c>
      <c r="E591" s="1" t="s">
        <v>82</v>
      </c>
      <c r="F591" s="2">
        <v>546</v>
      </c>
      <c r="G591" s="4">
        <v>0.15</v>
      </c>
      <c r="H591" s="3">
        <f t="shared" si="27"/>
        <v>41913</v>
      </c>
      <c r="I591" s="1">
        <f>_xlfn.XLOOKUP(E591,Product!$A$2:$A$7,Product!$C$2:$C$7)</f>
        <v>15</v>
      </c>
      <c r="J591" s="22">
        <f t="shared" si="28"/>
        <v>8190</v>
      </c>
      <c r="K591" s="22">
        <f t="shared" si="29"/>
        <v>6961.5</v>
      </c>
      <c r="L591" s="22">
        <f>K591-(_xlfn.XLOOKUP(E591,Product!$A$2:$A$7,Product!$B$2:$B$7)*F591)</f>
        <v>4231.5</v>
      </c>
      <c r="M591">
        <f>YEAR(Table1[[#This Row],[Order date]])</f>
        <v>2014</v>
      </c>
      <c r="N591" s="22" t="str" cm="1">
        <f t="array" ref="N591">_xlfn.IFS(G591=0,"No Discount", ROUND(G591*100,0)&lt;=4,"Low", ROUND(G591*100,0)&lt;=9,"Medium", ROUND(G591*100,0)&lt;=15,"High")</f>
        <v>High</v>
      </c>
      <c r="O591" s="22" t="str">
        <f>TEXT(Table1[[#This Row],[Order date]],"mmmm")</f>
        <v>October</v>
      </c>
    </row>
    <row r="592" spans="1:15" ht="13.5" x14ac:dyDescent="0.25">
      <c r="A592" s="1" t="str">
        <f>"ORD"&amp;"-"&amp;_xlfn.XLOOKUP(C592,Guide!$B$22:$B$26,Guide!$C$22:$C$26)&amp;"-"&amp;_xlfn.XLOOKUP(D592,Guide!$B$29:$B$33,Guide!$C$29:$C$33)&amp;"-"&amp;TEXT(H592,"yyyymmdd")</f>
        <v>ORD-GER-MDM-20141001</v>
      </c>
      <c r="B592" s="1" t="s">
        <v>568</v>
      </c>
      <c r="C592" s="1" t="s">
        <v>29</v>
      </c>
      <c r="D592" s="1" t="s">
        <v>41</v>
      </c>
      <c r="E592" s="1" t="s">
        <v>78</v>
      </c>
      <c r="F592" s="2">
        <v>1175</v>
      </c>
      <c r="G592" s="4">
        <v>0.15</v>
      </c>
      <c r="H592" s="3">
        <f t="shared" si="27"/>
        <v>41913</v>
      </c>
      <c r="I592" s="1">
        <f>_xlfn.XLOOKUP(E592,Product!$A$2:$A$7,Product!$C$2:$C$7)</f>
        <v>300</v>
      </c>
      <c r="J592" s="22">
        <f t="shared" si="28"/>
        <v>352500</v>
      </c>
      <c r="K592" s="22">
        <f t="shared" si="29"/>
        <v>299625</v>
      </c>
      <c r="L592" s="22">
        <f>K592-(_xlfn.XLOOKUP(E592,Product!$A$2:$A$7,Product!$B$2:$B$7)*F592)</f>
        <v>5875</v>
      </c>
      <c r="M592">
        <f>YEAR(Table1[[#This Row],[Order date]])</f>
        <v>2014</v>
      </c>
      <c r="N592" s="22" t="str" cm="1">
        <f t="array" ref="N592">_xlfn.IFS(G592=0,"No Discount", ROUND(G592*100,0)&lt;=4,"Low", ROUND(G592*100,0)&lt;=9,"Medium", ROUND(G592*100,0)&lt;=15,"High")</f>
        <v>High</v>
      </c>
      <c r="O592" s="22" t="str">
        <f>TEXT(Table1[[#This Row],[Order date]],"mmmm")</f>
        <v>October</v>
      </c>
    </row>
    <row r="593" spans="1:15" ht="13.5" x14ac:dyDescent="0.25">
      <c r="A593" s="1" t="str">
        <f>"ORD"&amp;"-"&amp;_xlfn.XLOOKUP(C593,Guide!$B$22:$B$26,Guide!$C$22:$C$26)&amp;"-"&amp;_xlfn.XLOOKUP(D593,Guide!$B$29:$B$33,Guide!$C$29:$C$33)&amp;"-"&amp;TEXT(H593,"yyyymmdd")</f>
        <v>ORD-GER-ENT-20141001</v>
      </c>
      <c r="B593" s="1" t="s">
        <v>569</v>
      </c>
      <c r="C593" s="1" t="s">
        <v>29</v>
      </c>
      <c r="D593" s="1" t="s">
        <v>45</v>
      </c>
      <c r="E593" s="1" t="s">
        <v>75</v>
      </c>
      <c r="F593" s="2">
        <v>1085</v>
      </c>
      <c r="G593" s="4">
        <v>0.15</v>
      </c>
      <c r="H593" s="3">
        <f t="shared" si="27"/>
        <v>41913</v>
      </c>
      <c r="I593" s="1">
        <f>_xlfn.XLOOKUP(E593,Product!$A$2:$A$7,Product!$C$2:$C$7)</f>
        <v>20</v>
      </c>
      <c r="J593" s="22">
        <f t="shared" si="28"/>
        <v>21700</v>
      </c>
      <c r="K593" s="22">
        <f t="shared" si="29"/>
        <v>18445</v>
      </c>
      <c r="L593" s="22">
        <f>K593-(_xlfn.XLOOKUP(E593,Product!$A$2:$A$7,Product!$B$2:$B$7)*F593)</f>
        <v>7595</v>
      </c>
      <c r="M593">
        <f>YEAR(Table1[[#This Row],[Order date]])</f>
        <v>2014</v>
      </c>
      <c r="N593" s="22" t="str" cm="1">
        <f t="array" ref="N593">_xlfn.IFS(G593=0,"No Discount", ROUND(G593*100,0)&lt;=4,"Low", ROUND(G593*100,0)&lt;=9,"Medium", ROUND(G593*100,0)&lt;=15,"High")</f>
        <v>High</v>
      </c>
      <c r="O593" s="22" t="str">
        <f>TEXT(Table1[[#This Row],[Order date]],"mmmm")</f>
        <v>October</v>
      </c>
    </row>
    <row r="594" spans="1:15" ht="13.5" x14ac:dyDescent="0.25">
      <c r="A594" s="1" t="str">
        <f>"ORD"&amp;"-"&amp;_xlfn.XLOOKUP(C594,Guide!$B$22:$B$26,Guide!$C$22:$C$26)&amp;"-"&amp;_xlfn.XLOOKUP(D594,Guide!$B$29:$B$33,Guide!$C$29:$C$33)&amp;"-"&amp;TEXT(H594,"yyyymmdd")</f>
        <v>ORD-GER-MDM-20141001</v>
      </c>
      <c r="B594" s="1" t="s">
        <v>568</v>
      </c>
      <c r="C594" s="1" t="s">
        <v>29</v>
      </c>
      <c r="D594" s="1" t="s">
        <v>41</v>
      </c>
      <c r="E594" s="1" t="s">
        <v>75</v>
      </c>
      <c r="F594" s="2">
        <v>1175</v>
      </c>
      <c r="G594" s="4">
        <v>0.15</v>
      </c>
      <c r="H594" s="3">
        <f t="shared" si="27"/>
        <v>41913</v>
      </c>
      <c r="I594" s="1">
        <f>_xlfn.XLOOKUP(E594,Product!$A$2:$A$7,Product!$C$2:$C$7)</f>
        <v>20</v>
      </c>
      <c r="J594" s="22">
        <f t="shared" si="28"/>
        <v>23500</v>
      </c>
      <c r="K594" s="22">
        <f t="shared" si="29"/>
        <v>19975</v>
      </c>
      <c r="L594" s="22">
        <f>K594-(_xlfn.XLOOKUP(E594,Product!$A$2:$A$7,Product!$B$2:$B$7)*F594)</f>
        <v>8225</v>
      </c>
      <c r="M594">
        <f>YEAR(Table1[[#This Row],[Order date]])</f>
        <v>2014</v>
      </c>
      <c r="N594" s="22" t="str" cm="1">
        <f t="array" ref="N594">_xlfn.IFS(G594=0,"No Discount", ROUND(G594*100,0)&lt;=4,"Low", ROUND(G594*100,0)&lt;=9,"Medium", ROUND(G594*100,0)&lt;=15,"High")</f>
        <v>High</v>
      </c>
      <c r="O594" s="22" t="str">
        <f>TEXT(Table1[[#This Row],[Order date]],"mmmm")</f>
        <v>October</v>
      </c>
    </row>
    <row r="595" spans="1:15" ht="13.5" x14ac:dyDescent="0.25">
      <c r="A595" s="1" t="str">
        <f>"ORD"&amp;"-"&amp;_xlfn.XLOOKUP(C595,Guide!$B$22:$B$26,Guide!$C$22:$C$26)&amp;"-"&amp;_xlfn.XLOOKUP(D595,Guide!$B$29:$B$33,Guide!$C$29:$C$33)&amp;"-"&amp;TEXT(H595,"yyyymmdd")</f>
        <v>ORD-GER-ENT-20141001</v>
      </c>
      <c r="B595" s="1" t="s">
        <v>569</v>
      </c>
      <c r="C595" s="1" t="s">
        <v>29</v>
      </c>
      <c r="D595" s="1" t="s">
        <v>45</v>
      </c>
      <c r="E595" s="1" t="s">
        <v>80</v>
      </c>
      <c r="F595" s="2">
        <v>1085</v>
      </c>
      <c r="G595" s="4">
        <v>0.15</v>
      </c>
      <c r="H595" s="3">
        <f t="shared" si="27"/>
        <v>41913</v>
      </c>
      <c r="I595" s="1">
        <f>_xlfn.XLOOKUP(E595,Product!$A$2:$A$7,Product!$C$2:$C$7)</f>
        <v>20</v>
      </c>
      <c r="J595" s="22">
        <f t="shared" si="28"/>
        <v>21700</v>
      </c>
      <c r="K595" s="22">
        <f t="shared" si="29"/>
        <v>18445</v>
      </c>
      <c r="L595" s="22">
        <f>K595-(_xlfn.XLOOKUP(E595,Product!$A$2:$A$7,Product!$B$2:$B$7)*F595)</f>
        <v>15190</v>
      </c>
      <c r="M595">
        <f>YEAR(Table1[[#This Row],[Order date]])</f>
        <v>2014</v>
      </c>
      <c r="N595" s="22" t="str" cm="1">
        <f t="array" ref="N595">_xlfn.IFS(G595=0,"No Discount", ROUND(G595*100,0)&lt;=4,"Low", ROUND(G595*100,0)&lt;=9,"Medium", ROUND(G595*100,0)&lt;=15,"High")</f>
        <v>High</v>
      </c>
      <c r="O595" s="22" t="str">
        <f>TEXT(Table1[[#This Row],[Order date]],"mmmm")</f>
        <v>October</v>
      </c>
    </row>
    <row r="596" spans="1:15" ht="13.5" x14ac:dyDescent="0.25">
      <c r="A596" s="1" t="str">
        <f>"ORD"&amp;"-"&amp;_xlfn.XLOOKUP(C596,Guide!$B$22:$B$26,Guide!$C$22:$C$26)&amp;"-"&amp;_xlfn.XLOOKUP(D596,Guide!$B$29:$B$33,Guide!$C$29:$C$33)&amp;"-"&amp;TEXT(H596,"yyyymmdd")</f>
        <v>ORD-MXC-SMB-20141001</v>
      </c>
      <c r="B596" s="1" t="s">
        <v>567</v>
      </c>
      <c r="C596" s="1" t="s">
        <v>33</v>
      </c>
      <c r="D596" s="1" t="s">
        <v>47</v>
      </c>
      <c r="E596" s="1" t="s">
        <v>84</v>
      </c>
      <c r="F596" s="2">
        <v>546</v>
      </c>
      <c r="G596" s="4">
        <v>0.15</v>
      </c>
      <c r="H596" s="3">
        <f t="shared" si="27"/>
        <v>41913</v>
      </c>
      <c r="I596" s="1">
        <f>_xlfn.XLOOKUP(E596,Product!$A$2:$A$7,Product!$C$2:$C$7)</f>
        <v>350</v>
      </c>
      <c r="J596" s="22">
        <f t="shared" si="28"/>
        <v>191100</v>
      </c>
      <c r="K596" s="22">
        <f t="shared" si="29"/>
        <v>162435</v>
      </c>
      <c r="L596" s="22">
        <f>K596-(_xlfn.XLOOKUP(E596,Product!$A$2:$A$7,Product!$B$2:$B$7)*F596)</f>
        <v>53235</v>
      </c>
      <c r="M596">
        <f>YEAR(Table1[[#This Row],[Order date]])</f>
        <v>2014</v>
      </c>
      <c r="N596" s="22" t="str" cm="1">
        <f t="array" ref="N596">_xlfn.IFS(G596=0,"No Discount", ROUND(G596*100,0)&lt;=4,"Low", ROUND(G596*100,0)&lt;=9,"Medium", ROUND(G596*100,0)&lt;=15,"High")</f>
        <v>High</v>
      </c>
      <c r="O596" s="22" t="str">
        <f>TEXT(Table1[[#This Row],[Order date]],"mmmm")</f>
        <v>October</v>
      </c>
    </row>
    <row r="597" spans="1:15" ht="13.5" x14ac:dyDescent="0.25">
      <c r="A597" s="1" t="str">
        <f>"ORD"&amp;"-"&amp;_xlfn.XLOOKUP(C597,Guide!$B$22:$B$26,Guide!$C$22:$C$26)&amp;"-"&amp;_xlfn.XLOOKUP(D597,Guide!$B$29:$B$33,Guide!$C$29:$C$33)&amp;"-"&amp;TEXT(H597,"yyyymmdd")</f>
        <v>ORD-FRA-GOV-20141101</v>
      </c>
      <c r="B597" s="1" t="s">
        <v>570</v>
      </c>
      <c r="C597" s="1" t="s">
        <v>31</v>
      </c>
      <c r="D597" s="1" t="s">
        <v>39</v>
      </c>
      <c r="E597" s="1" t="s">
        <v>88</v>
      </c>
      <c r="F597" s="2">
        <v>639</v>
      </c>
      <c r="G597" s="4">
        <v>9.9999999999999985E-3</v>
      </c>
      <c r="H597" s="3">
        <f t="shared" si="27"/>
        <v>41944</v>
      </c>
      <c r="I597" s="1">
        <f>_xlfn.XLOOKUP(E597,Product!$A$2:$A$7,Product!$C$2:$C$7)</f>
        <v>180</v>
      </c>
      <c r="J597" s="22">
        <f t="shared" si="28"/>
        <v>115020</v>
      </c>
      <c r="K597" s="22">
        <f t="shared" si="29"/>
        <v>113869.8</v>
      </c>
      <c r="L597" s="22">
        <f>K597-(_xlfn.XLOOKUP(E597,Product!$A$2:$A$7,Product!$B$2:$B$7)*F597)</f>
        <v>37189.800000000003</v>
      </c>
      <c r="M597">
        <f>YEAR(Table1[[#This Row],[Order date]])</f>
        <v>2014</v>
      </c>
      <c r="N597" s="22" t="str" cm="1">
        <f t="array" ref="N597">_xlfn.IFS(G597=0,"No Discount", ROUND(G597*100,0)&lt;=4,"Low", ROUND(G597*100,0)&lt;=9,"Medium", ROUND(G597*100,0)&lt;=15,"High")</f>
        <v>Low</v>
      </c>
      <c r="O597" s="22" t="str">
        <f>TEXT(Table1[[#This Row],[Order date]],"mmmm")</f>
        <v>November</v>
      </c>
    </row>
    <row r="598" spans="1:15" ht="13.5" x14ac:dyDescent="0.25">
      <c r="A598" s="1" t="str">
        <f>"ORD"&amp;"-"&amp;_xlfn.XLOOKUP(C598,Guide!$B$22:$B$26,Guide!$C$22:$C$26)&amp;"-"&amp;_xlfn.XLOOKUP(D598,Guide!$B$29:$B$33,Guide!$C$29:$C$33)&amp;"-"&amp;TEXT(H598,"yyyymmdd")</f>
        <v>ORD-USA-SMB-20141101</v>
      </c>
      <c r="B598" s="1" t="s">
        <v>571</v>
      </c>
      <c r="C598" s="1" t="s">
        <v>35</v>
      </c>
      <c r="D598" s="1" t="s">
        <v>47</v>
      </c>
      <c r="E598" s="1" t="s">
        <v>75</v>
      </c>
      <c r="F598" s="2">
        <v>2905</v>
      </c>
      <c r="G598" s="4">
        <v>0.01</v>
      </c>
      <c r="H598" s="3">
        <f t="shared" si="27"/>
        <v>41944</v>
      </c>
      <c r="I598" s="1">
        <f>_xlfn.XLOOKUP(E598,Product!$A$2:$A$7,Product!$C$2:$C$7)</f>
        <v>20</v>
      </c>
      <c r="J598" s="22">
        <f t="shared" si="28"/>
        <v>58100</v>
      </c>
      <c r="K598" s="22">
        <f t="shared" si="29"/>
        <v>57519</v>
      </c>
      <c r="L598" s="22">
        <f>K598-(_xlfn.XLOOKUP(E598,Product!$A$2:$A$7,Product!$B$2:$B$7)*F598)</f>
        <v>28469</v>
      </c>
      <c r="M598">
        <f>YEAR(Table1[[#This Row],[Order date]])</f>
        <v>2014</v>
      </c>
      <c r="N598" s="22" t="str" cm="1">
        <f t="array" ref="N598">_xlfn.IFS(G598=0,"No Discount", ROUND(G598*100,0)&lt;=4,"Low", ROUND(G598*100,0)&lt;=9,"Medium", ROUND(G598*100,0)&lt;=15,"High")</f>
        <v>Low</v>
      </c>
      <c r="O598" s="22" t="str">
        <f>TEXT(Table1[[#This Row],[Order date]],"mmmm")</f>
        <v>November</v>
      </c>
    </row>
    <row r="599" spans="1:15" ht="13.5" x14ac:dyDescent="0.25">
      <c r="A599" s="1" t="str">
        <f>"ORD"&amp;"-"&amp;_xlfn.XLOOKUP(C599,Guide!$B$22:$B$26,Guide!$C$22:$C$26)&amp;"-"&amp;_xlfn.XLOOKUP(D599,Guide!$B$29:$B$33,Guide!$C$29:$C$33)&amp;"-"&amp;TEXT(H599,"yyyymmdd")</f>
        <v>ORD-FRA-ENT-20141101</v>
      </c>
      <c r="B599" s="1" t="s">
        <v>572</v>
      </c>
      <c r="C599" s="1" t="s">
        <v>31</v>
      </c>
      <c r="D599" s="1" t="s">
        <v>45</v>
      </c>
      <c r="E599" s="1" t="s">
        <v>78</v>
      </c>
      <c r="F599" s="2">
        <v>1744</v>
      </c>
      <c r="G599" s="4">
        <v>0.01</v>
      </c>
      <c r="H599" s="3">
        <f t="shared" si="27"/>
        <v>41944</v>
      </c>
      <c r="I599" s="1">
        <f>_xlfn.XLOOKUP(E599,Product!$A$2:$A$7,Product!$C$2:$C$7)</f>
        <v>300</v>
      </c>
      <c r="J599" s="22">
        <f t="shared" si="28"/>
        <v>523200</v>
      </c>
      <c r="K599" s="22">
        <f t="shared" si="29"/>
        <v>517968</v>
      </c>
      <c r="L599" s="22">
        <f>K599-(_xlfn.XLOOKUP(E599,Product!$A$2:$A$7,Product!$B$2:$B$7)*F599)</f>
        <v>81968</v>
      </c>
      <c r="M599">
        <f>YEAR(Table1[[#This Row],[Order date]])</f>
        <v>2014</v>
      </c>
      <c r="N599" s="22" t="str" cm="1">
        <f t="array" ref="N599">_xlfn.IFS(G599=0,"No Discount", ROUND(G599*100,0)&lt;=4,"Low", ROUND(G599*100,0)&lt;=9,"Medium", ROUND(G599*100,0)&lt;=15,"High")</f>
        <v>Low</v>
      </c>
      <c r="O599" s="22" t="str">
        <f>TEXT(Table1[[#This Row],[Order date]],"mmmm")</f>
        <v>November</v>
      </c>
    </row>
    <row r="600" spans="1:15" ht="13.5" x14ac:dyDescent="0.25">
      <c r="A600" s="1" t="str">
        <f>"ORD"&amp;"-"&amp;_xlfn.XLOOKUP(C600,Guide!$B$22:$B$26,Guide!$C$22:$C$26)&amp;"-"&amp;_xlfn.XLOOKUP(D600,Guide!$B$29:$B$33,Guide!$C$29:$C$33)&amp;"-"&amp;TEXT(H600,"yyyymmdd")</f>
        <v>ORD-MXC-CPR-20141101</v>
      </c>
      <c r="B600" s="1" t="s">
        <v>573</v>
      </c>
      <c r="C600" s="1" t="s">
        <v>33</v>
      </c>
      <c r="D600" s="1" t="s">
        <v>43</v>
      </c>
      <c r="E600" s="1" t="s">
        <v>82</v>
      </c>
      <c r="F600" s="2">
        <v>690</v>
      </c>
      <c r="G600" s="4">
        <v>0.02</v>
      </c>
      <c r="H600" s="3">
        <f t="shared" si="27"/>
        <v>41944</v>
      </c>
      <c r="I600" s="1">
        <f>_xlfn.XLOOKUP(E600,Product!$A$2:$A$7,Product!$C$2:$C$7)</f>
        <v>15</v>
      </c>
      <c r="J600" s="22">
        <f t="shared" si="28"/>
        <v>10350</v>
      </c>
      <c r="K600" s="22">
        <f t="shared" si="29"/>
        <v>10143</v>
      </c>
      <c r="L600" s="22">
        <f>K600-(_xlfn.XLOOKUP(E600,Product!$A$2:$A$7,Product!$B$2:$B$7)*F600)</f>
        <v>6693</v>
      </c>
      <c r="M600">
        <f>YEAR(Table1[[#This Row],[Order date]])</f>
        <v>2014</v>
      </c>
      <c r="N600" s="22" t="str" cm="1">
        <f t="array" ref="N600">_xlfn.IFS(G600=0,"No Discount", ROUND(G600*100,0)&lt;=4,"Low", ROUND(G600*100,0)&lt;=9,"Medium", ROUND(G600*100,0)&lt;=15,"High")</f>
        <v>Low</v>
      </c>
      <c r="O600" s="22" t="str">
        <f>TEXT(Table1[[#This Row],[Order date]],"mmmm")</f>
        <v>November</v>
      </c>
    </row>
    <row r="601" spans="1:15" ht="13.5" x14ac:dyDescent="0.25">
      <c r="A601" s="1" t="str">
        <f>"ORD"&amp;"-"&amp;_xlfn.XLOOKUP(C601,Guide!$B$22:$B$26,Guide!$C$22:$C$26)&amp;"-"&amp;_xlfn.XLOOKUP(D601,Guide!$B$29:$B$33,Guide!$C$29:$C$33)&amp;"-"&amp;TEXT(H601,"yyyymmdd")</f>
        <v>ORD-FRA-GOV-20141101</v>
      </c>
      <c r="B601" s="1" t="s">
        <v>574</v>
      </c>
      <c r="C601" s="1" t="s">
        <v>31</v>
      </c>
      <c r="D601" s="1" t="s">
        <v>39</v>
      </c>
      <c r="E601" s="1" t="s">
        <v>84</v>
      </c>
      <c r="F601" s="2">
        <v>941</v>
      </c>
      <c r="G601" s="4">
        <v>0.02</v>
      </c>
      <c r="H601" s="3">
        <f t="shared" si="27"/>
        <v>41944</v>
      </c>
      <c r="I601" s="1">
        <f>_xlfn.XLOOKUP(E601,Product!$A$2:$A$7,Product!$C$2:$C$7)</f>
        <v>350</v>
      </c>
      <c r="J601" s="22">
        <f t="shared" si="28"/>
        <v>329350</v>
      </c>
      <c r="K601" s="22">
        <f t="shared" si="29"/>
        <v>322763</v>
      </c>
      <c r="L601" s="22">
        <f>K601-(_xlfn.XLOOKUP(E601,Product!$A$2:$A$7,Product!$B$2:$B$7)*F601)</f>
        <v>134563</v>
      </c>
      <c r="M601">
        <f>YEAR(Table1[[#This Row],[Order date]])</f>
        <v>2014</v>
      </c>
      <c r="N601" s="22" t="str" cm="1">
        <f t="array" ref="N601">_xlfn.IFS(G601=0,"No Discount", ROUND(G601*100,0)&lt;=4,"Low", ROUND(G601*100,0)&lt;=9,"Medium", ROUND(G601*100,0)&lt;=15,"High")</f>
        <v>Low</v>
      </c>
      <c r="O601" s="22" t="str">
        <f>TEXT(Table1[[#This Row],[Order date]],"mmmm")</f>
        <v>November</v>
      </c>
    </row>
    <row r="602" spans="1:15" ht="13.5" x14ac:dyDescent="0.25">
      <c r="A602" s="1" t="str">
        <f>"ORD"&amp;"-"&amp;_xlfn.XLOOKUP(C602,Guide!$B$22:$B$26,Guide!$C$22:$C$26)&amp;"-"&amp;_xlfn.XLOOKUP(D602,Guide!$B$29:$B$33,Guide!$C$29:$C$33)&amp;"-"&amp;TEXT(H602,"yyyymmdd")</f>
        <v>ORD-USA-GOV-20141101</v>
      </c>
      <c r="B602" s="1" t="s">
        <v>575</v>
      </c>
      <c r="C602" s="1" t="s">
        <v>35</v>
      </c>
      <c r="D602" s="1" t="s">
        <v>39</v>
      </c>
      <c r="E602" s="1" t="s">
        <v>84</v>
      </c>
      <c r="F602" s="2">
        <v>1236</v>
      </c>
      <c r="G602" s="4">
        <v>0.02</v>
      </c>
      <c r="H602" s="3">
        <f t="shared" si="27"/>
        <v>41944</v>
      </c>
      <c r="I602" s="1">
        <f>_xlfn.XLOOKUP(E602,Product!$A$2:$A$7,Product!$C$2:$C$7)</f>
        <v>350</v>
      </c>
      <c r="J602" s="22">
        <f t="shared" si="28"/>
        <v>432600</v>
      </c>
      <c r="K602" s="22">
        <f t="shared" si="29"/>
        <v>423948</v>
      </c>
      <c r="L602" s="22">
        <f>K602-(_xlfn.XLOOKUP(E602,Product!$A$2:$A$7,Product!$B$2:$B$7)*F602)</f>
        <v>176748</v>
      </c>
      <c r="M602">
        <f>YEAR(Table1[[#This Row],[Order date]])</f>
        <v>2014</v>
      </c>
      <c r="N602" s="22" t="str" cm="1">
        <f t="array" ref="N602">_xlfn.IFS(G602=0,"No Discount", ROUND(G602*100,0)&lt;=4,"Low", ROUND(G602*100,0)&lt;=9,"Medium", ROUND(G602*100,0)&lt;=15,"High")</f>
        <v>Low</v>
      </c>
      <c r="O602" s="22" t="str">
        <f>TEXT(Table1[[#This Row],[Order date]],"mmmm")</f>
        <v>November</v>
      </c>
    </row>
    <row r="603" spans="1:15" ht="13.5" x14ac:dyDescent="0.25">
      <c r="A603" s="1" t="str">
        <f>"ORD"&amp;"-"&amp;_xlfn.XLOOKUP(C603,Guide!$B$22:$B$26,Guide!$C$22:$C$26)&amp;"-"&amp;_xlfn.XLOOKUP(D603,Guide!$B$29:$B$33,Guide!$C$29:$C$33)&amp;"-"&amp;TEXT(H603,"yyyymmdd")</f>
        <v>ORD-GER-CPR-20141101</v>
      </c>
      <c r="B603" s="1" t="s">
        <v>576</v>
      </c>
      <c r="C603" s="1" t="s">
        <v>29</v>
      </c>
      <c r="D603" s="1" t="s">
        <v>43</v>
      </c>
      <c r="E603" s="1" t="s">
        <v>82</v>
      </c>
      <c r="F603" s="2">
        <v>2342</v>
      </c>
      <c r="G603" s="4">
        <v>0.05</v>
      </c>
      <c r="H603" s="3">
        <f t="shared" si="27"/>
        <v>41944</v>
      </c>
      <c r="I603" s="1">
        <f>_xlfn.XLOOKUP(E603,Product!$A$2:$A$7,Product!$C$2:$C$7)</f>
        <v>15</v>
      </c>
      <c r="J603" s="22">
        <f t="shared" si="28"/>
        <v>35130</v>
      </c>
      <c r="K603" s="22">
        <f t="shared" si="29"/>
        <v>33373.5</v>
      </c>
      <c r="L603" s="22">
        <f>K603-(_xlfn.XLOOKUP(E603,Product!$A$2:$A$7,Product!$B$2:$B$7)*F603)</f>
        <v>21663.5</v>
      </c>
      <c r="M603">
        <f>YEAR(Table1[[#This Row],[Order date]])</f>
        <v>2014</v>
      </c>
      <c r="N603" s="22" t="str" cm="1">
        <f t="array" ref="N603">_xlfn.IFS(G603=0,"No Discount", ROUND(G603*100,0)&lt;=4,"Low", ROUND(G603*100,0)&lt;=9,"Medium", ROUND(G603*100,0)&lt;=15,"High")</f>
        <v>Medium</v>
      </c>
      <c r="O603" s="22" t="str">
        <f>TEXT(Table1[[#This Row],[Order date]],"mmmm")</f>
        <v>November</v>
      </c>
    </row>
    <row r="604" spans="1:15" ht="13.5" x14ac:dyDescent="0.25">
      <c r="A604" s="1" t="str">
        <f>"ORD"&amp;"-"&amp;_xlfn.XLOOKUP(C604,Guide!$B$22:$B$26,Guide!$C$22:$C$26)&amp;"-"&amp;_xlfn.XLOOKUP(D604,Guide!$B$29:$B$33,Guide!$C$29:$C$33)&amp;"-"&amp;TEXT(H604,"yyyymmdd")</f>
        <v>ORD-MXC-MDM-20141101</v>
      </c>
      <c r="B604" s="1" t="s">
        <v>577</v>
      </c>
      <c r="C604" s="1" t="s">
        <v>33</v>
      </c>
      <c r="D604" s="1" t="s">
        <v>41</v>
      </c>
      <c r="E604" s="1" t="s">
        <v>80</v>
      </c>
      <c r="F604" s="2">
        <v>2791</v>
      </c>
      <c r="G604" s="4">
        <v>0.05</v>
      </c>
      <c r="H604" s="3">
        <f t="shared" si="27"/>
        <v>41944</v>
      </c>
      <c r="I604" s="1">
        <f>_xlfn.XLOOKUP(E604,Product!$A$2:$A$7,Product!$C$2:$C$7)</f>
        <v>20</v>
      </c>
      <c r="J604" s="22">
        <f t="shared" si="28"/>
        <v>55820</v>
      </c>
      <c r="K604" s="22">
        <f t="shared" si="29"/>
        <v>53029</v>
      </c>
      <c r="L604" s="22">
        <f>K604-(_xlfn.XLOOKUP(E604,Product!$A$2:$A$7,Product!$B$2:$B$7)*F604)</f>
        <v>44656</v>
      </c>
      <c r="M604">
        <f>YEAR(Table1[[#This Row],[Order date]])</f>
        <v>2014</v>
      </c>
      <c r="N604" s="22" t="str" cm="1">
        <f t="array" ref="N604">_xlfn.IFS(G604=0,"No Discount", ROUND(G604*100,0)&lt;=4,"Low", ROUND(G604*100,0)&lt;=9,"Medium", ROUND(G604*100,0)&lt;=15,"High")</f>
        <v>Medium</v>
      </c>
      <c r="O604" s="22" t="str">
        <f>TEXT(Table1[[#This Row],[Order date]],"mmmm")</f>
        <v>November</v>
      </c>
    </row>
    <row r="605" spans="1:15" ht="13.5" x14ac:dyDescent="0.25">
      <c r="A605" s="1" t="str">
        <f>"ORD"&amp;"-"&amp;_xlfn.XLOOKUP(C605,Guide!$B$22:$B$26,Guide!$C$22:$C$26)&amp;"-"&amp;_xlfn.XLOOKUP(D605,Guide!$B$29:$B$33,Guide!$C$29:$C$33)&amp;"-"&amp;TEXT(H605,"yyyymmdd")</f>
        <v>ORD-USA-CPR-20141101</v>
      </c>
      <c r="B605" s="1" t="s">
        <v>578</v>
      </c>
      <c r="C605" s="1" t="s">
        <v>35</v>
      </c>
      <c r="D605" s="1" t="s">
        <v>43</v>
      </c>
      <c r="E605" s="1" t="s">
        <v>82</v>
      </c>
      <c r="F605" s="2">
        <v>2723</v>
      </c>
      <c r="G605" s="4">
        <v>0.06</v>
      </c>
      <c r="H605" s="3">
        <f t="shared" si="27"/>
        <v>41944</v>
      </c>
      <c r="I605" s="1">
        <f>_xlfn.XLOOKUP(E605,Product!$A$2:$A$7,Product!$C$2:$C$7)</f>
        <v>15</v>
      </c>
      <c r="J605" s="22">
        <f t="shared" si="28"/>
        <v>40845</v>
      </c>
      <c r="K605" s="22">
        <f t="shared" si="29"/>
        <v>38394.299999999996</v>
      </c>
      <c r="L605" s="22">
        <f>K605-(_xlfn.XLOOKUP(E605,Product!$A$2:$A$7,Product!$B$2:$B$7)*F605)</f>
        <v>24779.299999999996</v>
      </c>
      <c r="M605">
        <f>YEAR(Table1[[#This Row],[Order date]])</f>
        <v>2014</v>
      </c>
      <c r="N605" s="22" t="str" cm="1">
        <f t="array" ref="N605">_xlfn.IFS(G605=0,"No Discount", ROUND(G605*100,0)&lt;=4,"Low", ROUND(G605*100,0)&lt;=9,"Medium", ROUND(G605*100,0)&lt;=15,"High")</f>
        <v>Medium</v>
      </c>
      <c r="O605" s="22" t="str">
        <f>TEXT(Table1[[#This Row],[Order date]],"mmmm")</f>
        <v>November</v>
      </c>
    </row>
    <row r="606" spans="1:15" ht="13.5" x14ac:dyDescent="0.25">
      <c r="A606" s="1" t="str">
        <f>"ORD"&amp;"-"&amp;_xlfn.XLOOKUP(C606,Guide!$B$22:$B$26,Guide!$C$22:$C$26)&amp;"-"&amp;_xlfn.XLOOKUP(D606,Guide!$B$29:$B$33,Guide!$C$29:$C$33)&amp;"-"&amp;TEXT(H606,"yyyymmdd")</f>
        <v>ORD-USA-MDM-20141101</v>
      </c>
      <c r="B606" s="1" t="s">
        <v>579</v>
      </c>
      <c r="C606" s="1" t="s">
        <v>35</v>
      </c>
      <c r="D606" s="1" t="s">
        <v>41</v>
      </c>
      <c r="E606" s="1" t="s">
        <v>80</v>
      </c>
      <c r="F606" s="2">
        <v>2030</v>
      </c>
      <c r="G606" s="4">
        <v>0.06</v>
      </c>
      <c r="H606" s="3">
        <f t="shared" si="27"/>
        <v>41944</v>
      </c>
      <c r="I606" s="1">
        <f>_xlfn.XLOOKUP(E606,Product!$A$2:$A$7,Product!$C$2:$C$7)</f>
        <v>20</v>
      </c>
      <c r="J606" s="22">
        <f t="shared" si="28"/>
        <v>40600</v>
      </c>
      <c r="K606" s="22">
        <f t="shared" si="29"/>
        <v>38164</v>
      </c>
      <c r="L606" s="22">
        <f>K606-(_xlfn.XLOOKUP(E606,Product!$A$2:$A$7,Product!$B$2:$B$7)*F606)</f>
        <v>32074</v>
      </c>
      <c r="M606">
        <f>YEAR(Table1[[#This Row],[Order date]])</f>
        <v>2014</v>
      </c>
      <c r="N606" s="22" t="str" cm="1">
        <f t="array" ref="N606">_xlfn.IFS(G606=0,"No Discount", ROUND(G606*100,0)&lt;=4,"Low", ROUND(G606*100,0)&lt;=9,"Medium", ROUND(G606*100,0)&lt;=15,"High")</f>
        <v>Medium</v>
      </c>
      <c r="O606" s="22" t="str">
        <f>TEXT(Table1[[#This Row],[Order date]],"mmmm")</f>
        <v>November</v>
      </c>
    </row>
    <row r="607" spans="1:15" ht="13.5" x14ac:dyDescent="0.25">
      <c r="A607" s="1" t="str">
        <f>"ORD"&amp;"-"&amp;_xlfn.XLOOKUP(C607,Guide!$B$22:$B$26,Guide!$C$22:$C$26)&amp;"-"&amp;_xlfn.XLOOKUP(D607,Guide!$B$29:$B$33,Guide!$C$29:$C$33)&amp;"-"&amp;TEXT(H607,"yyyymmdd")</f>
        <v>ORD-MXC-GOV-20141101</v>
      </c>
      <c r="B607" s="1" t="s">
        <v>580</v>
      </c>
      <c r="C607" s="1" t="s">
        <v>33</v>
      </c>
      <c r="D607" s="1" t="s">
        <v>39</v>
      </c>
      <c r="E607" s="1" t="s">
        <v>88</v>
      </c>
      <c r="F607" s="2">
        <v>1333</v>
      </c>
      <c r="G607" s="4">
        <v>6.0000000000000005E-2</v>
      </c>
      <c r="H607" s="3">
        <f t="shared" si="27"/>
        <v>41944</v>
      </c>
      <c r="I607" s="1">
        <f>_xlfn.XLOOKUP(E607,Product!$A$2:$A$7,Product!$C$2:$C$7)</f>
        <v>180</v>
      </c>
      <c r="J607" s="22">
        <f t="shared" si="28"/>
        <v>239940</v>
      </c>
      <c r="K607" s="22">
        <f t="shared" si="29"/>
        <v>225543.59999999998</v>
      </c>
      <c r="L607" s="22">
        <f>K607-(_xlfn.XLOOKUP(E607,Product!$A$2:$A$7,Product!$B$2:$B$7)*F607)</f>
        <v>65583.599999999977</v>
      </c>
      <c r="M607">
        <f>YEAR(Table1[[#This Row],[Order date]])</f>
        <v>2014</v>
      </c>
      <c r="N607" s="22" t="str" cm="1">
        <f t="array" ref="N607">_xlfn.IFS(G607=0,"No Discount", ROUND(G607*100,0)&lt;=4,"Low", ROUND(G607*100,0)&lt;=9,"Medium", ROUND(G607*100,0)&lt;=15,"High")</f>
        <v>Medium</v>
      </c>
      <c r="O607" s="22" t="str">
        <f>TEXT(Table1[[#This Row],[Order date]],"mmmm")</f>
        <v>November</v>
      </c>
    </row>
    <row r="608" spans="1:15" ht="13.5" x14ac:dyDescent="0.25">
      <c r="A608" s="1" t="str">
        <f>"ORD"&amp;"-"&amp;_xlfn.XLOOKUP(C608,Guide!$B$22:$B$26,Guide!$C$22:$C$26)&amp;"-"&amp;_xlfn.XLOOKUP(D608,Guide!$B$29:$B$33,Guide!$C$29:$C$33)&amp;"-"&amp;TEXT(H608,"yyyymmdd")</f>
        <v>ORD-FRA-CPR-20141101</v>
      </c>
      <c r="B608" s="1" t="s">
        <v>581</v>
      </c>
      <c r="C608" s="1" t="s">
        <v>31</v>
      </c>
      <c r="D608" s="1" t="s">
        <v>43</v>
      </c>
      <c r="E608" s="1" t="s">
        <v>82</v>
      </c>
      <c r="F608" s="2">
        <v>2342</v>
      </c>
      <c r="G608" s="4">
        <v>6.9999999999999993E-2</v>
      </c>
      <c r="H608" s="3">
        <f t="shared" si="27"/>
        <v>41944</v>
      </c>
      <c r="I608" s="1">
        <f>_xlfn.XLOOKUP(E608,Product!$A$2:$A$7,Product!$C$2:$C$7)</f>
        <v>15</v>
      </c>
      <c r="J608" s="22">
        <f t="shared" si="28"/>
        <v>35130</v>
      </c>
      <c r="K608" s="22">
        <f t="shared" si="29"/>
        <v>32670.9</v>
      </c>
      <c r="L608" s="22">
        <f>K608-(_xlfn.XLOOKUP(E608,Product!$A$2:$A$7,Product!$B$2:$B$7)*F608)</f>
        <v>20960.900000000001</v>
      </c>
      <c r="M608">
        <f>YEAR(Table1[[#This Row],[Order date]])</f>
        <v>2014</v>
      </c>
      <c r="N608" s="22" t="str" cm="1">
        <f t="array" ref="N608">_xlfn.IFS(G608=0,"No Discount", ROUND(G608*100,0)&lt;=4,"Low", ROUND(G608*100,0)&lt;=9,"Medium", ROUND(G608*100,0)&lt;=15,"High")</f>
        <v>Medium</v>
      </c>
      <c r="O608" s="22" t="str">
        <f>TEXT(Table1[[#This Row],[Order date]],"mmmm")</f>
        <v>November</v>
      </c>
    </row>
    <row r="609" spans="1:15" ht="13.5" x14ac:dyDescent="0.25">
      <c r="A609" s="1" t="str">
        <f>"ORD"&amp;"-"&amp;_xlfn.XLOOKUP(C609,Guide!$B$22:$B$26,Guide!$C$22:$C$26)&amp;"-"&amp;_xlfn.XLOOKUP(D609,Guide!$B$29:$B$33,Guide!$C$29:$C$33)&amp;"-"&amp;TEXT(H609,"yyyymmdd")</f>
        <v>ORD-USA-GOV-20141101</v>
      </c>
      <c r="B609" s="1" t="s">
        <v>582</v>
      </c>
      <c r="C609" s="1" t="s">
        <v>35</v>
      </c>
      <c r="D609" s="1" t="s">
        <v>39</v>
      </c>
      <c r="E609" s="1" t="s">
        <v>88</v>
      </c>
      <c r="F609" s="2">
        <v>547</v>
      </c>
      <c r="G609" s="4">
        <v>6.9999999999999993E-2</v>
      </c>
      <c r="H609" s="3">
        <f t="shared" si="27"/>
        <v>41944</v>
      </c>
      <c r="I609" s="1">
        <f>_xlfn.XLOOKUP(E609,Product!$A$2:$A$7,Product!$C$2:$C$7)</f>
        <v>180</v>
      </c>
      <c r="J609" s="22">
        <f t="shared" si="28"/>
        <v>98460</v>
      </c>
      <c r="K609" s="22">
        <f t="shared" si="29"/>
        <v>91567.8</v>
      </c>
      <c r="L609" s="22">
        <f>K609-(_xlfn.XLOOKUP(E609,Product!$A$2:$A$7,Product!$B$2:$B$7)*F609)</f>
        <v>25927.800000000003</v>
      </c>
      <c r="M609">
        <f>YEAR(Table1[[#This Row],[Order date]])</f>
        <v>2014</v>
      </c>
      <c r="N609" s="22" t="str" cm="1">
        <f t="array" ref="N609">_xlfn.IFS(G609=0,"No Discount", ROUND(G609*100,0)&lt;=4,"Low", ROUND(G609*100,0)&lt;=9,"Medium", ROUND(G609*100,0)&lt;=15,"High")</f>
        <v>Medium</v>
      </c>
      <c r="O609" s="22" t="str">
        <f>TEXT(Table1[[#This Row],[Order date]],"mmmm")</f>
        <v>November</v>
      </c>
    </row>
    <row r="610" spans="1:15" ht="13.5" x14ac:dyDescent="0.25">
      <c r="A610" s="1" t="str">
        <f>"ORD"&amp;"-"&amp;_xlfn.XLOOKUP(C610,Guide!$B$22:$B$26,Guide!$C$22:$C$26)&amp;"-"&amp;_xlfn.XLOOKUP(D610,Guide!$B$29:$B$33,Guide!$C$29:$C$33)&amp;"-"&amp;TEXT(H610,"yyyymmdd")</f>
        <v>ORD-CND-GOV-20141101</v>
      </c>
      <c r="B610" s="1" t="s">
        <v>583</v>
      </c>
      <c r="C610" s="1" t="s">
        <v>27</v>
      </c>
      <c r="D610" s="1" t="s">
        <v>39</v>
      </c>
      <c r="E610" s="1" t="s">
        <v>84</v>
      </c>
      <c r="F610" s="2">
        <v>1118</v>
      </c>
      <c r="G610" s="4">
        <v>7.0000000000000007E-2</v>
      </c>
      <c r="H610" s="3">
        <f t="shared" si="27"/>
        <v>41944</v>
      </c>
      <c r="I610" s="1">
        <f>_xlfn.XLOOKUP(E610,Product!$A$2:$A$7,Product!$C$2:$C$7)</f>
        <v>350</v>
      </c>
      <c r="J610" s="22">
        <f t="shared" si="28"/>
        <v>391300</v>
      </c>
      <c r="K610" s="22">
        <f t="shared" si="29"/>
        <v>363909</v>
      </c>
      <c r="L610" s="22">
        <f>K610-(_xlfn.XLOOKUP(E610,Product!$A$2:$A$7,Product!$B$2:$B$7)*F610)</f>
        <v>140309</v>
      </c>
      <c r="M610">
        <f>YEAR(Table1[[#This Row],[Order date]])</f>
        <v>2014</v>
      </c>
      <c r="N610" s="22" t="str" cm="1">
        <f t="array" ref="N610">_xlfn.IFS(G610=0,"No Discount", ROUND(G610*100,0)&lt;=4,"Low", ROUND(G610*100,0)&lt;=9,"Medium", ROUND(G610*100,0)&lt;=15,"High")</f>
        <v>Medium</v>
      </c>
      <c r="O610" s="22" t="str">
        <f>TEXT(Table1[[#This Row],[Order date]],"mmmm")</f>
        <v>November</v>
      </c>
    </row>
    <row r="611" spans="1:15" ht="13.5" x14ac:dyDescent="0.25">
      <c r="A611" s="1" t="str">
        <f>"ORD"&amp;"-"&amp;_xlfn.XLOOKUP(C611,Guide!$B$22:$B$26,Guide!$C$22:$C$26)&amp;"-"&amp;_xlfn.XLOOKUP(D611,Guide!$B$29:$B$33,Guide!$C$29:$C$33)&amp;"-"&amp;TEXT(H611,"yyyymmdd")</f>
        <v>ORD-FRA-MDM-20141101</v>
      </c>
      <c r="B611" s="1" t="s">
        <v>584</v>
      </c>
      <c r="C611" s="1" t="s">
        <v>31</v>
      </c>
      <c r="D611" s="1" t="s">
        <v>41</v>
      </c>
      <c r="E611" s="1" t="s">
        <v>80</v>
      </c>
      <c r="F611" s="2">
        <v>490</v>
      </c>
      <c r="G611" s="4">
        <v>0.08</v>
      </c>
      <c r="H611" s="3">
        <f t="shared" si="27"/>
        <v>41944</v>
      </c>
      <c r="I611" s="1">
        <f>_xlfn.XLOOKUP(E611,Product!$A$2:$A$7,Product!$C$2:$C$7)</f>
        <v>20</v>
      </c>
      <c r="J611" s="22">
        <f t="shared" si="28"/>
        <v>9800</v>
      </c>
      <c r="K611" s="22">
        <f t="shared" si="29"/>
        <v>9016</v>
      </c>
      <c r="L611" s="22">
        <f>K611-(_xlfn.XLOOKUP(E611,Product!$A$2:$A$7,Product!$B$2:$B$7)*F611)</f>
        <v>7546</v>
      </c>
      <c r="M611">
        <f>YEAR(Table1[[#This Row],[Order date]])</f>
        <v>2014</v>
      </c>
      <c r="N611" s="22" t="str" cm="1">
        <f t="array" ref="N611">_xlfn.IFS(G611=0,"No Discount", ROUND(G611*100,0)&lt;=4,"Low", ROUND(G611*100,0)&lt;=9,"Medium", ROUND(G611*100,0)&lt;=15,"High")</f>
        <v>Medium</v>
      </c>
      <c r="O611" s="22" t="str">
        <f>TEXT(Table1[[#This Row],[Order date]],"mmmm")</f>
        <v>November</v>
      </c>
    </row>
    <row r="612" spans="1:15" ht="13.5" x14ac:dyDescent="0.25">
      <c r="A612" s="1" t="str">
        <f>"ORD"&amp;"-"&amp;_xlfn.XLOOKUP(C612,Guide!$B$22:$B$26,Guide!$C$22:$C$26)&amp;"-"&amp;_xlfn.XLOOKUP(D612,Guide!$B$29:$B$33,Guide!$C$29:$C$33)&amp;"-"&amp;TEXT(H612,"yyyymmdd")</f>
        <v>ORD-GER-GOV-20141101</v>
      </c>
      <c r="B612" s="1" t="s">
        <v>585</v>
      </c>
      <c r="C612" s="1" t="s">
        <v>29</v>
      </c>
      <c r="D612" s="1" t="s">
        <v>39</v>
      </c>
      <c r="E612" s="1" t="s">
        <v>84</v>
      </c>
      <c r="F612" s="2">
        <v>1520</v>
      </c>
      <c r="G612" s="4">
        <v>0.08</v>
      </c>
      <c r="H612" s="3">
        <f t="shared" si="27"/>
        <v>41944</v>
      </c>
      <c r="I612" s="1">
        <f>_xlfn.XLOOKUP(E612,Product!$A$2:$A$7,Product!$C$2:$C$7)</f>
        <v>350</v>
      </c>
      <c r="J612" s="22">
        <f t="shared" si="28"/>
        <v>532000</v>
      </c>
      <c r="K612" s="22">
        <f t="shared" si="29"/>
        <v>489440</v>
      </c>
      <c r="L612" s="22">
        <f>K612-(_xlfn.XLOOKUP(E612,Product!$A$2:$A$7,Product!$B$2:$B$7)*F612)</f>
        <v>185440</v>
      </c>
      <c r="M612">
        <f>YEAR(Table1[[#This Row],[Order date]])</f>
        <v>2014</v>
      </c>
      <c r="N612" s="22" t="str" cm="1">
        <f t="array" ref="N612">_xlfn.IFS(G612=0,"No Discount", ROUND(G612*100,0)&lt;=4,"Low", ROUND(G612*100,0)&lt;=9,"Medium", ROUND(G612*100,0)&lt;=15,"High")</f>
        <v>Medium</v>
      </c>
      <c r="O612" s="22" t="str">
        <f>TEXT(Table1[[#This Row],[Order date]],"mmmm")</f>
        <v>November</v>
      </c>
    </row>
    <row r="613" spans="1:15" ht="13.5" x14ac:dyDescent="0.25">
      <c r="A613" s="1" t="str">
        <f>"ORD"&amp;"-"&amp;_xlfn.XLOOKUP(C613,Guide!$B$22:$B$26,Guide!$C$22:$C$26)&amp;"-"&amp;_xlfn.XLOOKUP(D613,Guide!$B$29:$B$33,Guide!$C$29:$C$33)&amp;"-"&amp;TEXT(H613,"yyyymmdd")</f>
        <v>ORD-FRA-SMB-20141101</v>
      </c>
      <c r="B613" s="1" t="s">
        <v>586</v>
      </c>
      <c r="C613" s="1" t="s">
        <v>31</v>
      </c>
      <c r="D613" s="1" t="s">
        <v>47</v>
      </c>
      <c r="E613" s="1" t="s">
        <v>75</v>
      </c>
      <c r="F613" s="2">
        <v>1324</v>
      </c>
      <c r="G613" s="4">
        <v>0.09</v>
      </c>
      <c r="H613" s="3">
        <f t="shared" si="27"/>
        <v>41944</v>
      </c>
      <c r="I613" s="1">
        <f>_xlfn.XLOOKUP(E613,Product!$A$2:$A$7,Product!$C$2:$C$7)</f>
        <v>20</v>
      </c>
      <c r="J613" s="22">
        <f t="shared" si="28"/>
        <v>26480</v>
      </c>
      <c r="K613" s="22">
        <f t="shared" si="29"/>
        <v>24096.799999999999</v>
      </c>
      <c r="L613" s="22">
        <f>K613-(_xlfn.XLOOKUP(E613,Product!$A$2:$A$7,Product!$B$2:$B$7)*F613)</f>
        <v>10856.8</v>
      </c>
      <c r="M613">
        <f>YEAR(Table1[[#This Row],[Order date]])</f>
        <v>2014</v>
      </c>
      <c r="N613" s="22" t="str" cm="1">
        <f t="array" ref="N613">_xlfn.IFS(G613=0,"No Discount", ROUND(G613*100,0)&lt;=4,"Low", ROUND(G613*100,0)&lt;=9,"Medium", ROUND(G613*100,0)&lt;=15,"High")</f>
        <v>Medium</v>
      </c>
      <c r="O613" s="22" t="str">
        <f>TEXT(Table1[[#This Row],[Order date]],"mmmm")</f>
        <v>November</v>
      </c>
    </row>
    <row r="614" spans="1:15" ht="13.5" x14ac:dyDescent="0.25">
      <c r="A614" s="1" t="str">
        <f>"ORD"&amp;"-"&amp;_xlfn.XLOOKUP(C614,Guide!$B$22:$B$26,Guide!$C$22:$C$26)&amp;"-"&amp;_xlfn.XLOOKUP(D614,Guide!$B$29:$B$33,Guide!$C$29:$C$33)&amp;"-"&amp;TEXT(H614,"yyyymmdd")</f>
        <v>ORD-CND-CPR-20141101</v>
      </c>
      <c r="B614" s="1" t="s">
        <v>587</v>
      </c>
      <c r="C614" s="1" t="s">
        <v>27</v>
      </c>
      <c r="D614" s="1" t="s">
        <v>43</v>
      </c>
      <c r="E614" s="1" t="s">
        <v>82</v>
      </c>
      <c r="F614" s="2">
        <v>2321</v>
      </c>
      <c r="G614" s="4">
        <v>0.09</v>
      </c>
      <c r="H614" s="3">
        <f t="shared" si="27"/>
        <v>41944</v>
      </c>
      <c r="I614" s="1">
        <f>_xlfn.XLOOKUP(E614,Product!$A$2:$A$7,Product!$C$2:$C$7)</f>
        <v>15</v>
      </c>
      <c r="J614" s="22">
        <f t="shared" si="28"/>
        <v>34815</v>
      </c>
      <c r="K614" s="22">
        <f t="shared" si="29"/>
        <v>31681.65</v>
      </c>
      <c r="L614" s="22">
        <f>K614-(_xlfn.XLOOKUP(E614,Product!$A$2:$A$7,Product!$B$2:$B$7)*F614)</f>
        <v>20076.650000000001</v>
      </c>
      <c r="M614">
        <f>YEAR(Table1[[#This Row],[Order date]])</f>
        <v>2014</v>
      </c>
      <c r="N614" s="22" t="str" cm="1">
        <f t="array" ref="N614">_xlfn.IFS(G614=0,"No Discount", ROUND(G614*100,0)&lt;=4,"Low", ROUND(G614*100,0)&lt;=9,"Medium", ROUND(G614*100,0)&lt;=15,"High")</f>
        <v>Medium</v>
      </c>
      <c r="O614" s="22" t="str">
        <f>TEXT(Table1[[#This Row],[Order date]],"mmmm")</f>
        <v>November</v>
      </c>
    </row>
    <row r="615" spans="1:15" ht="13.5" x14ac:dyDescent="0.25">
      <c r="A615" s="1" t="str">
        <f>"ORD"&amp;"-"&amp;_xlfn.XLOOKUP(C615,Guide!$B$22:$B$26,Guide!$C$22:$C$26)&amp;"-"&amp;_xlfn.XLOOKUP(D615,Guide!$B$29:$B$33,Guide!$C$29:$C$33)&amp;"-"&amp;TEXT(H615,"yyyymmdd")</f>
        <v>ORD-MXC-ENT-20141101</v>
      </c>
      <c r="B615" s="1" t="s">
        <v>588</v>
      </c>
      <c r="C615" s="1" t="s">
        <v>33</v>
      </c>
      <c r="D615" s="1" t="s">
        <v>45</v>
      </c>
      <c r="E615" s="1" t="s">
        <v>78</v>
      </c>
      <c r="F615" s="2">
        <v>877</v>
      </c>
      <c r="G615" s="4">
        <v>0.09</v>
      </c>
      <c r="H615" s="3">
        <f t="shared" si="27"/>
        <v>41944</v>
      </c>
      <c r="I615" s="1">
        <f>_xlfn.XLOOKUP(E615,Product!$A$2:$A$7,Product!$C$2:$C$7)</f>
        <v>300</v>
      </c>
      <c r="J615" s="22">
        <f t="shared" si="28"/>
        <v>263100</v>
      </c>
      <c r="K615" s="22">
        <f t="shared" si="29"/>
        <v>239421</v>
      </c>
      <c r="L615" s="22">
        <f>K615-(_xlfn.XLOOKUP(E615,Product!$A$2:$A$7,Product!$B$2:$B$7)*F615)</f>
        <v>20171</v>
      </c>
      <c r="M615">
        <f>YEAR(Table1[[#This Row],[Order date]])</f>
        <v>2014</v>
      </c>
      <c r="N615" s="22" t="str" cm="1">
        <f t="array" ref="N615">_xlfn.IFS(G615=0,"No Discount", ROUND(G615*100,0)&lt;=4,"Low", ROUND(G615*100,0)&lt;=9,"Medium", ROUND(G615*100,0)&lt;=15,"High")</f>
        <v>Medium</v>
      </c>
      <c r="O615" s="22" t="str">
        <f>TEXT(Table1[[#This Row],[Order date]],"mmmm")</f>
        <v>November</v>
      </c>
    </row>
    <row r="616" spans="1:15" ht="13.5" x14ac:dyDescent="0.25">
      <c r="A616" s="1" t="str">
        <f>"ORD"&amp;"-"&amp;_xlfn.XLOOKUP(C616,Guide!$B$22:$B$26,Guide!$C$22:$C$26)&amp;"-"&amp;_xlfn.XLOOKUP(D616,Guide!$B$29:$B$33,Guide!$C$29:$C$33)&amp;"-"&amp;TEXT(H616,"yyyymmdd")</f>
        <v>ORD-MXC-GOV-20141101</v>
      </c>
      <c r="B616" s="1" t="s">
        <v>589</v>
      </c>
      <c r="C616" s="1" t="s">
        <v>33</v>
      </c>
      <c r="D616" s="1" t="s">
        <v>39</v>
      </c>
      <c r="E616" s="1" t="s">
        <v>84</v>
      </c>
      <c r="F616" s="2">
        <v>1694</v>
      </c>
      <c r="G616" s="4">
        <v>0.09</v>
      </c>
      <c r="H616" s="3">
        <f t="shared" si="27"/>
        <v>41944</v>
      </c>
      <c r="I616" s="1">
        <f>_xlfn.XLOOKUP(E616,Product!$A$2:$A$7,Product!$C$2:$C$7)</f>
        <v>350</v>
      </c>
      <c r="J616" s="22">
        <f t="shared" si="28"/>
        <v>592900</v>
      </c>
      <c r="K616" s="22">
        <f t="shared" si="29"/>
        <v>539539</v>
      </c>
      <c r="L616" s="22">
        <f>K616-(_xlfn.XLOOKUP(E616,Product!$A$2:$A$7,Product!$B$2:$B$7)*F616)</f>
        <v>200739</v>
      </c>
      <c r="M616">
        <f>YEAR(Table1[[#This Row],[Order date]])</f>
        <v>2014</v>
      </c>
      <c r="N616" s="22" t="str" cm="1">
        <f t="array" ref="N616">_xlfn.IFS(G616=0,"No Discount", ROUND(G616*100,0)&lt;=4,"Low", ROUND(G616*100,0)&lt;=9,"Medium", ROUND(G616*100,0)&lt;=15,"High")</f>
        <v>Medium</v>
      </c>
      <c r="O616" s="22" t="str">
        <f>TEXT(Table1[[#This Row],[Order date]],"mmmm")</f>
        <v>November</v>
      </c>
    </row>
    <row r="617" spans="1:15" ht="13.5" x14ac:dyDescent="0.25">
      <c r="A617" s="1" t="str">
        <f>"ORD"&amp;"-"&amp;_xlfn.XLOOKUP(C617,Guide!$B$22:$B$26,Guide!$C$22:$C$26)&amp;"-"&amp;_xlfn.XLOOKUP(D617,Guide!$B$29:$B$33,Guide!$C$29:$C$33)&amp;"-"&amp;TEXT(H617,"yyyymmdd")</f>
        <v>ORD-CND-ENT-20141101</v>
      </c>
      <c r="B617" s="1" t="s">
        <v>590</v>
      </c>
      <c r="C617" s="1" t="s">
        <v>27</v>
      </c>
      <c r="D617" s="1" t="s">
        <v>45</v>
      </c>
      <c r="E617" s="1" t="s">
        <v>78</v>
      </c>
      <c r="F617" s="2">
        <v>2529</v>
      </c>
      <c r="G617" s="4">
        <v>0.1</v>
      </c>
      <c r="H617" s="3">
        <f t="shared" si="27"/>
        <v>41944</v>
      </c>
      <c r="I617" s="1">
        <f>_xlfn.XLOOKUP(E617,Product!$A$2:$A$7,Product!$C$2:$C$7)</f>
        <v>300</v>
      </c>
      <c r="J617" s="22">
        <f t="shared" si="28"/>
        <v>758700</v>
      </c>
      <c r="K617" s="22">
        <f t="shared" si="29"/>
        <v>682830</v>
      </c>
      <c r="L617" s="22">
        <f>K617-(_xlfn.XLOOKUP(E617,Product!$A$2:$A$7,Product!$B$2:$B$7)*F617)</f>
        <v>50580</v>
      </c>
      <c r="M617">
        <f>YEAR(Table1[[#This Row],[Order date]])</f>
        <v>2014</v>
      </c>
      <c r="N617" s="22" t="str" cm="1">
        <f t="array" ref="N617">_xlfn.IFS(G617=0,"No Discount", ROUND(G617*100,0)&lt;=4,"Low", ROUND(G617*100,0)&lt;=9,"Medium", ROUND(G617*100,0)&lt;=15,"High")</f>
        <v>High</v>
      </c>
      <c r="O617" s="22" t="str">
        <f>TEXT(Table1[[#This Row],[Order date]],"mmmm")</f>
        <v>November</v>
      </c>
    </row>
    <row r="618" spans="1:15" ht="13.5" x14ac:dyDescent="0.25">
      <c r="A618" s="1" t="str">
        <f>"ORD"&amp;"-"&amp;_xlfn.XLOOKUP(C618,Guide!$B$22:$B$26,Guide!$C$22:$C$26)&amp;"-"&amp;_xlfn.XLOOKUP(D618,Guide!$B$29:$B$33,Guide!$C$29:$C$33)&amp;"-"&amp;TEXT(H618,"yyyymmdd")</f>
        <v>ORD-GER-GOV-20141101</v>
      </c>
      <c r="B618" s="1" t="s">
        <v>591</v>
      </c>
      <c r="C618" s="1" t="s">
        <v>29</v>
      </c>
      <c r="D618" s="1" t="s">
        <v>39</v>
      </c>
      <c r="E618" s="1" t="s">
        <v>88</v>
      </c>
      <c r="F618" s="2">
        <v>2665</v>
      </c>
      <c r="G618" s="4">
        <v>0.1</v>
      </c>
      <c r="H618" s="3">
        <f t="shared" si="27"/>
        <v>41944</v>
      </c>
      <c r="I618" s="1">
        <f>_xlfn.XLOOKUP(E618,Product!$A$2:$A$7,Product!$C$2:$C$7)</f>
        <v>180</v>
      </c>
      <c r="J618" s="22">
        <f t="shared" si="28"/>
        <v>479700</v>
      </c>
      <c r="K618" s="22">
        <f t="shared" si="29"/>
        <v>431730</v>
      </c>
      <c r="L618" s="22">
        <f>K618-(_xlfn.XLOOKUP(E618,Product!$A$2:$A$7,Product!$B$2:$B$7)*F618)</f>
        <v>111930</v>
      </c>
      <c r="M618">
        <f>YEAR(Table1[[#This Row],[Order date]])</f>
        <v>2014</v>
      </c>
      <c r="N618" s="22" t="str" cm="1">
        <f t="array" ref="N618">_xlfn.IFS(G618=0,"No Discount", ROUND(G618*100,0)&lt;=4,"Low", ROUND(G618*100,0)&lt;=9,"Medium", ROUND(G618*100,0)&lt;=15,"High")</f>
        <v>High</v>
      </c>
      <c r="O618" s="22" t="str">
        <f>TEXT(Table1[[#This Row],[Order date]],"mmmm")</f>
        <v>November</v>
      </c>
    </row>
    <row r="619" spans="1:15" ht="13.5" x14ac:dyDescent="0.25">
      <c r="A619" s="1" t="str">
        <f>"ORD"&amp;"-"&amp;_xlfn.XLOOKUP(C619,Guide!$B$22:$B$26,Guide!$C$22:$C$26)&amp;"-"&amp;_xlfn.XLOOKUP(D619,Guide!$B$29:$B$33,Guide!$C$29:$C$33)&amp;"-"&amp;TEXT(H619,"yyyymmdd")</f>
        <v>ORD-CND-SMB-20141101</v>
      </c>
      <c r="B619" s="1" t="s">
        <v>592</v>
      </c>
      <c r="C619" s="1" t="s">
        <v>27</v>
      </c>
      <c r="D619" s="1" t="s">
        <v>47</v>
      </c>
      <c r="E619" s="1" t="s">
        <v>75</v>
      </c>
      <c r="F619" s="2">
        <v>1366</v>
      </c>
      <c r="G619" s="4">
        <v>0.11</v>
      </c>
      <c r="H619" s="3">
        <f t="shared" si="27"/>
        <v>41944</v>
      </c>
      <c r="I619" s="1">
        <f>_xlfn.XLOOKUP(E619,Product!$A$2:$A$7,Product!$C$2:$C$7)</f>
        <v>20</v>
      </c>
      <c r="J619" s="22">
        <f t="shared" si="28"/>
        <v>27320</v>
      </c>
      <c r="K619" s="22">
        <f t="shared" si="29"/>
        <v>24314.799999999999</v>
      </c>
      <c r="L619" s="22">
        <f>K619-(_xlfn.XLOOKUP(E619,Product!$A$2:$A$7,Product!$B$2:$B$7)*F619)</f>
        <v>10654.8</v>
      </c>
      <c r="M619">
        <f>YEAR(Table1[[#This Row],[Order date]])</f>
        <v>2014</v>
      </c>
      <c r="N619" s="22" t="str" cm="1">
        <f t="array" ref="N619">_xlfn.IFS(G619=0,"No Discount", ROUND(G619*100,0)&lt;=4,"Low", ROUND(G619*100,0)&lt;=9,"Medium", ROUND(G619*100,0)&lt;=15,"High")</f>
        <v>High</v>
      </c>
      <c r="O619" s="22" t="str">
        <f>TEXT(Table1[[#This Row],[Order date]],"mmmm")</f>
        <v>November</v>
      </c>
    </row>
    <row r="620" spans="1:15" ht="13.5" x14ac:dyDescent="0.25">
      <c r="A620" s="1" t="str">
        <f>"ORD"&amp;"-"&amp;_xlfn.XLOOKUP(C620,Guide!$B$22:$B$26,Guide!$C$22:$C$26)&amp;"-"&amp;_xlfn.XLOOKUP(D620,Guide!$B$29:$B$33,Guide!$C$29:$C$33)&amp;"-"&amp;TEXT(H620,"yyyymmdd")</f>
        <v>ORD-CND-GOV-20141101</v>
      </c>
      <c r="B620" s="1" t="s">
        <v>593</v>
      </c>
      <c r="C620" s="1" t="s">
        <v>27</v>
      </c>
      <c r="D620" s="1" t="s">
        <v>39</v>
      </c>
      <c r="E620" s="1" t="s">
        <v>88</v>
      </c>
      <c r="F620" s="2">
        <v>1808</v>
      </c>
      <c r="G620" s="4">
        <v>0.11</v>
      </c>
      <c r="H620" s="3">
        <f t="shared" si="27"/>
        <v>41944</v>
      </c>
      <c r="I620" s="1">
        <f>_xlfn.XLOOKUP(E620,Product!$A$2:$A$7,Product!$C$2:$C$7)</f>
        <v>180</v>
      </c>
      <c r="J620" s="22">
        <f t="shared" si="28"/>
        <v>325440</v>
      </c>
      <c r="K620" s="22">
        <f t="shared" si="29"/>
        <v>289641.59999999998</v>
      </c>
      <c r="L620" s="22">
        <f>K620-(_xlfn.XLOOKUP(E620,Product!$A$2:$A$7,Product!$B$2:$B$7)*F620)</f>
        <v>72681.599999999977</v>
      </c>
      <c r="M620">
        <f>YEAR(Table1[[#This Row],[Order date]])</f>
        <v>2014</v>
      </c>
      <c r="N620" s="22" t="str" cm="1">
        <f t="array" ref="N620">_xlfn.IFS(G620=0,"No Discount", ROUND(G620*100,0)&lt;=4,"Low", ROUND(G620*100,0)&lt;=9,"Medium", ROUND(G620*100,0)&lt;=15,"High")</f>
        <v>High</v>
      </c>
      <c r="O620" s="22" t="str">
        <f>TEXT(Table1[[#This Row],[Order date]],"mmmm")</f>
        <v>November</v>
      </c>
    </row>
    <row r="621" spans="1:15" ht="13.5" x14ac:dyDescent="0.25">
      <c r="A621" s="1" t="str">
        <f>"ORD"&amp;"-"&amp;_xlfn.XLOOKUP(C621,Guide!$B$22:$B$26,Guide!$C$22:$C$26)&amp;"-"&amp;_xlfn.XLOOKUP(D621,Guide!$B$29:$B$33,Guide!$C$29:$C$33)&amp;"-"&amp;TEXT(H621,"yyyymmdd")</f>
        <v>ORD-MXC-GOV-20141101</v>
      </c>
      <c r="B621" s="1" t="s">
        <v>594</v>
      </c>
      <c r="C621" s="1" t="s">
        <v>33</v>
      </c>
      <c r="D621" s="1" t="s">
        <v>39</v>
      </c>
      <c r="E621" s="1" t="s">
        <v>75</v>
      </c>
      <c r="F621" s="2">
        <v>1197</v>
      </c>
      <c r="G621" s="4">
        <v>0.12</v>
      </c>
      <c r="H621" s="3">
        <f t="shared" si="27"/>
        <v>41944</v>
      </c>
      <c r="I621" s="1">
        <f>_xlfn.XLOOKUP(E621,Product!$A$2:$A$7,Product!$C$2:$C$7)</f>
        <v>20</v>
      </c>
      <c r="J621" s="22">
        <f t="shared" si="28"/>
        <v>23940</v>
      </c>
      <c r="K621" s="22">
        <f t="shared" si="29"/>
        <v>21067.200000000001</v>
      </c>
      <c r="L621" s="22">
        <f>K621-(_xlfn.XLOOKUP(E621,Product!$A$2:$A$7,Product!$B$2:$B$7)*F621)</f>
        <v>9097.2000000000007</v>
      </c>
      <c r="M621">
        <f>YEAR(Table1[[#This Row],[Order date]])</f>
        <v>2014</v>
      </c>
      <c r="N621" s="22" t="str" cm="1">
        <f t="array" ref="N621">_xlfn.IFS(G621=0,"No Discount", ROUND(G621*100,0)&lt;=4,"Low", ROUND(G621*100,0)&lt;=9,"Medium", ROUND(G621*100,0)&lt;=15,"High")</f>
        <v>High</v>
      </c>
      <c r="O621" s="22" t="str">
        <f>TEXT(Table1[[#This Row],[Order date]],"mmmm")</f>
        <v>November</v>
      </c>
    </row>
    <row r="622" spans="1:15" ht="13.5" x14ac:dyDescent="0.25">
      <c r="A622" s="1" t="str">
        <f>"ORD"&amp;"-"&amp;_xlfn.XLOOKUP(C622,Guide!$B$22:$B$26,Guide!$C$22:$C$26)&amp;"-"&amp;_xlfn.XLOOKUP(D622,Guide!$B$29:$B$33,Guide!$C$29:$C$33)&amp;"-"&amp;TEXT(H622,"yyyymmdd")</f>
        <v>ORD-GER-SMB-20141101</v>
      </c>
      <c r="B622" s="1" t="s">
        <v>595</v>
      </c>
      <c r="C622" s="1" t="s">
        <v>29</v>
      </c>
      <c r="D622" s="1" t="s">
        <v>47</v>
      </c>
      <c r="E622" s="1" t="s">
        <v>75</v>
      </c>
      <c r="F622" s="2">
        <v>1359</v>
      </c>
      <c r="G622" s="4">
        <v>0.12</v>
      </c>
      <c r="H622" s="3">
        <f t="shared" si="27"/>
        <v>41944</v>
      </c>
      <c r="I622" s="1">
        <f>_xlfn.XLOOKUP(E622,Product!$A$2:$A$7,Product!$C$2:$C$7)</f>
        <v>20</v>
      </c>
      <c r="J622" s="22">
        <f t="shared" si="28"/>
        <v>27180</v>
      </c>
      <c r="K622" s="22">
        <f t="shared" si="29"/>
        <v>23918.400000000001</v>
      </c>
      <c r="L622" s="22">
        <f>K622-(_xlfn.XLOOKUP(E622,Product!$A$2:$A$7,Product!$B$2:$B$7)*F622)</f>
        <v>10328.400000000001</v>
      </c>
      <c r="M622">
        <f>YEAR(Table1[[#This Row],[Order date]])</f>
        <v>2014</v>
      </c>
      <c r="N622" s="22" t="str" cm="1">
        <f t="array" ref="N622">_xlfn.IFS(G622=0,"No Discount", ROUND(G622*100,0)&lt;=4,"Low", ROUND(G622*100,0)&lt;=9,"Medium", ROUND(G622*100,0)&lt;=15,"High")</f>
        <v>High</v>
      </c>
      <c r="O622" s="22" t="str">
        <f>TEXT(Table1[[#This Row],[Order date]],"mmmm")</f>
        <v>November</v>
      </c>
    </row>
    <row r="623" spans="1:15" ht="13.5" x14ac:dyDescent="0.25">
      <c r="A623" s="1" t="str">
        <f>"ORD"&amp;"-"&amp;_xlfn.XLOOKUP(C623,Guide!$B$22:$B$26,Guide!$C$22:$C$26)&amp;"-"&amp;_xlfn.XLOOKUP(D623,Guide!$B$29:$B$33,Guide!$C$29:$C$33)&amp;"-"&amp;TEXT(H623,"yyyymmdd")</f>
        <v>ORD-FRA-GOV-20141101</v>
      </c>
      <c r="B623" s="1" t="s">
        <v>596</v>
      </c>
      <c r="C623" s="1" t="s">
        <v>31</v>
      </c>
      <c r="D623" s="1" t="s">
        <v>39</v>
      </c>
      <c r="E623" s="1" t="s">
        <v>75</v>
      </c>
      <c r="F623" s="2">
        <v>1594</v>
      </c>
      <c r="G623" s="4">
        <v>0.12</v>
      </c>
      <c r="H623" s="3">
        <f t="shared" si="27"/>
        <v>41944</v>
      </c>
      <c r="I623" s="1">
        <f>_xlfn.XLOOKUP(E623,Product!$A$2:$A$7,Product!$C$2:$C$7)</f>
        <v>20</v>
      </c>
      <c r="J623" s="22">
        <f t="shared" si="28"/>
        <v>31880</v>
      </c>
      <c r="K623" s="22">
        <f t="shared" si="29"/>
        <v>28054.400000000001</v>
      </c>
      <c r="L623" s="22">
        <f>K623-(_xlfn.XLOOKUP(E623,Product!$A$2:$A$7,Product!$B$2:$B$7)*F623)</f>
        <v>12114.400000000001</v>
      </c>
      <c r="M623">
        <f>YEAR(Table1[[#This Row],[Order date]])</f>
        <v>2014</v>
      </c>
      <c r="N623" s="22" t="str" cm="1">
        <f t="array" ref="N623">_xlfn.IFS(G623=0,"No Discount", ROUND(G623*100,0)&lt;=4,"Low", ROUND(G623*100,0)&lt;=9,"Medium", ROUND(G623*100,0)&lt;=15,"High")</f>
        <v>High</v>
      </c>
      <c r="O623" s="22" t="str">
        <f>TEXT(Table1[[#This Row],[Order date]],"mmmm")</f>
        <v>November</v>
      </c>
    </row>
    <row r="624" spans="1:15" ht="13.5" x14ac:dyDescent="0.25">
      <c r="A624" s="1" t="str">
        <f>"ORD"&amp;"-"&amp;_xlfn.XLOOKUP(C624,Guide!$B$22:$B$26,Guide!$C$22:$C$26)&amp;"-"&amp;_xlfn.XLOOKUP(D624,Guide!$B$29:$B$33,Guide!$C$29:$C$33)&amp;"-"&amp;TEXT(H624,"yyyymmdd")</f>
        <v>ORD-MXC-SMB-20141101</v>
      </c>
      <c r="B624" s="1" t="s">
        <v>597</v>
      </c>
      <c r="C624" s="1" t="s">
        <v>33</v>
      </c>
      <c r="D624" s="1" t="s">
        <v>47</v>
      </c>
      <c r="E624" s="1" t="s">
        <v>75</v>
      </c>
      <c r="F624" s="2">
        <v>2150</v>
      </c>
      <c r="G624" s="4">
        <v>0.12</v>
      </c>
      <c r="H624" s="3">
        <f t="shared" si="27"/>
        <v>41944</v>
      </c>
      <c r="I624" s="1">
        <f>_xlfn.XLOOKUP(E624,Product!$A$2:$A$7,Product!$C$2:$C$7)</f>
        <v>20</v>
      </c>
      <c r="J624" s="22">
        <f t="shared" si="28"/>
        <v>43000</v>
      </c>
      <c r="K624" s="22">
        <f t="shared" si="29"/>
        <v>37840</v>
      </c>
      <c r="L624" s="22">
        <f>K624-(_xlfn.XLOOKUP(E624,Product!$A$2:$A$7,Product!$B$2:$B$7)*F624)</f>
        <v>16340</v>
      </c>
      <c r="M624">
        <f>YEAR(Table1[[#This Row],[Order date]])</f>
        <v>2014</v>
      </c>
      <c r="N624" s="22" t="str" cm="1">
        <f t="array" ref="N624">_xlfn.IFS(G624=0,"No Discount", ROUND(G624*100,0)&lt;=4,"Low", ROUND(G624*100,0)&lt;=9,"Medium", ROUND(G624*100,0)&lt;=15,"High")</f>
        <v>High</v>
      </c>
      <c r="O624" s="22" t="str">
        <f>TEXT(Table1[[#This Row],[Order date]],"mmmm")</f>
        <v>November</v>
      </c>
    </row>
    <row r="625" spans="1:15" ht="13.5" x14ac:dyDescent="0.25">
      <c r="A625" s="1" t="str">
        <f>"ORD"&amp;"-"&amp;_xlfn.XLOOKUP(C625,Guide!$B$22:$B$26,Guide!$C$22:$C$26)&amp;"-"&amp;_xlfn.XLOOKUP(D625,Guide!$B$29:$B$33,Guide!$C$29:$C$33)&amp;"-"&amp;TEXT(H625,"yyyymmdd")</f>
        <v>ORD-USA-ENT-20141101</v>
      </c>
      <c r="B625" s="1" t="s">
        <v>598</v>
      </c>
      <c r="C625" s="1" t="s">
        <v>35</v>
      </c>
      <c r="D625" s="1" t="s">
        <v>45</v>
      </c>
      <c r="E625" s="1" t="s">
        <v>78</v>
      </c>
      <c r="F625" s="2">
        <v>2387</v>
      </c>
      <c r="G625" s="4">
        <v>0.12</v>
      </c>
      <c r="H625" s="3">
        <f t="shared" si="27"/>
        <v>41944</v>
      </c>
      <c r="I625" s="1">
        <f>_xlfn.XLOOKUP(E625,Product!$A$2:$A$7,Product!$C$2:$C$7)</f>
        <v>300</v>
      </c>
      <c r="J625" s="22">
        <f t="shared" si="28"/>
        <v>716100</v>
      </c>
      <c r="K625" s="22">
        <f t="shared" si="29"/>
        <v>630168</v>
      </c>
      <c r="L625" s="22">
        <f>K625-(_xlfn.XLOOKUP(E625,Product!$A$2:$A$7,Product!$B$2:$B$7)*F625)</f>
        <v>33418</v>
      </c>
      <c r="M625">
        <f>YEAR(Table1[[#This Row],[Order date]])</f>
        <v>2014</v>
      </c>
      <c r="N625" s="22" t="str" cm="1">
        <f t="array" ref="N625">_xlfn.IFS(G625=0,"No Discount", ROUND(G625*100,0)&lt;=4,"Low", ROUND(G625*100,0)&lt;=9,"Medium", ROUND(G625*100,0)&lt;=15,"High")</f>
        <v>High</v>
      </c>
      <c r="O625" s="22" t="str">
        <f>TEXT(Table1[[#This Row],[Order date]],"mmmm")</f>
        <v>November</v>
      </c>
    </row>
    <row r="626" spans="1:15" ht="13.5" x14ac:dyDescent="0.25">
      <c r="A626" s="1" t="str">
        <f>"ORD"&amp;"-"&amp;_xlfn.XLOOKUP(C626,Guide!$B$22:$B$26,Guide!$C$22:$C$26)&amp;"-"&amp;_xlfn.XLOOKUP(D626,Guide!$B$29:$B$33,Guide!$C$29:$C$33)&amp;"-"&amp;TEXT(H626,"yyyymmdd")</f>
        <v>ORD-CND-MDM-20141101</v>
      </c>
      <c r="B626" s="1" t="s">
        <v>599</v>
      </c>
      <c r="C626" s="1" t="s">
        <v>27</v>
      </c>
      <c r="D626" s="1" t="s">
        <v>41</v>
      </c>
      <c r="E626" s="1" t="s">
        <v>80</v>
      </c>
      <c r="F626" s="2">
        <v>2689</v>
      </c>
      <c r="G626" s="4">
        <v>0.12</v>
      </c>
      <c r="H626" s="3">
        <f t="shared" si="27"/>
        <v>41944</v>
      </c>
      <c r="I626" s="1">
        <f>_xlfn.XLOOKUP(E626,Product!$A$2:$A$7,Product!$C$2:$C$7)</f>
        <v>20</v>
      </c>
      <c r="J626" s="22">
        <f t="shared" si="28"/>
        <v>53780</v>
      </c>
      <c r="K626" s="22">
        <f t="shared" si="29"/>
        <v>47326.400000000001</v>
      </c>
      <c r="L626" s="22">
        <f>K626-(_xlfn.XLOOKUP(E626,Product!$A$2:$A$7,Product!$B$2:$B$7)*F626)</f>
        <v>39259.4</v>
      </c>
      <c r="M626">
        <f>YEAR(Table1[[#This Row],[Order date]])</f>
        <v>2014</v>
      </c>
      <c r="N626" s="22" t="str" cm="1">
        <f t="array" ref="N626">_xlfn.IFS(G626=0,"No Discount", ROUND(G626*100,0)&lt;=4,"Low", ROUND(G626*100,0)&lt;=9,"Medium", ROUND(G626*100,0)&lt;=15,"High")</f>
        <v>High</v>
      </c>
      <c r="O626" s="22" t="str">
        <f>TEXT(Table1[[#This Row],[Order date]],"mmmm")</f>
        <v>November</v>
      </c>
    </row>
    <row r="627" spans="1:15" ht="13.5" x14ac:dyDescent="0.25">
      <c r="A627" s="1" t="str">
        <f>"ORD"&amp;"-"&amp;_xlfn.XLOOKUP(C627,Guide!$B$22:$B$26,Guide!$C$22:$C$26)&amp;"-"&amp;_xlfn.XLOOKUP(D627,Guide!$B$29:$B$33,Guide!$C$29:$C$33)&amp;"-"&amp;TEXT(H627,"yyyymmdd")</f>
        <v>ORD-GER-GOV-20141101</v>
      </c>
      <c r="B627" s="1" t="s">
        <v>600</v>
      </c>
      <c r="C627" s="1" t="s">
        <v>29</v>
      </c>
      <c r="D627" s="1" t="s">
        <v>39</v>
      </c>
      <c r="E627" s="1" t="s">
        <v>75</v>
      </c>
      <c r="F627" s="2">
        <v>357</v>
      </c>
      <c r="G627" s="4">
        <v>0.13</v>
      </c>
      <c r="H627" s="3">
        <f t="shared" si="27"/>
        <v>41944</v>
      </c>
      <c r="I627" s="1">
        <f>_xlfn.XLOOKUP(E627,Product!$A$2:$A$7,Product!$C$2:$C$7)</f>
        <v>20</v>
      </c>
      <c r="J627" s="22">
        <f t="shared" si="28"/>
        <v>7140</v>
      </c>
      <c r="K627" s="22">
        <f t="shared" si="29"/>
        <v>6211.8</v>
      </c>
      <c r="L627" s="22">
        <f>K627-(_xlfn.XLOOKUP(E627,Product!$A$2:$A$7,Product!$B$2:$B$7)*F627)</f>
        <v>2641.8</v>
      </c>
      <c r="M627">
        <f>YEAR(Table1[[#This Row],[Order date]])</f>
        <v>2014</v>
      </c>
      <c r="N627" s="22" t="str" cm="1">
        <f t="array" ref="N627">_xlfn.IFS(G627=0,"No Discount", ROUND(G627*100,0)&lt;=4,"Low", ROUND(G627*100,0)&lt;=9,"Medium", ROUND(G627*100,0)&lt;=15,"High")</f>
        <v>High</v>
      </c>
      <c r="O627" s="22" t="str">
        <f>TEXT(Table1[[#This Row],[Order date]],"mmmm")</f>
        <v>November</v>
      </c>
    </row>
    <row r="628" spans="1:15" ht="13.5" x14ac:dyDescent="0.25">
      <c r="A628" s="1" t="str">
        <f>"ORD"&amp;"-"&amp;_xlfn.XLOOKUP(C628,Guide!$B$22:$B$26,Guide!$C$22:$C$26)&amp;"-"&amp;_xlfn.XLOOKUP(D628,Guide!$B$29:$B$33,Guide!$C$29:$C$33)&amp;"-"&amp;TEXT(H628,"yyyymmdd")</f>
        <v>ORD-CND-GOV-20141101</v>
      </c>
      <c r="B628" s="1" t="s">
        <v>601</v>
      </c>
      <c r="C628" s="1" t="s">
        <v>27</v>
      </c>
      <c r="D628" s="1" t="s">
        <v>39</v>
      </c>
      <c r="E628" s="1" t="s">
        <v>75</v>
      </c>
      <c r="F628" s="2">
        <v>700</v>
      </c>
      <c r="G628" s="4">
        <v>0.14000000000000001</v>
      </c>
      <c r="H628" s="3">
        <f t="shared" si="27"/>
        <v>41944</v>
      </c>
      <c r="I628" s="1">
        <f>_xlfn.XLOOKUP(E628,Product!$A$2:$A$7,Product!$C$2:$C$7)</f>
        <v>20</v>
      </c>
      <c r="J628" s="22">
        <f t="shared" si="28"/>
        <v>14000</v>
      </c>
      <c r="K628" s="22">
        <f t="shared" si="29"/>
        <v>12040</v>
      </c>
      <c r="L628" s="22">
        <f>K628-(_xlfn.XLOOKUP(E628,Product!$A$2:$A$7,Product!$B$2:$B$7)*F628)</f>
        <v>5040</v>
      </c>
      <c r="M628">
        <f>YEAR(Table1[[#This Row],[Order date]])</f>
        <v>2014</v>
      </c>
      <c r="N628" s="22" t="str" cm="1">
        <f t="array" ref="N628">_xlfn.IFS(G628=0,"No Discount", ROUND(G628*100,0)&lt;=4,"Low", ROUND(G628*100,0)&lt;=9,"Medium", ROUND(G628*100,0)&lt;=15,"High")</f>
        <v>High</v>
      </c>
      <c r="O628" s="22" t="str">
        <f>TEXT(Table1[[#This Row],[Order date]],"mmmm")</f>
        <v>November</v>
      </c>
    </row>
    <row r="629" spans="1:15" ht="13.5" x14ac:dyDescent="0.25">
      <c r="A629" s="1" t="str">
        <f>"ORD"&amp;"-"&amp;_xlfn.XLOOKUP(C629,Guide!$B$22:$B$26,Guide!$C$22:$C$26)&amp;"-"&amp;_xlfn.XLOOKUP(D629,Guide!$B$29:$B$33,Guide!$C$29:$C$33)&amp;"-"&amp;TEXT(H629,"yyyymmdd")</f>
        <v>ORD-USA-GOV-20141101</v>
      </c>
      <c r="B629" s="1" t="s">
        <v>602</v>
      </c>
      <c r="C629" s="1" t="s">
        <v>35</v>
      </c>
      <c r="D629" s="1" t="s">
        <v>39</v>
      </c>
      <c r="E629" s="1" t="s">
        <v>75</v>
      </c>
      <c r="F629" s="2">
        <v>1177</v>
      </c>
      <c r="G629" s="4">
        <v>0.14000000000000001</v>
      </c>
      <c r="H629" s="3">
        <f t="shared" si="27"/>
        <v>41944</v>
      </c>
      <c r="I629" s="1">
        <f>_xlfn.XLOOKUP(E629,Product!$A$2:$A$7,Product!$C$2:$C$7)</f>
        <v>20</v>
      </c>
      <c r="J629" s="22">
        <f t="shared" si="28"/>
        <v>23540</v>
      </c>
      <c r="K629" s="22">
        <f t="shared" si="29"/>
        <v>20244.400000000001</v>
      </c>
      <c r="L629" s="22">
        <f>K629-(_xlfn.XLOOKUP(E629,Product!$A$2:$A$7,Product!$B$2:$B$7)*F629)</f>
        <v>8474.4000000000015</v>
      </c>
      <c r="M629">
        <f>YEAR(Table1[[#This Row],[Order date]])</f>
        <v>2014</v>
      </c>
      <c r="N629" s="22" t="str" cm="1">
        <f t="array" ref="N629">_xlfn.IFS(G629=0,"No Discount", ROUND(G629*100,0)&lt;=4,"Low", ROUND(G629*100,0)&lt;=9,"Medium", ROUND(G629*100,0)&lt;=15,"High")</f>
        <v>High</v>
      </c>
      <c r="O629" s="22" t="str">
        <f>TEXT(Table1[[#This Row],[Order date]],"mmmm")</f>
        <v>November</v>
      </c>
    </row>
    <row r="630" spans="1:15" ht="13.5" x14ac:dyDescent="0.25">
      <c r="A630" s="1" t="str">
        <f>"ORD"&amp;"-"&amp;_xlfn.XLOOKUP(C630,Guide!$B$22:$B$26,Guide!$C$22:$C$26)&amp;"-"&amp;_xlfn.XLOOKUP(D630,Guide!$B$29:$B$33,Guide!$C$29:$C$33)&amp;"-"&amp;TEXT(H630,"yyyymmdd")</f>
        <v>ORD-GER-MDM-20141101</v>
      </c>
      <c r="B630" s="1" t="s">
        <v>603</v>
      </c>
      <c r="C630" s="1" t="s">
        <v>29</v>
      </c>
      <c r="D630" s="1" t="s">
        <v>41</v>
      </c>
      <c r="E630" s="1" t="s">
        <v>80</v>
      </c>
      <c r="F630" s="2">
        <v>1513</v>
      </c>
      <c r="G630" s="4">
        <v>0.14000000000000001</v>
      </c>
      <c r="H630" s="3">
        <f t="shared" si="27"/>
        <v>41944</v>
      </c>
      <c r="I630" s="1">
        <f>_xlfn.XLOOKUP(E630,Product!$A$2:$A$7,Product!$C$2:$C$7)</f>
        <v>20</v>
      </c>
      <c r="J630" s="22">
        <f t="shared" si="28"/>
        <v>30260</v>
      </c>
      <c r="K630" s="22">
        <f t="shared" si="29"/>
        <v>26023.599999999999</v>
      </c>
      <c r="L630" s="22">
        <f>K630-(_xlfn.XLOOKUP(E630,Product!$A$2:$A$7,Product!$B$2:$B$7)*F630)</f>
        <v>21484.6</v>
      </c>
      <c r="M630">
        <f>YEAR(Table1[[#This Row],[Order date]])</f>
        <v>2014</v>
      </c>
      <c r="N630" s="22" t="str" cm="1">
        <f t="array" ref="N630">_xlfn.IFS(G630=0,"No Discount", ROUND(G630*100,0)&lt;=4,"Low", ROUND(G630*100,0)&lt;=9,"Medium", ROUND(G630*100,0)&lt;=15,"High")</f>
        <v>High</v>
      </c>
      <c r="O630" s="22" t="str">
        <f>TEXT(Table1[[#This Row],[Order date]],"mmmm")</f>
        <v>November</v>
      </c>
    </row>
    <row r="631" spans="1:15" ht="13.5" x14ac:dyDescent="0.25">
      <c r="A631" s="1" t="str">
        <f>"ORD"&amp;"-"&amp;_xlfn.XLOOKUP(C631,Guide!$B$22:$B$26,Guide!$C$22:$C$26)&amp;"-"&amp;_xlfn.XLOOKUP(D631,Guide!$B$29:$B$33,Guide!$C$29:$C$33)&amp;"-"&amp;TEXT(H631,"yyyymmdd")</f>
        <v>ORD-GER-ENT-20141101</v>
      </c>
      <c r="B631" s="1" t="s">
        <v>604</v>
      </c>
      <c r="C631" s="1" t="s">
        <v>29</v>
      </c>
      <c r="D631" s="1" t="s">
        <v>45</v>
      </c>
      <c r="E631" s="1" t="s">
        <v>78</v>
      </c>
      <c r="F631" s="2">
        <v>552</v>
      </c>
      <c r="G631" s="4">
        <v>0.15</v>
      </c>
      <c r="H631" s="3">
        <f t="shared" si="27"/>
        <v>41944</v>
      </c>
      <c r="I631" s="1">
        <f>_xlfn.XLOOKUP(E631,Product!$A$2:$A$7,Product!$C$2:$C$7)</f>
        <v>300</v>
      </c>
      <c r="J631" s="22">
        <f t="shared" si="28"/>
        <v>165600</v>
      </c>
      <c r="K631" s="22">
        <f t="shared" si="29"/>
        <v>140760</v>
      </c>
      <c r="L631" s="22">
        <f>K631-(_xlfn.XLOOKUP(E631,Product!$A$2:$A$7,Product!$B$2:$B$7)*F631)</f>
        <v>2760</v>
      </c>
      <c r="M631">
        <f>YEAR(Table1[[#This Row],[Order date]])</f>
        <v>2014</v>
      </c>
      <c r="N631" s="22" t="str" cm="1">
        <f t="array" ref="N631">_xlfn.IFS(G631=0,"No Discount", ROUND(G631*100,0)&lt;=4,"Low", ROUND(G631*100,0)&lt;=9,"Medium", ROUND(G631*100,0)&lt;=15,"High")</f>
        <v>High</v>
      </c>
      <c r="O631" s="22" t="str">
        <f>TEXT(Table1[[#This Row],[Order date]],"mmmm")</f>
        <v>November</v>
      </c>
    </row>
    <row r="632" spans="1:15" ht="13.5" x14ac:dyDescent="0.25">
      <c r="A632" s="1" t="str">
        <f>"ORD"&amp;"-"&amp;_xlfn.XLOOKUP(C632,Guide!$B$22:$B$26,Guide!$C$22:$C$26)&amp;"-"&amp;_xlfn.XLOOKUP(D632,Guide!$B$29:$B$33,Guide!$C$29:$C$33)&amp;"-"&amp;TEXT(H632,"yyyymmdd")</f>
        <v>ORD-USA-MDM-20141201</v>
      </c>
      <c r="B632" s="1" t="s">
        <v>605</v>
      </c>
      <c r="C632" s="1" t="s">
        <v>35</v>
      </c>
      <c r="D632" s="1" t="s">
        <v>41</v>
      </c>
      <c r="E632" s="1" t="s">
        <v>82</v>
      </c>
      <c r="F632" s="2">
        <v>615</v>
      </c>
      <c r="G632" s="4">
        <v>0</v>
      </c>
      <c r="H632" s="3">
        <f t="shared" si="27"/>
        <v>41974</v>
      </c>
      <c r="I632" s="1">
        <f>_xlfn.XLOOKUP(E632,Product!$A$2:$A$7,Product!$C$2:$C$7)</f>
        <v>15</v>
      </c>
      <c r="J632" s="22">
        <f t="shared" si="28"/>
        <v>9225</v>
      </c>
      <c r="K632" s="22">
        <f t="shared" si="29"/>
        <v>9225</v>
      </c>
      <c r="L632" s="22">
        <f>K632-(_xlfn.XLOOKUP(E632,Product!$A$2:$A$7,Product!$B$2:$B$7)*F632)</f>
        <v>6150</v>
      </c>
      <c r="M632">
        <f>YEAR(Table1[[#This Row],[Order date]])</f>
        <v>2014</v>
      </c>
      <c r="N632" s="22" t="str" cm="1">
        <f t="array" ref="N632">_xlfn.IFS(G632=0,"No Discount", ROUND(G632*100,0)&lt;=4,"Low", ROUND(G632*100,0)&lt;=9,"Medium", ROUND(G632*100,0)&lt;=15,"High")</f>
        <v>No Discount</v>
      </c>
      <c r="O632" s="22" t="str">
        <f>TEXT(Table1[[#This Row],[Order date]],"mmmm")</f>
        <v>December</v>
      </c>
    </row>
    <row r="633" spans="1:15" ht="13.5" x14ac:dyDescent="0.25">
      <c r="A633" s="1" t="str">
        <f>"ORD"&amp;"-"&amp;_xlfn.XLOOKUP(C633,Guide!$B$22:$B$26,Guide!$C$22:$C$26)&amp;"-"&amp;_xlfn.XLOOKUP(D633,Guide!$B$29:$B$33,Guide!$C$29:$C$33)&amp;"-"&amp;TEXT(H633,"yyyymmdd")</f>
        <v>ORD-GER-GOV-20141201</v>
      </c>
      <c r="B633" s="1" t="s">
        <v>606</v>
      </c>
      <c r="C633" s="1" t="s">
        <v>29</v>
      </c>
      <c r="D633" s="1" t="s">
        <v>39</v>
      </c>
      <c r="E633" s="1" t="s">
        <v>75</v>
      </c>
      <c r="F633" s="2">
        <v>1513</v>
      </c>
      <c r="G633" s="4">
        <v>0</v>
      </c>
      <c r="H633" s="3">
        <f t="shared" si="27"/>
        <v>41974</v>
      </c>
      <c r="I633" s="1">
        <f>_xlfn.XLOOKUP(E633,Product!$A$2:$A$7,Product!$C$2:$C$7)</f>
        <v>20</v>
      </c>
      <c r="J633" s="22">
        <f t="shared" si="28"/>
        <v>30260</v>
      </c>
      <c r="K633" s="22">
        <f t="shared" si="29"/>
        <v>30260</v>
      </c>
      <c r="L633" s="22">
        <f>K633-(_xlfn.XLOOKUP(E633,Product!$A$2:$A$7,Product!$B$2:$B$7)*F633)</f>
        <v>15130</v>
      </c>
      <c r="M633">
        <f>YEAR(Table1[[#This Row],[Order date]])</f>
        <v>2014</v>
      </c>
      <c r="N633" s="22" t="str" cm="1">
        <f t="array" ref="N633">_xlfn.IFS(G633=0,"No Discount", ROUND(G633*100,0)&lt;=4,"Low", ROUND(G633*100,0)&lt;=9,"Medium", ROUND(G633*100,0)&lt;=15,"High")</f>
        <v>No Discount</v>
      </c>
      <c r="O633" s="22" t="str">
        <f>TEXT(Table1[[#This Row],[Order date]],"mmmm")</f>
        <v>December</v>
      </c>
    </row>
    <row r="634" spans="1:15" ht="13.5" x14ac:dyDescent="0.25">
      <c r="A634" s="1" t="str">
        <f>"ORD"&amp;"-"&amp;_xlfn.XLOOKUP(C634,Guide!$B$22:$B$26,Guide!$C$22:$C$26)&amp;"-"&amp;_xlfn.XLOOKUP(D634,Guide!$B$29:$B$33,Guide!$C$29:$C$33)&amp;"-"&amp;TEXT(H634,"yyyymmdd")</f>
        <v>ORD-CND-GOV-20141201</v>
      </c>
      <c r="B634" s="1" t="s">
        <v>607</v>
      </c>
      <c r="C634" s="1" t="s">
        <v>27</v>
      </c>
      <c r="D634" s="1" t="s">
        <v>39</v>
      </c>
      <c r="E634" s="1" t="s">
        <v>75</v>
      </c>
      <c r="F634" s="2">
        <v>1817</v>
      </c>
      <c r="G634" s="4">
        <v>0</v>
      </c>
      <c r="H634" s="3">
        <f t="shared" si="27"/>
        <v>41974</v>
      </c>
      <c r="I634" s="1">
        <f>_xlfn.XLOOKUP(E634,Product!$A$2:$A$7,Product!$C$2:$C$7)</f>
        <v>20</v>
      </c>
      <c r="J634" s="22">
        <f t="shared" si="28"/>
        <v>36340</v>
      </c>
      <c r="K634" s="22">
        <f t="shared" si="29"/>
        <v>36340</v>
      </c>
      <c r="L634" s="22">
        <f>K634-(_xlfn.XLOOKUP(E634,Product!$A$2:$A$7,Product!$B$2:$B$7)*F634)</f>
        <v>18170</v>
      </c>
      <c r="M634">
        <f>YEAR(Table1[[#This Row],[Order date]])</f>
        <v>2014</v>
      </c>
      <c r="N634" s="22" t="str" cm="1">
        <f t="array" ref="N634">_xlfn.IFS(G634=0,"No Discount", ROUND(G634*100,0)&lt;=4,"Low", ROUND(G634*100,0)&lt;=9,"Medium", ROUND(G634*100,0)&lt;=15,"High")</f>
        <v>No Discount</v>
      </c>
      <c r="O634" s="22" t="str">
        <f>TEXT(Table1[[#This Row],[Order date]],"mmmm")</f>
        <v>December</v>
      </c>
    </row>
    <row r="635" spans="1:15" ht="13.5" x14ac:dyDescent="0.25">
      <c r="A635" s="1" t="str">
        <f>"ORD"&amp;"-"&amp;_xlfn.XLOOKUP(C635,Guide!$B$22:$B$26,Guide!$C$22:$C$26)&amp;"-"&amp;_xlfn.XLOOKUP(D635,Guide!$B$29:$B$33,Guide!$C$29:$C$33)&amp;"-"&amp;TEXT(H635,"yyyymmdd")</f>
        <v>ORD-GER-GOV-20141201</v>
      </c>
      <c r="B635" s="1" t="s">
        <v>606</v>
      </c>
      <c r="C635" s="1" t="s">
        <v>29</v>
      </c>
      <c r="D635" s="1" t="s">
        <v>39</v>
      </c>
      <c r="E635" s="1" t="s">
        <v>80</v>
      </c>
      <c r="F635" s="2">
        <v>1513</v>
      </c>
      <c r="G635" s="4">
        <v>0</v>
      </c>
      <c r="H635" s="3">
        <f t="shared" si="27"/>
        <v>41974</v>
      </c>
      <c r="I635" s="1">
        <f>_xlfn.XLOOKUP(E635,Product!$A$2:$A$7,Product!$C$2:$C$7)</f>
        <v>20</v>
      </c>
      <c r="J635" s="22">
        <f t="shared" si="28"/>
        <v>30260</v>
      </c>
      <c r="K635" s="22">
        <f t="shared" si="29"/>
        <v>30260</v>
      </c>
      <c r="L635" s="22">
        <f>K635-(_xlfn.XLOOKUP(E635,Product!$A$2:$A$7,Product!$B$2:$B$7)*F635)</f>
        <v>25721</v>
      </c>
      <c r="M635">
        <f>YEAR(Table1[[#This Row],[Order date]])</f>
        <v>2014</v>
      </c>
      <c r="N635" s="22" t="str" cm="1">
        <f t="array" ref="N635">_xlfn.IFS(G635=0,"No Discount", ROUND(G635*100,0)&lt;=4,"Low", ROUND(G635*100,0)&lt;=9,"Medium", ROUND(G635*100,0)&lt;=15,"High")</f>
        <v>No Discount</v>
      </c>
      <c r="O635" s="22" t="str">
        <f>TEXT(Table1[[#This Row],[Order date]],"mmmm")</f>
        <v>December</v>
      </c>
    </row>
    <row r="636" spans="1:15" ht="13.5" x14ac:dyDescent="0.25">
      <c r="A636" s="1" t="str">
        <f>"ORD"&amp;"-"&amp;_xlfn.XLOOKUP(C636,Guide!$B$22:$B$26,Guide!$C$22:$C$26)&amp;"-"&amp;_xlfn.XLOOKUP(D636,Guide!$B$29:$B$33,Guide!$C$29:$C$33)&amp;"-"&amp;TEXT(H636,"yyyymmdd")</f>
        <v>ORD-CND-GOV-20141201</v>
      </c>
      <c r="B636" s="1" t="s">
        <v>607</v>
      </c>
      <c r="C636" s="1" t="s">
        <v>27</v>
      </c>
      <c r="D636" s="1" t="s">
        <v>39</v>
      </c>
      <c r="E636" s="1" t="s">
        <v>78</v>
      </c>
      <c r="F636" s="2">
        <v>1817</v>
      </c>
      <c r="G636" s="4">
        <v>0</v>
      </c>
      <c r="H636" s="3">
        <f t="shared" si="27"/>
        <v>41974</v>
      </c>
      <c r="I636" s="1">
        <f>_xlfn.XLOOKUP(E636,Product!$A$2:$A$7,Product!$C$2:$C$7)</f>
        <v>300</v>
      </c>
      <c r="J636" s="22">
        <f t="shared" si="28"/>
        <v>545100</v>
      </c>
      <c r="K636" s="22">
        <f t="shared" si="29"/>
        <v>545100</v>
      </c>
      <c r="L636" s="22">
        <f>K636-(_xlfn.XLOOKUP(E636,Product!$A$2:$A$7,Product!$B$2:$B$7)*F636)</f>
        <v>90850</v>
      </c>
      <c r="M636">
        <f>YEAR(Table1[[#This Row],[Order date]])</f>
        <v>2014</v>
      </c>
      <c r="N636" s="22" t="str" cm="1">
        <f t="array" ref="N636">_xlfn.IFS(G636=0,"No Discount", ROUND(G636*100,0)&lt;=4,"Low", ROUND(G636*100,0)&lt;=9,"Medium", ROUND(G636*100,0)&lt;=15,"High")</f>
        <v>No Discount</v>
      </c>
      <c r="O636" s="22" t="str">
        <f>TEXT(Table1[[#This Row],[Order date]],"mmmm")</f>
        <v>December</v>
      </c>
    </row>
    <row r="637" spans="1:15" ht="13.5" x14ac:dyDescent="0.25">
      <c r="A637" s="1" t="str">
        <f>"ORD"&amp;"-"&amp;_xlfn.XLOOKUP(C637,Guide!$B$22:$B$26,Guide!$C$22:$C$26)&amp;"-"&amp;_xlfn.XLOOKUP(D637,Guide!$B$29:$B$33,Guide!$C$29:$C$33)&amp;"-"&amp;TEXT(H637,"yyyymmdd")</f>
        <v>ORD-USA-MDM-20141201</v>
      </c>
      <c r="B637" s="1" t="s">
        <v>605</v>
      </c>
      <c r="C637" s="1" t="s">
        <v>35</v>
      </c>
      <c r="D637" s="1" t="s">
        <v>41</v>
      </c>
      <c r="E637" s="1" t="s">
        <v>84</v>
      </c>
      <c r="F637" s="2">
        <v>615</v>
      </c>
      <c r="G637" s="4">
        <v>0</v>
      </c>
      <c r="H637" s="3">
        <f t="shared" si="27"/>
        <v>41974</v>
      </c>
      <c r="I637" s="1">
        <f>_xlfn.XLOOKUP(E637,Product!$A$2:$A$7,Product!$C$2:$C$7)</f>
        <v>350</v>
      </c>
      <c r="J637" s="22">
        <f t="shared" si="28"/>
        <v>215250</v>
      </c>
      <c r="K637" s="22">
        <f t="shared" si="29"/>
        <v>215250</v>
      </c>
      <c r="L637" s="22">
        <f>K637-(_xlfn.XLOOKUP(E637,Product!$A$2:$A$7,Product!$B$2:$B$7)*F637)</f>
        <v>92250</v>
      </c>
      <c r="M637">
        <f>YEAR(Table1[[#This Row],[Order date]])</f>
        <v>2014</v>
      </c>
      <c r="N637" s="22" t="str" cm="1">
        <f t="array" ref="N637">_xlfn.IFS(G637=0,"No Discount", ROUND(G637*100,0)&lt;=4,"Low", ROUND(G637*100,0)&lt;=9,"Medium", ROUND(G637*100,0)&lt;=15,"High")</f>
        <v>No Discount</v>
      </c>
      <c r="O637" s="22" t="str">
        <f>TEXT(Table1[[#This Row],[Order date]],"mmmm")</f>
        <v>December</v>
      </c>
    </row>
    <row r="638" spans="1:15" ht="13.5" x14ac:dyDescent="0.25">
      <c r="A638" s="1" t="str">
        <f>"ORD"&amp;"-"&amp;_xlfn.XLOOKUP(C638,Guide!$B$22:$B$26,Guide!$C$22:$C$26)&amp;"-"&amp;_xlfn.XLOOKUP(D638,Guide!$B$29:$B$33,Guide!$C$29:$C$33)&amp;"-"&amp;TEXT(H638,"yyyymmdd")</f>
        <v>ORD-FRA-GOV-20141201</v>
      </c>
      <c r="B638" s="1" t="s">
        <v>608</v>
      </c>
      <c r="C638" s="1" t="s">
        <v>31</v>
      </c>
      <c r="D638" s="1" t="s">
        <v>39</v>
      </c>
      <c r="E638" s="1" t="s">
        <v>75</v>
      </c>
      <c r="F638" s="2">
        <v>2155</v>
      </c>
      <c r="G638" s="4">
        <v>0.01</v>
      </c>
      <c r="H638" s="3">
        <f t="shared" si="27"/>
        <v>41974</v>
      </c>
      <c r="I638" s="1">
        <f>_xlfn.XLOOKUP(E638,Product!$A$2:$A$7,Product!$C$2:$C$7)</f>
        <v>20</v>
      </c>
      <c r="J638" s="22">
        <f t="shared" si="28"/>
        <v>43100</v>
      </c>
      <c r="K638" s="22">
        <f t="shared" si="29"/>
        <v>42669</v>
      </c>
      <c r="L638" s="22">
        <f>K638-(_xlfn.XLOOKUP(E638,Product!$A$2:$A$7,Product!$B$2:$B$7)*F638)</f>
        <v>21119</v>
      </c>
      <c r="M638">
        <f>YEAR(Table1[[#This Row],[Order date]])</f>
        <v>2014</v>
      </c>
      <c r="N638" s="22" t="str" cm="1">
        <f t="array" ref="N638">_xlfn.IFS(G638=0,"No Discount", ROUND(G638*100,0)&lt;=4,"Low", ROUND(G638*100,0)&lt;=9,"Medium", ROUND(G638*100,0)&lt;=15,"High")</f>
        <v>Low</v>
      </c>
      <c r="O638" s="22" t="str">
        <f>TEXT(Table1[[#This Row],[Order date]],"mmmm")</f>
        <v>December</v>
      </c>
    </row>
    <row r="639" spans="1:15" ht="13.5" x14ac:dyDescent="0.25">
      <c r="A639" s="1" t="str">
        <f>"ORD"&amp;"-"&amp;_xlfn.XLOOKUP(C639,Guide!$B$22:$B$26,Guide!$C$22:$C$26)&amp;"-"&amp;_xlfn.XLOOKUP(D639,Guide!$B$29:$B$33,Guide!$C$29:$C$33)&amp;"-"&amp;TEXT(H639,"yyyymmdd")</f>
        <v>ORD-FRA-GOV-20141201</v>
      </c>
      <c r="B639" s="1" t="s">
        <v>608</v>
      </c>
      <c r="C639" s="1" t="s">
        <v>31</v>
      </c>
      <c r="D639" s="1" t="s">
        <v>39</v>
      </c>
      <c r="E639" s="1" t="s">
        <v>80</v>
      </c>
      <c r="F639" s="2">
        <v>2155</v>
      </c>
      <c r="G639" s="4">
        <v>0.01</v>
      </c>
      <c r="H639" s="3">
        <f t="shared" si="27"/>
        <v>41974</v>
      </c>
      <c r="I639" s="1">
        <f>_xlfn.XLOOKUP(E639,Product!$A$2:$A$7,Product!$C$2:$C$7)</f>
        <v>20</v>
      </c>
      <c r="J639" s="22">
        <f t="shared" si="28"/>
        <v>43100</v>
      </c>
      <c r="K639" s="22">
        <f t="shared" si="29"/>
        <v>42669</v>
      </c>
      <c r="L639" s="22">
        <f>K639-(_xlfn.XLOOKUP(E639,Product!$A$2:$A$7,Product!$B$2:$B$7)*F639)</f>
        <v>36204</v>
      </c>
      <c r="M639">
        <f>YEAR(Table1[[#This Row],[Order date]])</f>
        <v>2014</v>
      </c>
      <c r="N639" s="22" t="str" cm="1">
        <f t="array" ref="N639">_xlfn.IFS(G639=0,"No Discount", ROUND(G639*100,0)&lt;=4,"Low", ROUND(G639*100,0)&lt;=9,"Medium", ROUND(G639*100,0)&lt;=15,"High")</f>
        <v>Low</v>
      </c>
      <c r="O639" s="22" t="str">
        <f>TEXT(Table1[[#This Row],[Order date]],"mmmm")</f>
        <v>December</v>
      </c>
    </row>
    <row r="640" spans="1:15" ht="13.5" x14ac:dyDescent="0.25">
      <c r="A640" s="1" t="str">
        <f>"ORD"&amp;"-"&amp;_xlfn.XLOOKUP(C640,Guide!$B$22:$B$26,Guide!$C$22:$C$26)&amp;"-"&amp;_xlfn.XLOOKUP(D640,Guide!$B$29:$B$33,Guide!$C$29:$C$33)&amp;"-"&amp;TEXT(H640,"yyyymmdd")</f>
        <v>ORD-FRA-CPR-20141201</v>
      </c>
      <c r="B640" s="1" t="s">
        <v>609</v>
      </c>
      <c r="C640" s="1" t="s">
        <v>31</v>
      </c>
      <c r="D640" s="1" t="s">
        <v>43</v>
      </c>
      <c r="E640" s="1" t="s">
        <v>75</v>
      </c>
      <c r="F640" s="2">
        <v>1055</v>
      </c>
      <c r="G640" s="4">
        <v>0.02</v>
      </c>
      <c r="H640" s="3">
        <f t="shared" si="27"/>
        <v>41974</v>
      </c>
      <c r="I640" s="1">
        <f>_xlfn.XLOOKUP(E640,Product!$A$2:$A$7,Product!$C$2:$C$7)</f>
        <v>20</v>
      </c>
      <c r="J640" s="22">
        <f t="shared" si="28"/>
        <v>21100</v>
      </c>
      <c r="K640" s="22">
        <f t="shared" si="29"/>
        <v>20678</v>
      </c>
      <c r="L640" s="22">
        <f>K640-(_xlfn.XLOOKUP(E640,Product!$A$2:$A$7,Product!$B$2:$B$7)*F640)</f>
        <v>10128</v>
      </c>
      <c r="M640">
        <f>YEAR(Table1[[#This Row],[Order date]])</f>
        <v>2014</v>
      </c>
      <c r="N640" s="22" t="str" cm="1">
        <f t="array" ref="N640">_xlfn.IFS(G640=0,"No Discount", ROUND(G640*100,0)&lt;=4,"Low", ROUND(G640*100,0)&lt;=9,"Medium", ROUND(G640*100,0)&lt;=15,"High")</f>
        <v>Low</v>
      </c>
      <c r="O640" s="22" t="str">
        <f>TEXT(Table1[[#This Row],[Order date]],"mmmm")</f>
        <v>December</v>
      </c>
    </row>
    <row r="641" spans="1:15" ht="13.5" x14ac:dyDescent="0.25">
      <c r="A641" s="1" t="str">
        <f>"ORD"&amp;"-"&amp;_xlfn.XLOOKUP(C641,Guide!$B$22:$B$26,Guide!$C$22:$C$26)&amp;"-"&amp;_xlfn.XLOOKUP(D641,Guide!$B$29:$B$33,Guide!$C$29:$C$33)&amp;"-"&amp;TEXT(H641,"yyyymmdd")</f>
        <v>ORD-MXC-CPR-20141201</v>
      </c>
      <c r="B641" s="1" t="s">
        <v>610</v>
      </c>
      <c r="C641" s="1" t="s">
        <v>33</v>
      </c>
      <c r="D641" s="1" t="s">
        <v>43</v>
      </c>
      <c r="E641" s="1" t="s">
        <v>75</v>
      </c>
      <c r="F641" s="2">
        <v>1084</v>
      </c>
      <c r="G641" s="4">
        <v>0.02</v>
      </c>
      <c r="H641" s="3">
        <f t="shared" si="27"/>
        <v>41974</v>
      </c>
      <c r="I641" s="1">
        <f>_xlfn.XLOOKUP(E641,Product!$A$2:$A$7,Product!$C$2:$C$7)</f>
        <v>20</v>
      </c>
      <c r="J641" s="22">
        <f t="shared" si="28"/>
        <v>21680</v>
      </c>
      <c r="K641" s="22">
        <f t="shared" si="29"/>
        <v>21246.399999999998</v>
      </c>
      <c r="L641" s="22">
        <f>K641-(_xlfn.XLOOKUP(E641,Product!$A$2:$A$7,Product!$B$2:$B$7)*F641)</f>
        <v>10406.399999999998</v>
      </c>
      <c r="M641">
        <f>YEAR(Table1[[#This Row],[Order date]])</f>
        <v>2014</v>
      </c>
      <c r="N641" s="22" t="str" cm="1">
        <f t="array" ref="N641">_xlfn.IFS(G641=0,"No Discount", ROUND(G641*100,0)&lt;=4,"Low", ROUND(G641*100,0)&lt;=9,"Medium", ROUND(G641*100,0)&lt;=15,"High")</f>
        <v>Low</v>
      </c>
      <c r="O641" s="22" t="str">
        <f>TEXT(Table1[[#This Row],[Order date]],"mmmm")</f>
        <v>December</v>
      </c>
    </row>
    <row r="642" spans="1:15" ht="13.5" x14ac:dyDescent="0.25">
      <c r="A642" s="1" t="str">
        <f>"ORD"&amp;"-"&amp;_xlfn.XLOOKUP(C642,Guide!$B$22:$B$26,Guide!$C$22:$C$26)&amp;"-"&amp;_xlfn.XLOOKUP(D642,Guide!$B$29:$B$33,Guide!$C$29:$C$33)&amp;"-"&amp;TEXT(H642,"yyyymmdd")</f>
        <v>ORD-CND-SMB-20141201</v>
      </c>
      <c r="B642" s="1" t="s">
        <v>611</v>
      </c>
      <c r="C642" s="1" t="s">
        <v>27</v>
      </c>
      <c r="D642" s="1" t="s">
        <v>47</v>
      </c>
      <c r="E642" s="1" t="s">
        <v>75</v>
      </c>
      <c r="F642" s="2">
        <v>1916</v>
      </c>
      <c r="G642" s="4">
        <v>0.02</v>
      </c>
      <c r="H642" s="3">
        <f t="shared" ref="H642:H701" si="30">DATE(VALUE(_xlfn.TEXTBEFORE(_xlfn.TEXTAFTER(B642,"""year"": """),"""")),VALUE(_xlfn.TEXTBEFORE(_xlfn.TEXTAFTER(B642,"""month"": """),"""")),VALUE(_xlfn.TEXTBEFORE(_xlfn.TEXTAFTER(B642,"""date"": """),""""))
)</f>
        <v>41974</v>
      </c>
      <c r="I642" s="1">
        <f>_xlfn.XLOOKUP(E642,Product!$A$2:$A$7,Product!$C$2:$C$7)</f>
        <v>20</v>
      </c>
      <c r="J642" s="22">
        <f t="shared" ref="J642:J701" si="31">I642*F642</f>
        <v>38320</v>
      </c>
      <c r="K642" s="22">
        <f t="shared" ref="K642:K701" si="32">J642*(1-IF(G642="-",0,G642))</f>
        <v>37553.599999999999</v>
      </c>
      <c r="L642" s="22">
        <f>K642-(_xlfn.XLOOKUP(E642,Product!$A$2:$A$7,Product!$B$2:$B$7)*F642)</f>
        <v>18393.599999999999</v>
      </c>
      <c r="M642">
        <f>YEAR(Table1[[#This Row],[Order date]])</f>
        <v>2014</v>
      </c>
      <c r="N642" s="22" t="str" cm="1">
        <f t="array" ref="N642">_xlfn.IFS(G642=0,"No Discount", ROUND(G642*100,0)&lt;=4,"Low", ROUND(G642*100,0)&lt;=9,"Medium", ROUND(G642*100,0)&lt;=15,"High")</f>
        <v>Low</v>
      </c>
      <c r="O642" s="22" t="str">
        <f>TEXT(Table1[[#This Row],[Order date]],"mmmm")</f>
        <v>December</v>
      </c>
    </row>
    <row r="643" spans="1:15" ht="13.5" x14ac:dyDescent="0.25">
      <c r="A643" s="1" t="str">
        <f>"ORD"&amp;"-"&amp;_xlfn.XLOOKUP(C643,Guide!$B$22:$B$26,Guide!$C$22:$C$26)&amp;"-"&amp;_xlfn.XLOOKUP(D643,Guide!$B$29:$B$33,Guide!$C$29:$C$33)&amp;"-"&amp;TEXT(H643,"yyyymmdd")</f>
        <v>ORD-CND-ENT-20141201</v>
      </c>
      <c r="B643" s="1" t="s">
        <v>612</v>
      </c>
      <c r="C643" s="1" t="s">
        <v>27</v>
      </c>
      <c r="D643" s="1" t="s">
        <v>45</v>
      </c>
      <c r="E643" s="1" t="s">
        <v>75</v>
      </c>
      <c r="F643" s="2">
        <v>2729</v>
      </c>
      <c r="G643" s="4">
        <v>0.02</v>
      </c>
      <c r="H643" s="3">
        <f t="shared" si="30"/>
        <v>41974</v>
      </c>
      <c r="I643" s="1">
        <f>_xlfn.XLOOKUP(E643,Product!$A$2:$A$7,Product!$C$2:$C$7)</f>
        <v>20</v>
      </c>
      <c r="J643" s="22">
        <f t="shared" si="31"/>
        <v>54580</v>
      </c>
      <c r="K643" s="22">
        <f t="shared" si="32"/>
        <v>53488.4</v>
      </c>
      <c r="L643" s="22">
        <f>K643-(_xlfn.XLOOKUP(E643,Product!$A$2:$A$7,Product!$B$2:$B$7)*F643)</f>
        <v>26198.400000000001</v>
      </c>
      <c r="M643">
        <f>YEAR(Table1[[#This Row],[Order date]])</f>
        <v>2014</v>
      </c>
      <c r="N643" s="22" t="str" cm="1">
        <f t="array" ref="N643">_xlfn.IFS(G643=0,"No Discount", ROUND(G643*100,0)&lt;=4,"Low", ROUND(G643*100,0)&lt;=9,"Medium", ROUND(G643*100,0)&lt;=15,"High")</f>
        <v>Low</v>
      </c>
      <c r="O643" s="22" t="str">
        <f>TEXT(Table1[[#This Row],[Order date]],"mmmm")</f>
        <v>December</v>
      </c>
    </row>
    <row r="644" spans="1:15" ht="13.5" x14ac:dyDescent="0.25">
      <c r="A644" s="1" t="str">
        <f>"ORD"&amp;"-"&amp;_xlfn.XLOOKUP(C644,Guide!$B$22:$B$26,Guide!$C$22:$C$26)&amp;"-"&amp;_xlfn.XLOOKUP(D644,Guide!$B$29:$B$33,Guide!$C$29:$C$33)&amp;"-"&amp;TEXT(H644,"yyyymmdd")</f>
        <v>ORD-CND-GOV-20141201</v>
      </c>
      <c r="B644" s="1" t="s">
        <v>613</v>
      </c>
      <c r="C644" s="1" t="s">
        <v>27</v>
      </c>
      <c r="D644" s="1" t="s">
        <v>39</v>
      </c>
      <c r="E644" s="1" t="s">
        <v>75</v>
      </c>
      <c r="F644" s="2">
        <v>2852</v>
      </c>
      <c r="G644" s="4">
        <v>0.02</v>
      </c>
      <c r="H644" s="3">
        <f t="shared" si="30"/>
        <v>41974</v>
      </c>
      <c r="I644" s="1">
        <f>_xlfn.XLOOKUP(E644,Product!$A$2:$A$7,Product!$C$2:$C$7)</f>
        <v>20</v>
      </c>
      <c r="J644" s="22">
        <f t="shared" si="31"/>
        <v>57040</v>
      </c>
      <c r="K644" s="22">
        <f t="shared" si="32"/>
        <v>55899.199999999997</v>
      </c>
      <c r="L644" s="22">
        <f>K644-(_xlfn.XLOOKUP(E644,Product!$A$2:$A$7,Product!$B$2:$B$7)*F644)</f>
        <v>27379.199999999997</v>
      </c>
      <c r="M644">
        <f>YEAR(Table1[[#This Row],[Order date]])</f>
        <v>2014</v>
      </c>
      <c r="N644" s="22" t="str" cm="1">
        <f t="array" ref="N644">_xlfn.IFS(G644=0,"No Discount", ROUND(G644*100,0)&lt;=4,"Low", ROUND(G644*100,0)&lt;=9,"Medium", ROUND(G644*100,0)&lt;=15,"High")</f>
        <v>Low</v>
      </c>
      <c r="O644" s="22" t="str">
        <f>TEXT(Table1[[#This Row],[Order date]],"mmmm")</f>
        <v>December</v>
      </c>
    </row>
    <row r="645" spans="1:15" ht="13.5" x14ac:dyDescent="0.25">
      <c r="A645" s="1" t="str">
        <f>"ORD"&amp;"-"&amp;_xlfn.XLOOKUP(C645,Guide!$B$22:$B$26,Guide!$C$22:$C$26)&amp;"-"&amp;_xlfn.XLOOKUP(D645,Guide!$B$29:$B$33,Guide!$C$29:$C$33)&amp;"-"&amp;TEXT(H645,"yyyymmdd")</f>
        <v>ORD-CND-GOV-20141201</v>
      </c>
      <c r="B645" s="1" t="s">
        <v>613</v>
      </c>
      <c r="C645" s="1" t="s">
        <v>27</v>
      </c>
      <c r="D645" s="1" t="s">
        <v>39</v>
      </c>
      <c r="E645" s="1" t="s">
        <v>80</v>
      </c>
      <c r="F645" s="2">
        <v>2852</v>
      </c>
      <c r="G645" s="4">
        <v>0.02</v>
      </c>
      <c r="H645" s="3">
        <f t="shared" si="30"/>
        <v>41974</v>
      </c>
      <c r="I645" s="1">
        <f>_xlfn.XLOOKUP(E645,Product!$A$2:$A$7,Product!$C$2:$C$7)</f>
        <v>20</v>
      </c>
      <c r="J645" s="22">
        <f t="shared" si="31"/>
        <v>57040</v>
      </c>
      <c r="K645" s="22">
        <f t="shared" si="32"/>
        <v>55899.199999999997</v>
      </c>
      <c r="L645" s="22">
        <f>K645-(_xlfn.XLOOKUP(E645,Product!$A$2:$A$7,Product!$B$2:$B$7)*F645)</f>
        <v>47343.199999999997</v>
      </c>
      <c r="M645">
        <f>YEAR(Table1[[#This Row],[Order date]])</f>
        <v>2014</v>
      </c>
      <c r="N645" s="22" t="str" cm="1">
        <f t="array" ref="N645">_xlfn.IFS(G645=0,"No Discount", ROUND(G645*100,0)&lt;=4,"Low", ROUND(G645*100,0)&lt;=9,"Medium", ROUND(G645*100,0)&lt;=15,"High")</f>
        <v>Low</v>
      </c>
      <c r="O645" s="22" t="str">
        <f>TEXT(Table1[[#This Row],[Order date]],"mmmm")</f>
        <v>December</v>
      </c>
    </row>
    <row r="646" spans="1:15" ht="13.5" x14ac:dyDescent="0.25">
      <c r="A646" s="1" t="str">
        <f>"ORD"&amp;"-"&amp;_xlfn.XLOOKUP(C646,Guide!$B$22:$B$26,Guide!$C$22:$C$26)&amp;"-"&amp;_xlfn.XLOOKUP(D646,Guide!$B$29:$B$33,Guide!$C$29:$C$33)&amp;"-"&amp;TEXT(H646,"yyyymmdd")</f>
        <v>ORD-FRA-CPR-20141201</v>
      </c>
      <c r="B646" s="1" t="s">
        <v>609</v>
      </c>
      <c r="C646" s="1" t="s">
        <v>31</v>
      </c>
      <c r="D646" s="1" t="s">
        <v>43</v>
      </c>
      <c r="E646" s="1" t="s">
        <v>88</v>
      </c>
      <c r="F646" s="2">
        <v>1055</v>
      </c>
      <c r="G646" s="4">
        <v>0.02</v>
      </c>
      <c r="H646" s="3">
        <f t="shared" si="30"/>
        <v>41974</v>
      </c>
      <c r="I646" s="1">
        <f>_xlfn.XLOOKUP(E646,Product!$A$2:$A$7,Product!$C$2:$C$7)</f>
        <v>180</v>
      </c>
      <c r="J646" s="22">
        <f t="shared" si="31"/>
        <v>189900</v>
      </c>
      <c r="K646" s="22">
        <f t="shared" si="32"/>
        <v>186102</v>
      </c>
      <c r="L646" s="22">
        <f>K646-(_xlfn.XLOOKUP(E646,Product!$A$2:$A$7,Product!$B$2:$B$7)*F646)</f>
        <v>59502</v>
      </c>
      <c r="M646">
        <f>YEAR(Table1[[#This Row],[Order date]])</f>
        <v>2014</v>
      </c>
      <c r="N646" s="22" t="str" cm="1">
        <f t="array" ref="N646">_xlfn.IFS(G646=0,"No Discount", ROUND(G646*100,0)&lt;=4,"Low", ROUND(G646*100,0)&lt;=9,"Medium", ROUND(G646*100,0)&lt;=15,"High")</f>
        <v>Low</v>
      </c>
      <c r="O646" s="22" t="str">
        <f>TEXT(Table1[[#This Row],[Order date]],"mmmm")</f>
        <v>December</v>
      </c>
    </row>
    <row r="647" spans="1:15" ht="13.5" x14ac:dyDescent="0.25">
      <c r="A647" s="1" t="str">
        <f>"ORD"&amp;"-"&amp;_xlfn.XLOOKUP(C647,Guide!$B$22:$B$26,Guide!$C$22:$C$26)&amp;"-"&amp;_xlfn.XLOOKUP(D647,Guide!$B$29:$B$33,Guide!$C$29:$C$33)&amp;"-"&amp;TEXT(H647,"yyyymmdd")</f>
        <v>ORD-MXC-CPR-20141201</v>
      </c>
      <c r="B647" s="1" t="s">
        <v>610</v>
      </c>
      <c r="C647" s="1" t="s">
        <v>33</v>
      </c>
      <c r="D647" s="1" t="s">
        <v>43</v>
      </c>
      <c r="E647" s="1" t="s">
        <v>88</v>
      </c>
      <c r="F647" s="2">
        <v>1084</v>
      </c>
      <c r="G647" s="4">
        <v>0.02</v>
      </c>
      <c r="H647" s="3">
        <f t="shared" si="30"/>
        <v>41974</v>
      </c>
      <c r="I647" s="1">
        <f>_xlfn.XLOOKUP(E647,Product!$A$2:$A$7,Product!$C$2:$C$7)</f>
        <v>180</v>
      </c>
      <c r="J647" s="22">
        <f t="shared" si="31"/>
        <v>195120</v>
      </c>
      <c r="K647" s="22">
        <f t="shared" si="32"/>
        <v>191217.6</v>
      </c>
      <c r="L647" s="22">
        <f>K647-(_xlfn.XLOOKUP(E647,Product!$A$2:$A$7,Product!$B$2:$B$7)*F647)</f>
        <v>61137.600000000006</v>
      </c>
      <c r="M647">
        <f>YEAR(Table1[[#This Row],[Order date]])</f>
        <v>2014</v>
      </c>
      <c r="N647" s="22" t="str" cm="1">
        <f t="array" ref="N647">_xlfn.IFS(G647=0,"No Discount", ROUND(G647*100,0)&lt;=4,"Low", ROUND(G647*100,0)&lt;=9,"Medium", ROUND(G647*100,0)&lt;=15,"High")</f>
        <v>Low</v>
      </c>
      <c r="O647" s="22" t="str">
        <f>TEXT(Table1[[#This Row],[Order date]],"mmmm")</f>
        <v>December</v>
      </c>
    </row>
    <row r="648" spans="1:15" ht="13.5" x14ac:dyDescent="0.25">
      <c r="A648" s="1" t="str">
        <f>"ORD"&amp;"-"&amp;_xlfn.XLOOKUP(C648,Guide!$B$22:$B$26,Guide!$C$22:$C$26)&amp;"-"&amp;_xlfn.XLOOKUP(D648,Guide!$B$29:$B$33,Guide!$C$29:$C$33)&amp;"-"&amp;TEXT(H648,"yyyymmdd")</f>
        <v>ORD-CND-ENT-20141201</v>
      </c>
      <c r="B648" s="1" t="s">
        <v>612</v>
      </c>
      <c r="C648" s="1" t="s">
        <v>27</v>
      </c>
      <c r="D648" s="1" t="s">
        <v>45</v>
      </c>
      <c r="E648" s="1" t="s">
        <v>78</v>
      </c>
      <c r="F648" s="2">
        <v>2729</v>
      </c>
      <c r="G648" s="4">
        <v>0.02</v>
      </c>
      <c r="H648" s="3">
        <f t="shared" si="30"/>
        <v>41974</v>
      </c>
      <c r="I648" s="1">
        <f>_xlfn.XLOOKUP(E648,Product!$A$2:$A$7,Product!$C$2:$C$7)</f>
        <v>300</v>
      </c>
      <c r="J648" s="22">
        <f t="shared" si="31"/>
        <v>818700</v>
      </c>
      <c r="K648" s="22">
        <f t="shared" si="32"/>
        <v>802326</v>
      </c>
      <c r="L648" s="22">
        <f>K648-(_xlfn.XLOOKUP(E648,Product!$A$2:$A$7,Product!$B$2:$B$7)*F648)</f>
        <v>120076</v>
      </c>
      <c r="M648">
        <f>YEAR(Table1[[#This Row],[Order date]])</f>
        <v>2014</v>
      </c>
      <c r="N648" s="22" t="str" cm="1">
        <f t="array" ref="N648">_xlfn.IFS(G648=0,"No Discount", ROUND(G648*100,0)&lt;=4,"Low", ROUND(G648*100,0)&lt;=9,"Medium", ROUND(G648*100,0)&lt;=15,"High")</f>
        <v>Low</v>
      </c>
      <c r="O648" s="22" t="str">
        <f>TEXT(Table1[[#This Row],[Order date]],"mmmm")</f>
        <v>December</v>
      </c>
    </row>
    <row r="649" spans="1:15" ht="13.5" x14ac:dyDescent="0.25">
      <c r="A649" s="1" t="str">
        <f>"ORD"&amp;"-"&amp;_xlfn.XLOOKUP(C649,Guide!$B$22:$B$26,Guide!$C$22:$C$26)&amp;"-"&amp;_xlfn.XLOOKUP(D649,Guide!$B$29:$B$33,Guide!$C$29:$C$33)&amp;"-"&amp;TEXT(H649,"yyyymmdd")</f>
        <v>ORD-CND-SMB-20141201</v>
      </c>
      <c r="B649" s="1" t="s">
        <v>611</v>
      </c>
      <c r="C649" s="1" t="s">
        <v>27</v>
      </c>
      <c r="D649" s="1" t="s">
        <v>47</v>
      </c>
      <c r="E649" s="1" t="s">
        <v>84</v>
      </c>
      <c r="F649" s="2">
        <v>1916</v>
      </c>
      <c r="G649" s="4">
        <v>0.02</v>
      </c>
      <c r="H649" s="3">
        <f t="shared" si="30"/>
        <v>41974</v>
      </c>
      <c r="I649" s="1">
        <f>_xlfn.XLOOKUP(E649,Product!$A$2:$A$7,Product!$C$2:$C$7)</f>
        <v>350</v>
      </c>
      <c r="J649" s="22">
        <f t="shared" si="31"/>
        <v>670600</v>
      </c>
      <c r="K649" s="22">
        <f t="shared" si="32"/>
        <v>657188</v>
      </c>
      <c r="L649" s="22">
        <f>K649-(_xlfn.XLOOKUP(E649,Product!$A$2:$A$7,Product!$B$2:$B$7)*F649)</f>
        <v>273988</v>
      </c>
      <c r="M649">
        <f>YEAR(Table1[[#This Row],[Order date]])</f>
        <v>2014</v>
      </c>
      <c r="N649" s="22" t="str" cm="1">
        <f t="array" ref="N649">_xlfn.IFS(G649=0,"No Discount", ROUND(G649*100,0)&lt;=4,"Low", ROUND(G649*100,0)&lt;=9,"Medium", ROUND(G649*100,0)&lt;=15,"High")</f>
        <v>Low</v>
      </c>
      <c r="O649" s="22" t="str">
        <f>TEXT(Table1[[#This Row],[Order date]],"mmmm")</f>
        <v>December</v>
      </c>
    </row>
    <row r="650" spans="1:15" ht="13.5" x14ac:dyDescent="0.25">
      <c r="A650" s="1" t="str">
        <f>"ORD"&amp;"-"&amp;_xlfn.XLOOKUP(C650,Guide!$B$22:$B$26,Guide!$C$22:$C$26)&amp;"-"&amp;_xlfn.XLOOKUP(D650,Guide!$B$29:$B$33,Guide!$C$29:$C$33)&amp;"-"&amp;TEXT(H650,"yyyymmdd")</f>
        <v>ORD-FRA-ENT-20141201</v>
      </c>
      <c r="B650" s="1" t="s">
        <v>614</v>
      </c>
      <c r="C650" s="1" t="s">
        <v>31</v>
      </c>
      <c r="D650" s="1" t="s">
        <v>45</v>
      </c>
      <c r="E650" s="1" t="s">
        <v>75</v>
      </c>
      <c r="F650" s="2">
        <v>1287</v>
      </c>
      <c r="G650" s="4">
        <v>0.03</v>
      </c>
      <c r="H650" s="3">
        <f t="shared" si="30"/>
        <v>41974</v>
      </c>
      <c r="I650" s="1">
        <f>_xlfn.XLOOKUP(E650,Product!$A$2:$A$7,Product!$C$2:$C$7)</f>
        <v>20</v>
      </c>
      <c r="J650" s="22">
        <f t="shared" si="31"/>
        <v>25740</v>
      </c>
      <c r="K650" s="22">
        <f t="shared" si="32"/>
        <v>24967.8</v>
      </c>
      <c r="L650" s="22">
        <f>K650-(_xlfn.XLOOKUP(E650,Product!$A$2:$A$7,Product!$B$2:$B$7)*F650)</f>
        <v>12097.8</v>
      </c>
      <c r="M650">
        <f>YEAR(Table1[[#This Row],[Order date]])</f>
        <v>2014</v>
      </c>
      <c r="N650" s="22" t="str" cm="1">
        <f t="array" ref="N650">_xlfn.IFS(G650=0,"No Discount", ROUND(G650*100,0)&lt;=4,"Low", ROUND(G650*100,0)&lt;=9,"Medium", ROUND(G650*100,0)&lt;=15,"High")</f>
        <v>Low</v>
      </c>
      <c r="O650" s="22" t="str">
        <f>TEXT(Table1[[#This Row],[Order date]],"mmmm")</f>
        <v>December</v>
      </c>
    </row>
    <row r="651" spans="1:15" ht="13.5" x14ac:dyDescent="0.25">
      <c r="A651" s="1" t="str">
        <f>"ORD"&amp;"-"&amp;_xlfn.XLOOKUP(C651,Guide!$B$22:$B$26,Guide!$C$22:$C$26)&amp;"-"&amp;_xlfn.XLOOKUP(D651,Guide!$B$29:$B$33,Guide!$C$29:$C$33)&amp;"-"&amp;TEXT(H651,"yyyymmdd")</f>
        <v>ORD-FRA-ENT-20141201</v>
      </c>
      <c r="B651" s="1" t="s">
        <v>614</v>
      </c>
      <c r="C651" s="1" t="s">
        <v>31</v>
      </c>
      <c r="D651" s="1" t="s">
        <v>45</v>
      </c>
      <c r="E651" s="1" t="s">
        <v>82</v>
      </c>
      <c r="F651" s="2">
        <v>1287</v>
      </c>
      <c r="G651" s="4">
        <v>0.03</v>
      </c>
      <c r="H651" s="3">
        <f t="shared" si="30"/>
        <v>41974</v>
      </c>
      <c r="I651" s="1">
        <f>_xlfn.XLOOKUP(E651,Product!$A$2:$A$7,Product!$C$2:$C$7)</f>
        <v>15</v>
      </c>
      <c r="J651" s="22">
        <f t="shared" si="31"/>
        <v>19305</v>
      </c>
      <c r="K651" s="22">
        <f t="shared" si="32"/>
        <v>18725.849999999999</v>
      </c>
      <c r="L651" s="22">
        <f>K651-(_xlfn.XLOOKUP(E651,Product!$A$2:$A$7,Product!$B$2:$B$7)*F651)</f>
        <v>12290.849999999999</v>
      </c>
      <c r="M651">
        <f>YEAR(Table1[[#This Row],[Order date]])</f>
        <v>2014</v>
      </c>
      <c r="N651" s="22" t="str" cm="1">
        <f t="array" ref="N651">_xlfn.IFS(G651=0,"No Discount", ROUND(G651*100,0)&lt;=4,"Low", ROUND(G651*100,0)&lt;=9,"Medium", ROUND(G651*100,0)&lt;=15,"High")</f>
        <v>Low</v>
      </c>
      <c r="O651" s="22" t="str">
        <f>TEXT(Table1[[#This Row],[Order date]],"mmmm")</f>
        <v>December</v>
      </c>
    </row>
    <row r="652" spans="1:15" ht="13.5" x14ac:dyDescent="0.25">
      <c r="A652" s="1" t="str">
        <f>"ORD"&amp;"-"&amp;_xlfn.XLOOKUP(C652,Guide!$B$22:$B$26,Guide!$C$22:$C$26)&amp;"-"&amp;_xlfn.XLOOKUP(D652,Guide!$B$29:$B$33,Guide!$C$29:$C$33)&amp;"-"&amp;TEXT(H652,"yyyymmdd")</f>
        <v>ORD-GER-ENT-20141201</v>
      </c>
      <c r="B652" s="1" t="s">
        <v>615</v>
      </c>
      <c r="C652" s="1" t="s">
        <v>29</v>
      </c>
      <c r="D652" s="1" t="s">
        <v>45</v>
      </c>
      <c r="E652" s="1" t="s">
        <v>75</v>
      </c>
      <c r="F652" s="2">
        <v>1706</v>
      </c>
      <c r="G652" s="4">
        <v>0.03</v>
      </c>
      <c r="H652" s="3">
        <f t="shared" si="30"/>
        <v>41974</v>
      </c>
      <c r="I652" s="1">
        <f>_xlfn.XLOOKUP(E652,Product!$A$2:$A$7,Product!$C$2:$C$7)</f>
        <v>20</v>
      </c>
      <c r="J652" s="22">
        <f t="shared" si="31"/>
        <v>34120</v>
      </c>
      <c r="K652" s="22">
        <f t="shared" si="32"/>
        <v>33096.400000000001</v>
      </c>
      <c r="L652" s="22">
        <f>K652-(_xlfn.XLOOKUP(E652,Product!$A$2:$A$7,Product!$B$2:$B$7)*F652)</f>
        <v>16036.400000000001</v>
      </c>
      <c r="M652">
        <f>YEAR(Table1[[#This Row],[Order date]])</f>
        <v>2014</v>
      </c>
      <c r="N652" s="22" t="str" cm="1">
        <f t="array" ref="N652">_xlfn.IFS(G652=0,"No Discount", ROUND(G652*100,0)&lt;=4,"Low", ROUND(G652*100,0)&lt;=9,"Medium", ROUND(G652*100,0)&lt;=15,"High")</f>
        <v>Low</v>
      </c>
      <c r="O652" s="22" t="str">
        <f>TEXT(Table1[[#This Row],[Order date]],"mmmm")</f>
        <v>December</v>
      </c>
    </row>
    <row r="653" spans="1:15" ht="13.5" x14ac:dyDescent="0.25">
      <c r="A653" s="1" t="str">
        <f>"ORD"&amp;"-"&amp;_xlfn.XLOOKUP(C653,Guide!$B$22:$B$26,Guide!$C$22:$C$26)&amp;"-"&amp;_xlfn.XLOOKUP(D653,Guide!$B$29:$B$33,Guide!$C$29:$C$33)&amp;"-"&amp;TEXT(H653,"yyyymmdd")</f>
        <v>ORD-GER-ENT-20141201</v>
      </c>
      <c r="B653" s="1" t="s">
        <v>615</v>
      </c>
      <c r="C653" s="1" t="s">
        <v>29</v>
      </c>
      <c r="D653" s="1" t="s">
        <v>45</v>
      </c>
      <c r="E653" s="1" t="s">
        <v>82</v>
      </c>
      <c r="F653" s="2">
        <v>1706</v>
      </c>
      <c r="G653" s="4">
        <v>0.03</v>
      </c>
      <c r="H653" s="3">
        <f t="shared" si="30"/>
        <v>41974</v>
      </c>
      <c r="I653" s="1">
        <f>_xlfn.XLOOKUP(E653,Product!$A$2:$A$7,Product!$C$2:$C$7)</f>
        <v>15</v>
      </c>
      <c r="J653" s="22">
        <f t="shared" si="31"/>
        <v>25590</v>
      </c>
      <c r="K653" s="22">
        <f t="shared" si="32"/>
        <v>24822.3</v>
      </c>
      <c r="L653" s="22">
        <f>K653-(_xlfn.XLOOKUP(E653,Product!$A$2:$A$7,Product!$B$2:$B$7)*F653)</f>
        <v>16292.3</v>
      </c>
      <c r="M653">
        <f>YEAR(Table1[[#This Row],[Order date]])</f>
        <v>2014</v>
      </c>
      <c r="N653" s="22" t="str" cm="1">
        <f t="array" ref="N653">_xlfn.IFS(G653=0,"No Discount", ROUND(G653*100,0)&lt;=4,"Low", ROUND(G653*100,0)&lt;=9,"Medium", ROUND(G653*100,0)&lt;=15,"High")</f>
        <v>Low</v>
      </c>
      <c r="O653" s="22" t="str">
        <f>TEXT(Table1[[#This Row],[Order date]],"mmmm")</f>
        <v>December</v>
      </c>
    </row>
    <row r="654" spans="1:15" ht="13.5" x14ac:dyDescent="0.25">
      <c r="A654" s="1" t="str">
        <f>"ORD"&amp;"-"&amp;_xlfn.XLOOKUP(C654,Guide!$B$22:$B$26,Guide!$C$22:$C$26)&amp;"-"&amp;_xlfn.XLOOKUP(D654,Guide!$B$29:$B$33,Guide!$C$29:$C$33)&amp;"-"&amp;TEXT(H654,"yyyymmdd")</f>
        <v>ORD-USA-GOV-20141201</v>
      </c>
      <c r="B654" s="1" t="s">
        <v>616</v>
      </c>
      <c r="C654" s="1" t="s">
        <v>35</v>
      </c>
      <c r="D654" s="1" t="s">
        <v>39</v>
      </c>
      <c r="E654" s="1" t="s">
        <v>75</v>
      </c>
      <c r="F654" s="2">
        <v>274</v>
      </c>
      <c r="G654" s="4">
        <v>0.04</v>
      </c>
      <c r="H654" s="3">
        <f t="shared" si="30"/>
        <v>41974</v>
      </c>
      <c r="I654" s="1">
        <f>_xlfn.XLOOKUP(E654,Product!$A$2:$A$7,Product!$C$2:$C$7)</f>
        <v>20</v>
      </c>
      <c r="J654" s="22">
        <f t="shared" si="31"/>
        <v>5480</v>
      </c>
      <c r="K654" s="22">
        <f t="shared" si="32"/>
        <v>5260.8</v>
      </c>
      <c r="L654" s="22">
        <f>K654-(_xlfn.XLOOKUP(E654,Product!$A$2:$A$7,Product!$B$2:$B$7)*F654)</f>
        <v>2520.8000000000002</v>
      </c>
      <c r="M654">
        <f>YEAR(Table1[[#This Row],[Order date]])</f>
        <v>2014</v>
      </c>
      <c r="N654" s="22" t="str" cm="1">
        <f t="array" ref="N654">_xlfn.IFS(G654=0,"No Discount", ROUND(G654*100,0)&lt;=4,"Low", ROUND(G654*100,0)&lt;=9,"Medium", ROUND(G654*100,0)&lt;=15,"High")</f>
        <v>Low</v>
      </c>
      <c r="O654" s="22" t="str">
        <f>TEXT(Table1[[#This Row],[Order date]],"mmmm")</f>
        <v>December</v>
      </c>
    </row>
    <row r="655" spans="1:15" ht="13.5" x14ac:dyDescent="0.25">
      <c r="A655" s="1" t="str">
        <f>"ORD"&amp;"-"&amp;_xlfn.XLOOKUP(C655,Guide!$B$22:$B$26,Guide!$C$22:$C$26)&amp;"-"&amp;_xlfn.XLOOKUP(D655,Guide!$B$29:$B$33,Guide!$C$29:$C$33)&amp;"-"&amp;TEXT(H655,"yyyymmdd")</f>
        <v>ORD-USA-GOV-20141201</v>
      </c>
      <c r="B655" s="1" t="s">
        <v>616</v>
      </c>
      <c r="C655" s="1" t="s">
        <v>35</v>
      </c>
      <c r="D655" s="1" t="s">
        <v>39</v>
      </c>
      <c r="E655" s="1" t="s">
        <v>80</v>
      </c>
      <c r="F655" s="2">
        <v>274</v>
      </c>
      <c r="G655" s="4">
        <v>0.04</v>
      </c>
      <c r="H655" s="3">
        <f t="shared" si="30"/>
        <v>41974</v>
      </c>
      <c r="I655" s="1">
        <f>_xlfn.XLOOKUP(E655,Product!$A$2:$A$7,Product!$C$2:$C$7)</f>
        <v>20</v>
      </c>
      <c r="J655" s="22">
        <f t="shared" si="31"/>
        <v>5480</v>
      </c>
      <c r="K655" s="22">
        <f t="shared" si="32"/>
        <v>5260.8</v>
      </c>
      <c r="L655" s="22">
        <f>K655-(_xlfn.XLOOKUP(E655,Product!$A$2:$A$7,Product!$B$2:$B$7)*F655)</f>
        <v>4438.8</v>
      </c>
      <c r="M655">
        <f>YEAR(Table1[[#This Row],[Order date]])</f>
        <v>2014</v>
      </c>
      <c r="N655" s="22" t="str" cm="1">
        <f t="array" ref="N655">_xlfn.IFS(G655=0,"No Discount", ROUND(G655*100,0)&lt;=4,"Low", ROUND(G655*100,0)&lt;=9,"Medium", ROUND(G655*100,0)&lt;=15,"High")</f>
        <v>Low</v>
      </c>
      <c r="O655" s="22" t="str">
        <f>TEXT(Table1[[#This Row],[Order date]],"mmmm")</f>
        <v>December</v>
      </c>
    </row>
    <row r="656" spans="1:15" ht="13.5" x14ac:dyDescent="0.25">
      <c r="A656" s="1" t="str">
        <f>"ORD"&amp;"-"&amp;_xlfn.XLOOKUP(C656,Guide!$B$22:$B$26,Guide!$C$22:$C$26)&amp;"-"&amp;_xlfn.XLOOKUP(D656,Guide!$B$29:$B$33,Guide!$C$29:$C$33)&amp;"-"&amp;TEXT(H656,"yyyymmdd")</f>
        <v>ORD-MXC-ENT-20141201</v>
      </c>
      <c r="B656" s="1" t="s">
        <v>617</v>
      </c>
      <c r="C656" s="1" t="s">
        <v>33</v>
      </c>
      <c r="D656" s="1" t="s">
        <v>45</v>
      </c>
      <c r="E656" s="1" t="s">
        <v>75</v>
      </c>
      <c r="F656" s="2">
        <v>1138</v>
      </c>
      <c r="G656" s="4">
        <v>0.04</v>
      </c>
      <c r="H656" s="3">
        <f t="shared" si="30"/>
        <v>41974</v>
      </c>
      <c r="I656" s="1">
        <f>_xlfn.XLOOKUP(E656,Product!$A$2:$A$7,Product!$C$2:$C$7)</f>
        <v>20</v>
      </c>
      <c r="J656" s="22">
        <f t="shared" si="31"/>
        <v>22760</v>
      </c>
      <c r="K656" s="22">
        <f t="shared" si="32"/>
        <v>21849.599999999999</v>
      </c>
      <c r="L656" s="22">
        <f>K656-(_xlfn.XLOOKUP(E656,Product!$A$2:$A$7,Product!$B$2:$B$7)*F656)</f>
        <v>10469.599999999999</v>
      </c>
      <c r="M656">
        <f>YEAR(Table1[[#This Row],[Order date]])</f>
        <v>2014</v>
      </c>
      <c r="N656" s="22" t="str" cm="1">
        <f t="array" ref="N656">_xlfn.IFS(G656=0,"No Discount", ROUND(G656*100,0)&lt;=4,"Low", ROUND(G656*100,0)&lt;=9,"Medium", ROUND(G656*100,0)&lt;=15,"High")</f>
        <v>Low</v>
      </c>
      <c r="O656" s="22" t="str">
        <f>TEXT(Table1[[#This Row],[Order date]],"mmmm")</f>
        <v>December</v>
      </c>
    </row>
    <row r="657" spans="1:15" ht="13.5" x14ac:dyDescent="0.25">
      <c r="A657" s="1" t="str">
        <f>"ORD"&amp;"-"&amp;_xlfn.XLOOKUP(C657,Guide!$B$22:$B$26,Guide!$C$22:$C$26)&amp;"-"&amp;_xlfn.XLOOKUP(D657,Guide!$B$29:$B$33,Guide!$C$29:$C$33)&amp;"-"&amp;TEXT(H657,"yyyymmdd")</f>
        <v>ORD-MXC-ENT-20141201</v>
      </c>
      <c r="B657" s="1" t="s">
        <v>617</v>
      </c>
      <c r="C657" s="1" t="s">
        <v>33</v>
      </c>
      <c r="D657" s="1" t="s">
        <v>45</v>
      </c>
      <c r="E657" s="1" t="s">
        <v>82</v>
      </c>
      <c r="F657" s="2">
        <v>1138</v>
      </c>
      <c r="G657" s="4">
        <v>0.04</v>
      </c>
      <c r="H657" s="3">
        <f t="shared" si="30"/>
        <v>41974</v>
      </c>
      <c r="I657" s="1">
        <f>_xlfn.XLOOKUP(E657,Product!$A$2:$A$7,Product!$C$2:$C$7)</f>
        <v>15</v>
      </c>
      <c r="J657" s="22">
        <f t="shared" si="31"/>
        <v>17070</v>
      </c>
      <c r="K657" s="22">
        <f t="shared" si="32"/>
        <v>16387.2</v>
      </c>
      <c r="L657" s="22">
        <f>K657-(_xlfn.XLOOKUP(E657,Product!$A$2:$A$7,Product!$B$2:$B$7)*F657)</f>
        <v>10697.2</v>
      </c>
      <c r="M657">
        <f>YEAR(Table1[[#This Row],[Order date]])</f>
        <v>2014</v>
      </c>
      <c r="N657" s="22" t="str" cm="1">
        <f t="array" ref="N657">_xlfn.IFS(G657=0,"No Discount", ROUND(G657*100,0)&lt;=4,"Low", ROUND(G657*100,0)&lt;=9,"Medium", ROUND(G657*100,0)&lt;=15,"High")</f>
        <v>Low</v>
      </c>
      <c r="O657" s="22" t="str">
        <f>TEXT(Table1[[#This Row],[Order date]],"mmmm")</f>
        <v>December</v>
      </c>
    </row>
    <row r="658" spans="1:15" ht="13.5" x14ac:dyDescent="0.25">
      <c r="A658" s="1" t="str">
        <f>"ORD"&amp;"-"&amp;_xlfn.XLOOKUP(C658,Guide!$B$22:$B$26,Guide!$C$22:$C$26)&amp;"-"&amp;_xlfn.XLOOKUP(D658,Guide!$B$29:$B$33,Guide!$C$29:$C$33)&amp;"-"&amp;TEXT(H658,"yyyymmdd")</f>
        <v>ORD-CND-CPR-20141201</v>
      </c>
      <c r="B658" s="1" t="s">
        <v>618</v>
      </c>
      <c r="C658" s="1" t="s">
        <v>27</v>
      </c>
      <c r="D658" s="1" t="s">
        <v>43</v>
      </c>
      <c r="E658" s="1" t="s">
        <v>75</v>
      </c>
      <c r="F658" s="2">
        <v>2431</v>
      </c>
      <c r="G658" s="4">
        <v>4.9999999999999996E-2</v>
      </c>
      <c r="H658" s="3">
        <f t="shared" si="30"/>
        <v>41974</v>
      </c>
      <c r="I658" s="1">
        <f>_xlfn.XLOOKUP(E658,Product!$A$2:$A$7,Product!$C$2:$C$7)</f>
        <v>20</v>
      </c>
      <c r="J658" s="22">
        <f t="shared" si="31"/>
        <v>48620</v>
      </c>
      <c r="K658" s="22">
        <f t="shared" si="32"/>
        <v>46189</v>
      </c>
      <c r="L658" s="22">
        <f>K658-(_xlfn.XLOOKUP(E658,Product!$A$2:$A$7,Product!$B$2:$B$7)*F658)</f>
        <v>21879</v>
      </c>
      <c r="M658">
        <f>YEAR(Table1[[#This Row],[Order date]])</f>
        <v>2014</v>
      </c>
      <c r="N658" s="22" t="str" cm="1">
        <f t="array" ref="N658">_xlfn.IFS(G658=0,"No Discount", ROUND(G658*100,0)&lt;=4,"Low", ROUND(G658*100,0)&lt;=9,"Medium", ROUND(G658*100,0)&lt;=15,"High")</f>
        <v>Medium</v>
      </c>
      <c r="O658" s="22" t="str">
        <f>TEXT(Table1[[#This Row],[Order date]],"mmmm")</f>
        <v>December</v>
      </c>
    </row>
    <row r="659" spans="1:15" ht="13.5" x14ac:dyDescent="0.25">
      <c r="A659" s="1" t="str">
        <f>"ORD"&amp;"-"&amp;_xlfn.XLOOKUP(C659,Guide!$B$22:$B$26,Guide!$C$22:$C$26)&amp;"-"&amp;_xlfn.XLOOKUP(D659,Guide!$B$29:$B$33,Guide!$C$29:$C$33)&amp;"-"&amp;TEXT(H659,"yyyymmdd")</f>
        <v>ORD-CND-CPR-20141201</v>
      </c>
      <c r="B659" s="1" t="s">
        <v>618</v>
      </c>
      <c r="C659" s="1" t="s">
        <v>27</v>
      </c>
      <c r="D659" s="1" t="s">
        <v>43</v>
      </c>
      <c r="E659" s="1" t="s">
        <v>88</v>
      </c>
      <c r="F659" s="2">
        <v>2431</v>
      </c>
      <c r="G659" s="4">
        <v>4.9999999999999996E-2</v>
      </c>
      <c r="H659" s="3">
        <f t="shared" si="30"/>
        <v>41974</v>
      </c>
      <c r="I659" s="1">
        <f>_xlfn.XLOOKUP(E659,Product!$A$2:$A$7,Product!$C$2:$C$7)</f>
        <v>180</v>
      </c>
      <c r="J659" s="22">
        <f t="shared" si="31"/>
        <v>437580</v>
      </c>
      <c r="K659" s="22">
        <f t="shared" si="32"/>
        <v>415701</v>
      </c>
      <c r="L659" s="22">
        <f>K659-(_xlfn.XLOOKUP(E659,Product!$A$2:$A$7,Product!$B$2:$B$7)*F659)</f>
        <v>123981</v>
      </c>
      <c r="M659">
        <f>YEAR(Table1[[#This Row],[Order date]])</f>
        <v>2014</v>
      </c>
      <c r="N659" s="22" t="str" cm="1">
        <f t="array" ref="N659">_xlfn.IFS(G659=0,"No Discount", ROUND(G659*100,0)&lt;=4,"Low", ROUND(G659*100,0)&lt;=9,"Medium", ROUND(G659*100,0)&lt;=15,"High")</f>
        <v>Medium</v>
      </c>
      <c r="O659" s="22" t="str">
        <f>TEXT(Table1[[#This Row],[Order date]],"mmmm")</f>
        <v>December</v>
      </c>
    </row>
    <row r="660" spans="1:15" ht="13.5" x14ac:dyDescent="0.25">
      <c r="A660" s="1" t="str">
        <f>"ORD"&amp;"-"&amp;_xlfn.XLOOKUP(C660,Guide!$B$22:$B$26,Guide!$C$22:$C$26)&amp;"-"&amp;_xlfn.XLOOKUP(D660,Guide!$B$29:$B$33,Guide!$C$29:$C$33)&amp;"-"&amp;TEXT(H660,"yyyymmdd")</f>
        <v>ORD-USA-GOV-20141201</v>
      </c>
      <c r="B660" s="1" t="s">
        <v>619</v>
      </c>
      <c r="C660" s="1" t="s">
        <v>35</v>
      </c>
      <c r="D660" s="1" t="s">
        <v>39</v>
      </c>
      <c r="E660" s="1" t="s">
        <v>80</v>
      </c>
      <c r="F660" s="2">
        <v>570</v>
      </c>
      <c r="G660" s="4">
        <v>0.05</v>
      </c>
      <c r="H660" s="3">
        <f t="shared" si="30"/>
        <v>41974</v>
      </c>
      <c r="I660" s="1">
        <f>_xlfn.XLOOKUP(E660,Product!$A$2:$A$7,Product!$C$2:$C$7)</f>
        <v>20</v>
      </c>
      <c r="J660" s="22">
        <f t="shared" si="31"/>
        <v>11400</v>
      </c>
      <c r="K660" s="22">
        <f t="shared" si="32"/>
        <v>10830</v>
      </c>
      <c r="L660" s="22">
        <f>K660-(_xlfn.XLOOKUP(E660,Product!$A$2:$A$7,Product!$B$2:$B$7)*F660)</f>
        <v>9120</v>
      </c>
      <c r="M660">
        <f>YEAR(Table1[[#This Row],[Order date]])</f>
        <v>2014</v>
      </c>
      <c r="N660" s="22" t="str" cm="1">
        <f t="array" ref="N660">_xlfn.IFS(G660=0,"No Discount", ROUND(G660*100,0)&lt;=4,"Low", ROUND(G660*100,0)&lt;=9,"Medium", ROUND(G660*100,0)&lt;=15,"High")</f>
        <v>Medium</v>
      </c>
      <c r="O660" s="22" t="str">
        <f>TEXT(Table1[[#This Row],[Order date]],"mmmm")</f>
        <v>December</v>
      </c>
    </row>
    <row r="661" spans="1:15" ht="13.5" x14ac:dyDescent="0.25">
      <c r="A661" s="1" t="str">
        <f>"ORD"&amp;"-"&amp;_xlfn.XLOOKUP(C661,Guide!$B$22:$B$26,Guide!$C$22:$C$26)&amp;"-"&amp;_xlfn.XLOOKUP(D661,Guide!$B$29:$B$33,Guide!$C$29:$C$33)&amp;"-"&amp;TEXT(H661,"yyyymmdd")</f>
        <v>ORD-USA-GOV-20141201</v>
      </c>
      <c r="B661" s="1" t="s">
        <v>619</v>
      </c>
      <c r="C661" s="1" t="s">
        <v>35</v>
      </c>
      <c r="D661" s="1" t="s">
        <v>39</v>
      </c>
      <c r="E661" s="1" t="s">
        <v>78</v>
      </c>
      <c r="F661" s="2">
        <v>570</v>
      </c>
      <c r="G661" s="4">
        <v>0.05</v>
      </c>
      <c r="H661" s="3">
        <f t="shared" si="30"/>
        <v>41974</v>
      </c>
      <c r="I661" s="1">
        <f>_xlfn.XLOOKUP(E661,Product!$A$2:$A$7,Product!$C$2:$C$7)</f>
        <v>300</v>
      </c>
      <c r="J661" s="22">
        <f t="shared" si="31"/>
        <v>171000</v>
      </c>
      <c r="K661" s="22">
        <f t="shared" si="32"/>
        <v>162450</v>
      </c>
      <c r="L661" s="22">
        <f>K661-(_xlfn.XLOOKUP(E661,Product!$A$2:$A$7,Product!$B$2:$B$7)*F661)</f>
        <v>19950</v>
      </c>
      <c r="M661">
        <f>YEAR(Table1[[#This Row],[Order date]])</f>
        <v>2014</v>
      </c>
      <c r="N661" s="22" t="str" cm="1">
        <f t="array" ref="N661">_xlfn.IFS(G661=0,"No Discount", ROUND(G661*100,0)&lt;=4,"Low", ROUND(G661*100,0)&lt;=9,"Medium", ROUND(G661*100,0)&lt;=15,"High")</f>
        <v>Medium</v>
      </c>
      <c r="O661" s="22" t="str">
        <f>TEXT(Table1[[#This Row],[Order date]],"mmmm")</f>
        <v>December</v>
      </c>
    </row>
    <row r="662" spans="1:15" ht="13.5" x14ac:dyDescent="0.25">
      <c r="A662" s="1" t="str">
        <f>"ORD"&amp;"-"&amp;_xlfn.XLOOKUP(C662,Guide!$B$22:$B$26,Guide!$C$22:$C$26)&amp;"-"&amp;_xlfn.XLOOKUP(D662,Guide!$B$29:$B$33,Guide!$C$29:$C$33)&amp;"-"&amp;TEXT(H662,"yyyymmdd")</f>
        <v>ORD-USA-GOV-20141201</v>
      </c>
      <c r="B662" s="1" t="s">
        <v>620</v>
      </c>
      <c r="C662" s="1" t="s">
        <v>35</v>
      </c>
      <c r="D662" s="1" t="s">
        <v>39</v>
      </c>
      <c r="E662" s="1" t="s">
        <v>75</v>
      </c>
      <c r="F662" s="2">
        <v>2663</v>
      </c>
      <c r="G662" s="4">
        <v>0.05</v>
      </c>
      <c r="H662" s="3">
        <f t="shared" si="30"/>
        <v>41974</v>
      </c>
      <c r="I662" s="1">
        <f>_xlfn.XLOOKUP(E662,Product!$A$2:$A$7,Product!$C$2:$C$7)</f>
        <v>20</v>
      </c>
      <c r="J662" s="22">
        <f t="shared" si="31"/>
        <v>53260</v>
      </c>
      <c r="K662" s="22">
        <f t="shared" si="32"/>
        <v>50597</v>
      </c>
      <c r="L662" s="22">
        <f>K662-(_xlfn.XLOOKUP(E662,Product!$A$2:$A$7,Product!$B$2:$B$7)*F662)</f>
        <v>23967</v>
      </c>
      <c r="M662">
        <f>YEAR(Table1[[#This Row],[Order date]])</f>
        <v>2014</v>
      </c>
      <c r="N662" s="22" t="str" cm="1">
        <f t="array" ref="N662">_xlfn.IFS(G662=0,"No Discount", ROUND(G662*100,0)&lt;=4,"Low", ROUND(G662*100,0)&lt;=9,"Medium", ROUND(G662*100,0)&lt;=15,"High")</f>
        <v>Medium</v>
      </c>
      <c r="O662" s="22" t="str">
        <f>TEXT(Table1[[#This Row],[Order date]],"mmmm")</f>
        <v>December</v>
      </c>
    </row>
    <row r="663" spans="1:15" ht="13.5" x14ac:dyDescent="0.25">
      <c r="A663" s="1" t="str">
        <f>"ORD"&amp;"-"&amp;_xlfn.XLOOKUP(C663,Guide!$B$22:$B$26,Guide!$C$22:$C$26)&amp;"-"&amp;_xlfn.XLOOKUP(D663,Guide!$B$29:$B$33,Guide!$C$29:$C$33)&amp;"-"&amp;TEXT(H663,"yyyymmdd")</f>
        <v>ORD-FRA-GOV-20141201</v>
      </c>
      <c r="B663" s="1" t="s">
        <v>621</v>
      </c>
      <c r="C663" s="1" t="s">
        <v>31</v>
      </c>
      <c r="D663" s="1" t="s">
        <v>39</v>
      </c>
      <c r="E663" s="1" t="s">
        <v>80</v>
      </c>
      <c r="F663" s="2">
        <v>2487</v>
      </c>
      <c r="G663" s="4">
        <v>0.05</v>
      </c>
      <c r="H663" s="3">
        <f t="shared" si="30"/>
        <v>41974</v>
      </c>
      <c r="I663" s="1">
        <f>_xlfn.XLOOKUP(E663,Product!$A$2:$A$7,Product!$C$2:$C$7)</f>
        <v>20</v>
      </c>
      <c r="J663" s="22">
        <f t="shared" si="31"/>
        <v>49740</v>
      </c>
      <c r="K663" s="22">
        <f t="shared" si="32"/>
        <v>47253</v>
      </c>
      <c r="L663" s="22">
        <f>K663-(_xlfn.XLOOKUP(E663,Product!$A$2:$A$7,Product!$B$2:$B$7)*F663)</f>
        <v>39792</v>
      </c>
      <c r="M663">
        <f>YEAR(Table1[[#This Row],[Order date]])</f>
        <v>2014</v>
      </c>
      <c r="N663" s="22" t="str" cm="1">
        <f t="array" ref="N663">_xlfn.IFS(G663=0,"No Discount", ROUND(G663*100,0)&lt;=4,"Low", ROUND(G663*100,0)&lt;=9,"Medium", ROUND(G663*100,0)&lt;=15,"High")</f>
        <v>Medium</v>
      </c>
      <c r="O663" s="22" t="str">
        <f>TEXT(Table1[[#This Row],[Order date]],"mmmm")</f>
        <v>December</v>
      </c>
    </row>
    <row r="664" spans="1:15" ht="13.5" x14ac:dyDescent="0.25">
      <c r="A664" s="1" t="str">
        <f>"ORD"&amp;"-"&amp;_xlfn.XLOOKUP(C664,Guide!$B$22:$B$26,Guide!$C$22:$C$26)&amp;"-"&amp;_xlfn.XLOOKUP(D664,Guide!$B$29:$B$33,Guide!$C$29:$C$33)&amp;"-"&amp;TEXT(H664,"yyyymmdd")</f>
        <v>ORD-GER-SMB-20141201</v>
      </c>
      <c r="B664" s="1" t="s">
        <v>622</v>
      </c>
      <c r="C664" s="1" t="s">
        <v>29</v>
      </c>
      <c r="D664" s="1" t="s">
        <v>47</v>
      </c>
      <c r="E664" s="1" t="s">
        <v>88</v>
      </c>
      <c r="F664" s="2">
        <v>1250</v>
      </c>
      <c r="G664" s="4">
        <v>0.05</v>
      </c>
      <c r="H664" s="3">
        <f t="shared" si="30"/>
        <v>41974</v>
      </c>
      <c r="I664" s="1">
        <f>_xlfn.XLOOKUP(E664,Product!$A$2:$A$7,Product!$C$2:$C$7)</f>
        <v>180</v>
      </c>
      <c r="J664" s="22">
        <f t="shared" si="31"/>
        <v>225000</v>
      </c>
      <c r="K664" s="22">
        <f t="shared" si="32"/>
        <v>213750</v>
      </c>
      <c r="L664" s="22">
        <f>K664-(_xlfn.XLOOKUP(E664,Product!$A$2:$A$7,Product!$B$2:$B$7)*F664)</f>
        <v>63750</v>
      </c>
      <c r="M664">
        <f>YEAR(Table1[[#This Row],[Order date]])</f>
        <v>2014</v>
      </c>
      <c r="N664" s="22" t="str" cm="1">
        <f t="array" ref="N664">_xlfn.IFS(G664=0,"No Discount", ROUND(G664*100,0)&lt;=4,"Low", ROUND(G664*100,0)&lt;=9,"Medium", ROUND(G664*100,0)&lt;=15,"High")</f>
        <v>Medium</v>
      </c>
      <c r="O664" s="22" t="str">
        <f>TEXT(Table1[[#This Row],[Order date]],"mmmm")</f>
        <v>December</v>
      </c>
    </row>
    <row r="665" spans="1:15" ht="13.5" x14ac:dyDescent="0.25">
      <c r="A665" s="1" t="str">
        <f>"ORD"&amp;"-"&amp;_xlfn.XLOOKUP(C665,Guide!$B$22:$B$26,Guide!$C$22:$C$26)&amp;"-"&amp;_xlfn.XLOOKUP(D665,Guide!$B$29:$B$33,Guide!$C$29:$C$33)&amp;"-"&amp;TEXT(H665,"yyyymmdd")</f>
        <v>ORD-FRA-GOV-20141201</v>
      </c>
      <c r="B665" s="1" t="s">
        <v>621</v>
      </c>
      <c r="C665" s="1" t="s">
        <v>31</v>
      </c>
      <c r="D665" s="1" t="s">
        <v>39</v>
      </c>
      <c r="E665" s="1" t="s">
        <v>78</v>
      </c>
      <c r="F665" s="2">
        <v>2487</v>
      </c>
      <c r="G665" s="4">
        <v>0.05</v>
      </c>
      <c r="H665" s="3">
        <f t="shared" si="30"/>
        <v>41974</v>
      </c>
      <c r="I665" s="1">
        <f>_xlfn.XLOOKUP(E665,Product!$A$2:$A$7,Product!$C$2:$C$7)</f>
        <v>300</v>
      </c>
      <c r="J665" s="22">
        <f t="shared" si="31"/>
        <v>746100</v>
      </c>
      <c r="K665" s="22">
        <f t="shared" si="32"/>
        <v>708795</v>
      </c>
      <c r="L665" s="22">
        <f>K665-(_xlfn.XLOOKUP(E665,Product!$A$2:$A$7,Product!$B$2:$B$7)*F665)</f>
        <v>87045</v>
      </c>
      <c r="M665">
        <f>YEAR(Table1[[#This Row],[Order date]])</f>
        <v>2014</v>
      </c>
      <c r="N665" s="22" t="str" cm="1">
        <f t="array" ref="N665">_xlfn.IFS(G665=0,"No Discount", ROUND(G665*100,0)&lt;=4,"Low", ROUND(G665*100,0)&lt;=9,"Medium", ROUND(G665*100,0)&lt;=15,"High")</f>
        <v>Medium</v>
      </c>
      <c r="O665" s="22" t="str">
        <f>TEXT(Table1[[#This Row],[Order date]],"mmmm")</f>
        <v>December</v>
      </c>
    </row>
    <row r="666" spans="1:15" ht="13.5" x14ac:dyDescent="0.25">
      <c r="A666" s="1" t="str">
        <f>"ORD"&amp;"-"&amp;_xlfn.XLOOKUP(C666,Guide!$B$22:$B$26,Guide!$C$22:$C$26)&amp;"-"&amp;_xlfn.XLOOKUP(D666,Guide!$B$29:$B$33,Guide!$C$29:$C$33)&amp;"-"&amp;TEXT(H666,"yyyymmdd")</f>
        <v>ORD-USA-GOV-20141201</v>
      </c>
      <c r="B666" s="1" t="s">
        <v>620</v>
      </c>
      <c r="C666" s="1" t="s">
        <v>35</v>
      </c>
      <c r="D666" s="1" t="s">
        <v>39</v>
      </c>
      <c r="E666" s="1" t="s">
        <v>78</v>
      </c>
      <c r="F666" s="2">
        <v>2663</v>
      </c>
      <c r="G666" s="4">
        <v>0.05</v>
      </c>
      <c r="H666" s="3">
        <f t="shared" si="30"/>
        <v>41974</v>
      </c>
      <c r="I666" s="1">
        <f>_xlfn.XLOOKUP(E666,Product!$A$2:$A$7,Product!$C$2:$C$7)</f>
        <v>300</v>
      </c>
      <c r="J666" s="22">
        <f t="shared" si="31"/>
        <v>798900</v>
      </c>
      <c r="K666" s="22">
        <f t="shared" si="32"/>
        <v>758955</v>
      </c>
      <c r="L666" s="22">
        <f>K666-(_xlfn.XLOOKUP(E666,Product!$A$2:$A$7,Product!$B$2:$B$7)*F666)</f>
        <v>93205</v>
      </c>
      <c r="M666">
        <f>YEAR(Table1[[#This Row],[Order date]])</f>
        <v>2014</v>
      </c>
      <c r="N666" s="22" t="str" cm="1">
        <f t="array" ref="N666">_xlfn.IFS(G666=0,"No Discount", ROUND(G666*100,0)&lt;=4,"Low", ROUND(G666*100,0)&lt;=9,"Medium", ROUND(G666*100,0)&lt;=15,"High")</f>
        <v>Medium</v>
      </c>
      <c r="O666" s="22" t="str">
        <f>TEXT(Table1[[#This Row],[Order date]],"mmmm")</f>
        <v>December</v>
      </c>
    </row>
    <row r="667" spans="1:15" ht="13.5" x14ac:dyDescent="0.25">
      <c r="A667" s="1" t="str">
        <f>"ORD"&amp;"-"&amp;_xlfn.XLOOKUP(C667,Guide!$B$22:$B$26,Guide!$C$22:$C$26)&amp;"-"&amp;_xlfn.XLOOKUP(D667,Guide!$B$29:$B$33,Guide!$C$29:$C$33)&amp;"-"&amp;TEXT(H667,"yyyymmdd")</f>
        <v>ORD-GER-SMB-20141201</v>
      </c>
      <c r="B667" s="1" t="s">
        <v>622</v>
      </c>
      <c r="C667" s="1" t="s">
        <v>29</v>
      </c>
      <c r="D667" s="1" t="s">
        <v>47</v>
      </c>
      <c r="E667" s="1" t="s">
        <v>84</v>
      </c>
      <c r="F667" s="2">
        <v>1250</v>
      </c>
      <c r="G667" s="4">
        <v>0.05</v>
      </c>
      <c r="H667" s="3">
        <f t="shared" si="30"/>
        <v>41974</v>
      </c>
      <c r="I667" s="1">
        <f>_xlfn.XLOOKUP(E667,Product!$A$2:$A$7,Product!$C$2:$C$7)</f>
        <v>350</v>
      </c>
      <c r="J667" s="22">
        <f t="shared" si="31"/>
        <v>437500</v>
      </c>
      <c r="K667" s="22">
        <f t="shared" si="32"/>
        <v>415625</v>
      </c>
      <c r="L667" s="22">
        <f>K667-(_xlfn.XLOOKUP(E667,Product!$A$2:$A$7,Product!$B$2:$B$7)*F667)</f>
        <v>165625</v>
      </c>
      <c r="M667">
        <f>YEAR(Table1[[#This Row],[Order date]])</f>
        <v>2014</v>
      </c>
      <c r="N667" s="22" t="str" cm="1">
        <f t="array" ref="N667">_xlfn.IFS(G667=0,"No Discount", ROUND(G667*100,0)&lt;=4,"Low", ROUND(G667*100,0)&lt;=9,"Medium", ROUND(G667*100,0)&lt;=15,"High")</f>
        <v>Medium</v>
      </c>
      <c r="O667" s="22" t="str">
        <f>TEXT(Table1[[#This Row],[Order date]],"mmmm")</f>
        <v>December</v>
      </c>
    </row>
    <row r="668" spans="1:15" ht="13.5" x14ac:dyDescent="0.25">
      <c r="A668" s="1" t="str">
        <f>"ORD"&amp;"-"&amp;_xlfn.XLOOKUP(C668,Guide!$B$22:$B$26,Guide!$C$22:$C$26)&amp;"-"&amp;_xlfn.XLOOKUP(D668,Guide!$B$29:$B$33,Guide!$C$29:$C$33)&amp;"-"&amp;TEXT(H668,"yyyymmdd")</f>
        <v>ORD-CND-GOV-20141201</v>
      </c>
      <c r="B668" s="1" t="s">
        <v>623</v>
      </c>
      <c r="C668" s="1" t="s">
        <v>27</v>
      </c>
      <c r="D668" s="1" t="s">
        <v>39</v>
      </c>
      <c r="E668" s="1" t="s">
        <v>78</v>
      </c>
      <c r="F668" s="2">
        <v>1582</v>
      </c>
      <c r="G668" s="4">
        <v>6.9999999999999993E-2</v>
      </c>
      <c r="H668" s="3">
        <f t="shared" si="30"/>
        <v>41974</v>
      </c>
      <c r="I668" s="1">
        <f>_xlfn.XLOOKUP(E668,Product!$A$2:$A$7,Product!$C$2:$C$7)</f>
        <v>300</v>
      </c>
      <c r="J668" s="22">
        <f t="shared" si="31"/>
        <v>474600</v>
      </c>
      <c r="K668" s="22">
        <f t="shared" si="32"/>
        <v>441378</v>
      </c>
      <c r="L668" s="22">
        <f>K668-(_xlfn.XLOOKUP(E668,Product!$A$2:$A$7,Product!$B$2:$B$7)*F668)</f>
        <v>45878</v>
      </c>
      <c r="M668">
        <f>YEAR(Table1[[#This Row],[Order date]])</f>
        <v>2014</v>
      </c>
      <c r="N668" s="22" t="str" cm="1">
        <f t="array" ref="N668">_xlfn.IFS(G668=0,"No Discount", ROUND(G668*100,0)&lt;=4,"Low", ROUND(G668*100,0)&lt;=9,"Medium", ROUND(G668*100,0)&lt;=15,"High")</f>
        <v>Medium</v>
      </c>
      <c r="O668" s="22" t="str">
        <f>TEXT(Table1[[#This Row],[Order date]],"mmmm")</f>
        <v>December</v>
      </c>
    </row>
    <row r="669" spans="1:15" ht="13.5" x14ac:dyDescent="0.25">
      <c r="A669" s="1" t="str">
        <f>"ORD"&amp;"-"&amp;_xlfn.XLOOKUP(C669,Guide!$B$22:$B$26,Guide!$C$22:$C$26)&amp;"-"&amp;_xlfn.XLOOKUP(D669,Guide!$B$29:$B$33,Guide!$C$29:$C$33)&amp;"-"&amp;TEXT(H669,"yyyymmdd")</f>
        <v>ORD-CND-GOV-20141201</v>
      </c>
      <c r="B669" s="1" t="s">
        <v>623</v>
      </c>
      <c r="C669" s="1" t="s">
        <v>27</v>
      </c>
      <c r="D669" s="1" t="s">
        <v>39</v>
      </c>
      <c r="E669" s="1" t="s">
        <v>88</v>
      </c>
      <c r="F669" s="2">
        <v>1582</v>
      </c>
      <c r="G669" s="4">
        <v>6.9999999999999993E-2</v>
      </c>
      <c r="H669" s="3">
        <f t="shared" si="30"/>
        <v>41974</v>
      </c>
      <c r="I669" s="1">
        <f>_xlfn.XLOOKUP(E669,Product!$A$2:$A$7,Product!$C$2:$C$7)</f>
        <v>180</v>
      </c>
      <c r="J669" s="22">
        <f t="shared" si="31"/>
        <v>284760</v>
      </c>
      <c r="K669" s="22">
        <f t="shared" si="32"/>
        <v>264826.8</v>
      </c>
      <c r="L669" s="22">
        <f>K669-(_xlfn.XLOOKUP(E669,Product!$A$2:$A$7,Product!$B$2:$B$7)*F669)</f>
        <v>74986.799999999988</v>
      </c>
      <c r="M669">
        <f>YEAR(Table1[[#This Row],[Order date]])</f>
        <v>2014</v>
      </c>
      <c r="N669" s="22" t="str" cm="1">
        <f t="array" ref="N669">_xlfn.IFS(G669=0,"No Discount", ROUND(G669*100,0)&lt;=4,"Low", ROUND(G669*100,0)&lt;=9,"Medium", ROUND(G669*100,0)&lt;=15,"High")</f>
        <v>Medium</v>
      </c>
      <c r="O669" s="22" t="str">
        <f>TEXT(Table1[[#This Row],[Order date]],"mmmm")</f>
        <v>December</v>
      </c>
    </row>
    <row r="670" spans="1:15" ht="13.5" x14ac:dyDescent="0.25">
      <c r="A670" s="1" t="str">
        <f>"ORD"&amp;"-"&amp;_xlfn.XLOOKUP(C670,Guide!$B$22:$B$26,Guide!$C$22:$C$26)&amp;"-"&amp;_xlfn.XLOOKUP(D670,Guide!$B$29:$B$33,Guide!$C$29:$C$33)&amp;"-"&amp;TEXT(H670,"yyyymmdd")</f>
        <v>ORD-USA-SMB-20141201</v>
      </c>
      <c r="B670" s="1" t="s">
        <v>624</v>
      </c>
      <c r="C670" s="1" t="s">
        <v>35</v>
      </c>
      <c r="D670" s="1" t="s">
        <v>47</v>
      </c>
      <c r="E670" s="1" t="s">
        <v>88</v>
      </c>
      <c r="F670" s="2">
        <v>1372</v>
      </c>
      <c r="G670" s="4">
        <v>7.0000000000000007E-2</v>
      </c>
      <c r="H670" s="3">
        <f t="shared" si="30"/>
        <v>41974</v>
      </c>
      <c r="I670" s="1">
        <f>_xlfn.XLOOKUP(E670,Product!$A$2:$A$7,Product!$C$2:$C$7)</f>
        <v>180</v>
      </c>
      <c r="J670" s="22">
        <f t="shared" si="31"/>
        <v>246960</v>
      </c>
      <c r="K670" s="22">
        <f t="shared" si="32"/>
        <v>229672.8</v>
      </c>
      <c r="L670" s="22">
        <f>K670-(_xlfn.XLOOKUP(E670,Product!$A$2:$A$7,Product!$B$2:$B$7)*F670)</f>
        <v>65032.799999999988</v>
      </c>
      <c r="M670">
        <f>YEAR(Table1[[#This Row],[Order date]])</f>
        <v>2014</v>
      </c>
      <c r="N670" s="22" t="str" cm="1">
        <f t="array" ref="N670">_xlfn.IFS(G670=0,"No Discount", ROUND(G670*100,0)&lt;=4,"Low", ROUND(G670*100,0)&lt;=9,"Medium", ROUND(G670*100,0)&lt;=15,"High")</f>
        <v>Medium</v>
      </c>
      <c r="O670" s="22" t="str">
        <f>TEXT(Table1[[#This Row],[Order date]],"mmmm")</f>
        <v>December</v>
      </c>
    </row>
    <row r="671" spans="1:15" ht="13.5" x14ac:dyDescent="0.25">
      <c r="A671" s="1" t="str">
        <f>"ORD"&amp;"-"&amp;_xlfn.XLOOKUP(C671,Guide!$B$22:$B$26,Guide!$C$22:$C$26)&amp;"-"&amp;_xlfn.XLOOKUP(D671,Guide!$B$29:$B$33,Guide!$C$29:$C$33)&amp;"-"&amp;TEXT(H671,"yyyymmdd")</f>
        <v>ORD-USA-SMB-20141201</v>
      </c>
      <c r="B671" s="1" t="s">
        <v>624</v>
      </c>
      <c r="C671" s="1" t="s">
        <v>35</v>
      </c>
      <c r="D671" s="1" t="s">
        <v>47</v>
      </c>
      <c r="E671" s="1" t="s">
        <v>84</v>
      </c>
      <c r="F671" s="2">
        <v>1372</v>
      </c>
      <c r="G671" s="4">
        <v>7.0000000000000007E-2</v>
      </c>
      <c r="H671" s="3">
        <f t="shared" si="30"/>
        <v>41974</v>
      </c>
      <c r="I671" s="1">
        <f>_xlfn.XLOOKUP(E671,Product!$A$2:$A$7,Product!$C$2:$C$7)</f>
        <v>350</v>
      </c>
      <c r="J671" s="22">
        <f t="shared" si="31"/>
        <v>480200</v>
      </c>
      <c r="K671" s="22">
        <f t="shared" si="32"/>
        <v>446585.99999999994</v>
      </c>
      <c r="L671" s="22">
        <f>K671-(_xlfn.XLOOKUP(E671,Product!$A$2:$A$7,Product!$B$2:$B$7)*F671)</f>
        <v>172185.99999999994</v>
      </c>
      <c r="M671">
        <f>YEAR(Table1[[#This Row],[Order date]])</f>
        <v>2014</v>
      </c>
      <c r="N671" s="22" t="str" cm="1">
        <f t="array" ref="N671">_xlfn.IFS(G671=0,"No Discount", ROUND(G671*100,0)&lt;=4,"Low", ROUND(G671*100,0)&lt;=9,"Medium", ROUND(G671*100,0)&lt;=15,"High")</f>
        <v>Medium</v>
      </c>
      <c r="O671" s="22" t="str">
        <f>TEXT(Table1[[#This Row],[Order date]],"mmmm")</f>
        <v>December</v>
      </c>
    </row>
    <row r="672" spans="1:15" ht="13.5" x14ac:dyDescent="0.25">
      <c r="A672" s="1" t="str">
        <f>"ORD"&amp;"-"&amp;_xlfn.XLOOKUP(C672,Guide!$B$22:$B$26,Guide!$C$22:$C$26)&amp;"-"&amp;_xlfn.XLOOKUP(D672,Guide!$B$29:$B$33,Guide!$C$29:$C$33)&amp;"-"&amp;TEXT(H672,"yyyymmdd")</f>
        <v>ORD-GER-MDM-20141201</v>
      </c>
      <c r="B672" s="1" t="s">
        <v>625</v>
      </c>
      <c r="C672" s="1" t="s">
        <v>29</v>
      </c>
      <c r="D672" s="1" t="s">
        <v>41</v>
      </c>
      <c r="E672" s="1" t="s">
        <v>82</v>
      </c>
      <c r="F672" s="2">
        <v>711</v>
      </c>
      <c r="G672" s="4">
        <v>0.08</v>
      </c>
      <c r="H672" s="3">
        <f t="shared" si="30"/>
        <v>41974</v>
      </c>
      <c r="I672" s="1">
        <f>_xlfn.XLOOKUP(E672,Product!$A$2:$A$7,Product!$C$2:$C$7)</f>
        <v>15</v>
      </c>
      <c r="J672" s="22">
        <f t="shared" si="31"/>
        <v>10665</v>
      </c>
      <c r="K672" s="22">
        <f t="shared" si="32"/>
        <v>9811.8000000000011</v>
      </c>
      <c r="L672" s="22">
        <f>K672-(_xlfn.XLOOKUP(E672,Product!$A$2:$A$7,Product!$B$2:$B$7)*F672)</f>
        <v>6256.8000000000011</v>
      </c>
      <c r="M672">
        <f>YEAR(Table1[[#This Row],[Order date]])</f>
        <v>2014</v>
      </c>
      <c r="N672" s="22" t="str" cm="1">
        <f t="array" ref="N672">_xlfn.IFS(G672=0,"No Discount", ROUND(G672*100,0)&lt;=4,"Low", ROUND(G672*100,0)&lt;=9,"Medium", ROUND(G672*100,0)&lt;=15,"High")</f>
        <v>Medium</v>
      </c>
      <c r="O672" s="22" t="str">
        <f>TEXT(Table1[[#This Row],[Order date]],"mmmm")</f>
        <v>December</v>
      </c>
    </row>
    <row r="673" spans="1:15" ht="13.5" x14ac:dyDescent="0.25">
      <c r="A673" s="1" t="str">
        <f>"ORD"&amp;"-"&amp;_xlfn.XLOOKUP(C673,Guide!$B$22:$B$26,Guide!$C$22:$C$26)&amp;"-"&amp;_xlfn.XLOOKUP(D673,Guide!$B$29:$B$33,Guide!$C$29:$C$33)&amp;"-"&amp;TEXT(H673,"yyyymmdd")</f>
        <v>ORD-MXC-GOV-20141201</v>
      </c>
      <c r="B673" s="1" t="s">
        <v>626</v>
      </c>
      <c r="C673" s="1" t="s">
        <v>33</v>
      </c>
      <c r="D673" s="1" t="s">
        <v>39</v>
      </c>
      <c r="E673" s="1" t="s">
        <v>75</v>
      </c>
      <c r="F673" s="2">
        <v>1362</v>
      </c>
      <c r="G673" s="4">
        <v>0.08</v>
      </c>
      <c r="H673" s="3">
        <f t="shared" si="30"/>
        <v>41974</v>
      </c>
      <c r="I673" s="1">
        <f>_xlfn.XLOOKUP(E673,Product!$A$2:$A$7,Product!$C$2:$C$7)</f>
        <v>20</v>
      </c>
      <c r="J673" s="22">
        <f t="shared" si="31"/>
        <v>27240</v>
      </c>
      <c r="K673" s="22">
        <f t="shared" si="32"/>
        <v>25060.799999999999</v>
      </c>
      <c r="L673" s="22">
        <f>K673-(_xlfn.XLOOKUP(E673,Product!$A$2:$A$7,Product!$B$2:$B$7)*F673)</f>
        <v>11440.8</v>
      </c>
      <c r="M673">
        <f>YEAR(Table1[[#This Row],[Order date]])</f>
        <v>2014</v>
      </c>
      <c r="N673" s="22" t="str" cm="1">
        <f t="array" ref="N673">_xlfn.IFS(G673=0,"No Discount", ROUND(G673*100,0)&lt;=4,"Low", ROUND(G673*100,0)&lt;=9,"Medium", ROUND(G673*100,0)&lt;=15,"High")</f>
        <v>Medium</v>
      </c>
      <c r="O673" s="22" t="str">
        <f>TEXT(Table1[[#This Row],[Order date]],"mmmm")</f>
        <v>December</v>
      </c>
    </row>
    <row r="674" spans="1:15" ht="13.5" x14ac:dyDescent="0.25">
      <c r="A674" s="1" t="str">
        <f>"ORD"&amp;"-"&amp;_xlfn.XLOOKUP(C674,Guide!$B$22:$B$26,Guide!$C$22:$C$26)&amp;"-"&amp;_xlfn.XLOOKUP(D674,Guide!$B$29:$B$33,Guide!$C$29:$C$33)&amp;"-"&amp;TEXT(H674,"yyyymmdd")</f>
        <v>ORD-MXC-GOV-20141201</v>
      </c>
      <c r="B674" s="1" t="s">
        <v>626</v>
      </c>
      <c r="C674" s="1" t="s">
        <v>33</v>
      </c>
      <c r="D674" s="1" t="s">
        <v>39</v>
      </c>
      <c r="E674" s="1" t="s">
        <v>80</v>
      </c>
      <c r="F674" s="2">
        <v>1362</v>
      </c>
      <c r="G674" s="4">
        <v>0.08</v>
      </c>
      <c r="H674" s="3">
        <f t="shared" si="30"/>
        <v>41974</v>
      </c>
      <c r="I674" s="1">
        <f>_xlfn.XLOOKUP(E674,Product!$A$2:$A$7,Product!$C$2:$C$7)</f>
        <v>20</v>
      </c>
      <c r="J674" s="22">
        <f t="shared" si="31"/>
        <v>27240</v>
      </c>
      <c r="K674" s="22">
        <f t="shared" si="32"/>
        <v>25060.799999999999</v>
      </c>
      <c r="L674" s="22">
        <f>K674-(_xlfn.XLOOKUP(E674,Product!$A$2:$A$7,Product!$B$2:$B$7)*F674)</f>
        <v>20974.799999999999</v>
      </c>
      <c r="M674">
        <f>YEAR(Table1[[#This Row],[Order date]])</f>
        <v>2014</v>
      </c>
      <c r="N674" s="22" t="str" cm="1">
        <f t="array" ref="N674">_xlfn.IFS(G674=0,"No Discount", ROUND(G674*100,0)&lt;=4,"Low", ROUND(G674*100,0)&lt;=9,"Medium", ROUND(G674*100,0)&lt;=15,"High")</f>
        <v>Medium</v>
      </c>
      <c r="O674" s="22" t="str">
        <f>TEXT(Table1[[#This Row],[Order date]],"mmmm")</f>
        <v>December</v>
      </c>
    </row>
    <row r="675" spans="1:15" ht="13.5" x14ac:dyDescent="0.25">
      <c r="A675" s="1" t="str">
        <f>"ORD"&amp;"-"&amp;_xlfn.XLOOKUP(C675,Guide!$B$22:$B$26,Guide!$C$22:$C$26)&amp;"-"&amp;_xlfn.XLOOKUP(D675,Guide!$B$29:$B$33,Guide!$C$29:$C$33)&amp;"-"&amp;TEXT(H675,"yyyymmdd")</f>
        <v>ORD-MXC-SMB-20141201</v>
      </c>
      <c r="B675" s="1" t="s">
        <v>627</v>
      </c>
      <c r="C675" s="1" t="s">
        <v>33</v>
      </c>
      <c r="D675" s="1" t="s">
        <v>47</v>
      </c>
      <c r="E675" s="1" t="s">
        <v>88</v>
      </c>
      <c r="F675" s="2">
        <v>635</v>
      </c>
      <c r="G675" s="4">
        <v>0.08</v>
      </c>
      <c r="H675" s="3">
        <f t="shared" si="30"/>
        <v>41974</v>
      </c>
      <c r="I675" s="1">
        <f>_xlfn.XLOOKUP(E675,Product!$A$2:$A$7,Product!$C$2:$C$7)</f>
        <v>180</v>
      </c>
      <c r="J675" s="22">
        <f t="shared" si="31"/>
        <v>114300</v>
      </c>
      <c r="K675" s="22">
        <f t="shared" si="32"/>
        <v>105156</v>
      </c>
      <c r="L675" s="22">
        <f>K675-(_xlfn.XLOOKUP(E675,Product!$A$2:$A$7,Product!$B$2:$B$7)*F675)</f>
        <v>28956</v>
      </c>
      <c r="M675">
        <f>YEAR(Table1[[#This Row],[Order date]])</f>
        <v>2014</v>
      </c>
      <c r="N675" s="22" t="str" cm="1">
        <f t="array" ref="N675">_xlfn.IFS(G675=0,"No Discount", ROUND(G675*100,0)&lt;=4,"Low", ROUND(G675*100,0)&lt;=9,"Medium", ROUND(G675*100,0)&lt;=15,"High")</f>
        <v>Medium</v>
      </c>
      <c r="O675" s="22" t="str">
        <f>TEXT(Table1[[#This Row],[Order date]],"mmmm")</f>
        <v>December</v>
      </c>
    </row>
    <row r="676" spans="1:15" ht="13.5" x14ac:dyDescent="0.25">
      <c r="A676" s="1" t="str">
        <f>"ORD"&amp;"-"&amp;_xlfn.XLOOKUP(C676,Guide!$B$22:$B$26,Guide!$C$22:$C$26)&amp;"-"&amp;_xlfn.XLOOKUP(D676,Guide!$B$29:$B$33,Guide!$C$29:$C$33)&amp;"-"&amp;TEXT(H676,"yyyymmdd")</f>
        <v>ORD-MXC-SMB-20141201</v>
      </c>
      <c r="B676" s="1" t="s">
        <v>627</v>
      </c>
      <c r="C676" s="1" t="s">
        <v>33</v>
      </c>
      <c r="D676" s="1" t="s">
        <v>47</v>
      </c>
      <c r="E676" s="1" t="s">
        <v>84</v>
      </c>
      <c r="F676" s="2">
        <v>635</v>
      </c>
      <c r="G676" s="4">
        <v>0.08</v>
      </c>
      <c r="H676" s="3">
        <f t="shared" si="30"/>
        <v>41974</v>
      </c>
      <c r="I676" s="1">
        <f>_xlfn.XLOOKUP(E676,Product!$A$2:$A$7,Product!$C$2:$C$7)</f>
        <v>350</v>
      </c>
      <c r="J676" s="22">
        <f t="shared" si="31"/>
        <v>222250</v>
      </c>
      <c r="K676" s="22">
        <f t="shared" si="32"/>
        <v>204470</v>
      </c>
      <c r="L676" s="22">
        <f>K676-(_xlfn.XLOOKUP(E676,Product!$A$2:$A$7,Product!$B$2:$B$7)*F676)</f>
        <v>77470</v>
      </c>
      <c r="M676">
        <f>YEAR(Table1[[#This Row],[Order date]])</f>
        <v>2014</v>
      </c>
      <c r="N676" s="22" t="str" cm="1">
        <f t="array" ref="N676">_xlfn.IFS(G676=0,"No Discount", ROUND(G676*100,0)&lt;=4,"Low", ROUND(G676*100,0)&lt;=9,"Medium", ROUND(G676*100,0)&lt;=15,"High")</f>
        <v>Medium</v>
      </c>
      <c r="O676" s="22" t="str">
        <f>TEXT(Table1[[#This Row],[Order date]],"mmmm")</f>
        <v>December</v>
      </c>
    </row>
    <row r="677" spans="1:15" ht="13.5" x14ac:dyDescent="0.25">
      <c r="A677" s="1" t="str">
        <f>"ORD"&amp;"-"&amp;_xlfn.XLOOKUP(C677,Guide!$B$22:$B$26,Guide!$C$22:$C$26)&amp;"-"&amp;_xlfn.XLOOKUP(D677,Guide!$B$29:$B$33,Guide!$C$29:$C$33)&amp;"-"&amp;TEXT(H677,"yyyymmdd")</f>
        <v>ORD-GER-MDM-20141201</v>
      </c>
      <c r="B677" s="1" t="s">
        <v>625</v>
      </c>
      <c r="C677" s="1" t="s">
        <v>29</v>
      </c>
      <c r="D677" s="1" t="s">
        <v>41</v>
      </c>
      <c r="E677" s="1" t="s">
        <v>84</v>
      </c>
      <c r="F677" s="2">
        <v>711</v>
      </c>
      <c r="G677" s="4">
        <v>0.08</v>
      </c>
      <c r="H677" s="3">
        <f t="shared" si="30"/>
        <v>41974</v>
      </c>
      <c r="I677" s="1">
        <f>_xlfn.XLOOKUP(E677,Product!$A$2:$A$7,Product!$C$2:$C$7)</f>
        <v>350</v>
      </c>
      <c r="J677" s="22">
        <f t="shared" si="31"/>
        <v>248850</v>
      </c>
      <c r="K677" s="22">
        <f t="shared" si="32"/>
        <v>228942</v>
      </c>
      <c r="L677" s="22">
        <f>K677-(_xlfn.XLOOKUP(E677,Product!$A$2:$A$7,Product!$B$2:$B$7)*F677)</f>
        <v>86742</v>
      </c>
      <c r="M677">
        <f>YEAR(Table1[[#This Row],[Order date]])</f>
        <v>2014</v>
      </c>
      <c r="N677" s="22" t="str" cm="1">
        <f t="array" ref="N677">_xlfn.IFS(G677=0,"No Discount", ROUND(G677*100,0)&lt;=4,"Low", ROUND(G677*100,0)&lt;=9,"Medium", ROUND(G677*100,0)&lt;=15,"High")</f>
        <v>Medium</v>
      </c>
      <c r="O677" s="22" t="str">
        <f>TEXT(Table1[[#This Row],[Order date]],"mmmm")</f>
        <v>December</v>
      </c>
    </row>
    <row r="678" spans="1:15" ht="13.5" x14ac:dyDescent="0.25">
      <c r="A678" s="1" t="str">
        <f>"ORD"&amp;"-"&amp;_xlfn.XLOOKUP(C678,Guide!$B$22:$B$26,Guide!$C$22:$C$26)&amp;"-"&amp;_xlfn.XLOOKUP(D678,Guide!$B$29:$B$33,Guide!$C$29:$C$33)&amp;"-"&amp;TEXT(H678,"yyyymmdd")</f>
        <v>ORD-USA-ENT-20141201</v>
      </c>
      <c r="B678" s="1" t="s">
        <v>628</v>
      </c>
      <c r="C678" s="1" t="s">
        <v>35</v>
      </c>
      <c r="D678" s="1" t="s">
        <v>45</v>
      </c>
      <c r="E678" s="1" t="s">
        <v>75</v>
      </c>
      <c r="F678" s="2">
        <v>2797</v>
      </c>
      <c r="G678" s="4">
        <v>0.09</v>
      </c>
      <c r="H678" s="3">
        <f t="shared" si="30"/>
        <v>41974</v>
      </c>
      <c r="I678" s="1">
        <f>_xlfn.XLOOKUP(E678,Product!$A$2:$A$7,Product!$C$2:$C$7)</f>
        <v>20</v>
      </c>
      <c r="J678" s="22">
        <f t="shared" si="31"/>
        <v>55940</v>
      </c>
      <c r="K678" s="22">
        <f t="shared" si="32"/>
        <v>50905.4</v>
      </c>
      <c r="L678" s="22">
        <f>K678-(_xlfn.XLOOKUP(E678,Product!$A$2:$A$7,Product!$B$2:$B$7)*F678)</f>
        <v>22935.4</v>
      </c>
      <c r="M678">
        <f>YEAR(Table1[[#This Row],[Order date]])</f>
        <v>2014</v>
      </c>
      <c r="N678" s="22" t="str" cm="1">
        <f t="array" ref="N678">_xlfn.IFS(G678=0,"No Discount", ROUND(G678*100,0)&lt;=4,"Low", ROUND(G678*100,0)&lt;=9,"Medium", ROUND(G678*100,0)&lt;=15,"High")</f>
        <v>Medium</v>
      </c>
      <c r="O678" s="22" t="str">
        <f>TEXT(Table1[[#This Row],[Order date]],"mmmm")</f>
        <v>December</v>
      </c>
    </row>
    <row r="679" spans="1:15" ht="13.5" x14ac:dyDescent="0.25">
      <c r="A679" s="1" t="str">
        <f>"ORD"&amp;"-"&amp;_xlfn.XLOOKUP(C679,Guide!$B$22:$B$26,Guide!$C$22:$C$26)&amp;"-"&amp;_xlfn.XLOOKUP(D679,Guide!$B$29:$B$33,Guide!$C$29:$C$33)&amp;"-"&amp;TEXT(H679,"yyyymmdd")</f>
        <v>ORD-USA-ENT-20141201</v>
      </c>
      <c r="B679" s="1" t="s">
        <v>628</v>
      </c>
      <c r="C679" s="1" t="s">
        <v>35</v>
      </c>
      <c r="D679" s="1" t="s">
        <v>45</v>
      </c>
      <c r="E679" s="1" t="s">
        <v>82</v>
      </c>
      <c r="F679" s="2">
        <v>2797</v>
      </c>
      <c r="G679" s="4">
        <v>0.09</v>
      </c>
      <c r="H679" s="3">
        <f t="shared" si="30"/>
        <v>41974</v>
      </c>
      <c r="I679" s="1">
        <f>_xlfn.XLOOKUP(E679,Product!$A$2:$A$7,Product!$C$2:$C$7)</f>
        <v>15</v>
      </c>
      <c r="J679" s="22">
        <f t="shared" si="31"/>
        <v>41955</v>
      </c>
      <c r="K679" s="22">
        <f t="shared" si="32"/>
        <v>38179.050000000003</v>
      </c>
      <c r="L679" s="22">
        <f>K679-(_xlfn.XLOOKUP(E679,Product!$A$2:$A$7,Product!$B$2:$B$7)*F679)</f>
        <v>24194.050000000003</v>
      </c>
      <c r="M679">
        <f>YEAR(Table1[[#This Row],[Order date]])</f>
        <v>2014</v>
      </c>
      <c r="N679" s="22" t="str" cm="1">
        <f t="array" ref="N679">_xlfn.IFS(G679=0,"No Discount", ROUND(G679*100,0)&lt;=4,"Low", ROUND(G679*100,0)&lt;=9,"Medium", ROUND(G679*100,0)&lt;=15,"High")</f>
        <v>Medium</v>
      </c>
      <c r="O679" s="22" t="str">
        <f>TEXT(Table1[[#This Row],[Order date]],"mmmm")</f>
        <v>December</v>
      </c>
    </row>
    <row r="680" spans="1:15" ht="13.5" x14ac:dyDescent="0.25">
      <c r="A680" s="1" t="str">
        <f>"ORD"&amp;"-"&amp;_xlfn.XLOOKUP(C680,Guide!$B$22:$B$26,Guide!$C$22:$C$26)&amp;"-"&amp;_xlfn.XLOOKUP(D680,Guide!$B$29:$B$33,Guide!$C$29:$C$33)&amp;"-"&amp;TEXT(H680,"yyyymmdd")</f>
        <v>ORD-MXC-GOV-20141201</v>
      </c>
      <c r="B680" s="1" t="s">
        <v>629</v>
      </c>
      <c r="C680" s="1" t="s">
        <v>33</v>
      </c>
      <c r="D680" s="1" t="s">
        <v>39</v>
      </c>
      <c r="E680" s="1" t="s">
        <v>80</v>
      </c>
      <c r="F680" s="2">
        <v>521</v>
      </c>
      <c r="G680" s="4">
        <v>9.0000000000000011E-2</v>
      </c>
      <c r="H680" s="3">
        <f t="shared" si="30"/>
        <v>41974</v>
      </c>
      <c r="I680" s="1">
        <f>_xlfn.XLOOKUP(E680,Product!$A$2:$A$7,Product!$C$2:$C$7)</f>
        <v>20</v>
      </c>
      <c r="J680" s="22">
        <f t="shared" si="31"/>
        <v>10420</v>
      </c>
      <c r="K680" s="22">
        <f t="shared" si="32"/>
        <v>9482.2000000000007</v>
      </c>
      <c r="L680" s="22">
        <f>K680-(_xlfn.XLOOKUP(E680,Product!$A$2:$A$7,Product!$B$2:$B$7)*F680)</f>
        <v>7919.2000000000007</v>
      </c>
      <c r="M680">
        <f>YEAR(Table1[[#This Row],[Order date]])</f>
        <v>2014</v>
      </c>
      <c r="N680" s="22" t="str" cm="1">
        <f t="array" ref="N680">_xlfn.IFS(G680=0,"No Discount", ROUND(G680*100,0)&lt;=4,"Low", ROUND(G680*100,0)&lt;=9,"Medium", ROUND(G680*100,0)&lt;=15,"High")</f>
        <v>Medium</v>
      </c>
      <c r="O680" s="22" t="str">
        <f>TEXT(Table1[[#This Row],[Order date]],"mmmm")</f>
        <v>December</v>
      </c>
    </row>
    <row r="681" spans="1:15" ht="13.5" x14ac:dyDescent="0.25">
      <c r="A681" s="1" t="str">
        <f>"ORD"&amp;"-"&amp;_xlfn.XLOOKUP(C681,Guide!$B$22:$B$26,Guide!$C$22:$C$26)&amp;"-"&amp;_xlfn.XLOOKUP(D681,Guide!$B$29:$B$33,Guide!$C$29:$C$33)&amp;"-"&amp;TEXT(H681,"yyyymmdd")</f>
        <v>ORD-MXC-GOV-20141201</v>
      </c>
      <c r="B681" s="1" t="s">
        <v>629</v>
      </c>
      <c r="C681" s="1" t="s">
        <v>33</v>
      </c>
      <c r="D681" s="1" t="s">
        <v>39</v>
      </c>
      <c r="E681" s="1" t="s">
        <v>78</v>
      </c>
      <c r="F681" s="2">
        <v>521</v>
      </c>
      <c r="G681" s="4">
        <v>9.0000000000000011E-2</v>
      </c>
      <c r="H681" s="3">
        <f t="shared" si="30"/>
        <v>41974</v>
      </c>
      <c r="I681" s="1">
        <f>_xlfn.XLOOKUP(E681,Product!$A$2:$A$7,Product!$C$2:$C$7)</f>
        <v>300</v>
      </c>
      <c r="J681" s="22">
        <f t="shared" si="31"/>
        <v>156300</v>
      </c>
      <c r="K681" s="22">
        <f t="shared" si="32"/>
        <v>142233</v>
      </c>
      <c r="L681" s="22">
        <f>K681-(_xlfn.XLOOKUP(E681,Product!$A$2:$A$7,Product!$B$2:$B$7)*F681)</f>
        <v>11983</v>
      </c>
      <c r="M681">
        <f>YEAR(Table1[[#This Row],[Order date]])</f>
        <v>2014</v>
      </c>
      <c r="N681" s="22" t="str" cm="1">
        <f t="array" ref="N681">_xlfn.IFS(G681=0,"No Discount", ROUND(G681*100,0)&lt;=4,"Low", ROUND(G681*100,0)&lt;=9,"Medium", ROUND(G681*100,0)&lt;=15,"High")</f>
        <v>Medium</v>
      </c>
      <c r="O681" s="22" t="str">
        <f>TEXT(Table1[[#This Row],[Order date]],"mmmm")</f>
        <v>December</v>
      </c>
    </row>
    <row r="682" spans="1:15" ht="13.5" x14ac:dyDescent="0.25">
      <c r="A682" s="1" t="str">
        <f>"ORD"&amp;"-"&amp;_xlfn.XLOOKUP(C682,Guide!$B$22:$B$26,Guide!$C$22:$C$26)&amp;"-"&amp;_xlfn.XLOOKUP(D682,Guide!$B$29:$B$33,Guide!$C$29:$C$33)&amp;"-"&amp;TEXT(H682,"yyyymmdd")</f>
        <v>ORD-FRA-MDM-20141201</v>
      </c>
      <c r="B682" s="1" t="s">
        <v>630</v>
      </c>
      <c r="C682" s="1" t="s">
        <v>31</v>
      </c>
      <c r="D682" s="1" t="s">
        <v>41</v>
      </c>
      <c r="E682" s="1" t="s">
        <v>82</v>
      </c>
      <c r="F682" s="2">
        <v>2072</v>
      </c>
      <c r="G682" s="4">
        <v>0.1</v>
      </c>
      <c r="H682" s="3">
        <f t="shared" si="30"/>
        <v>41974</v>
      </c>
      <c r="I682" s="1">
        <f>_xlfn.XLOOKUP(E682,Product!$A$2:$A$7,Product!$C$2:$C$7)</f>
        <v>15</v>
      </c>
      <c r="J682" s="22">
        <f t="shared" si="31"/>
        <v>31080</v>
      </c>
      <c r="K682" s="22">
        <f t="shared" si="32"/>
        <v>27972</v>
      </c>
      <c r="L682" s="22">
        <f>K682-(_xlfn.XLOOKUP(E682,Product!$A$2:$A$7,Product!$B$2:$B$7)*F682)</f>
        <v>17612</v>
      </c>
      <c r="M682">
        <f>YEAR(Table1[[#This Row],[Order date]])</f>
        <v>2014</v>
      </c>
      <c r="N682" s="22" t="str" cm="1">
        <f t="array" ref="N682">_xlfn.IFS(G682=0,"No Discount", ROUND(G682*100,0)&lt;=4,"Low", ROUND(G682*100,0)&lt;=9,"Medium", ROUND(G682*100,0)&lt;=15,"High")</f>
        <v>High</v>
      </c>
      <c r="O682" s="22" t="str">
        <f>TEXT(Table1[[#This Row],[Order date]],"mmmm")</f>
        <v>December</v>
      </c>
    </row>
    <row r="683" spans="1:15" ht="13.5" x14ac:dyDescent="0.25">
      <c r="A683" s="1" t="str">
        <f>"ORD"&amp;"-"&amp;_xlfn.XLOOKUP(C683,Guide!$B$22:$B$26,Guide!$C$22:$C$26)&amp;"-"&amp;_xlfn.XLOOKUP(D683,Guide!$B$29:$B$33,Guide!$C$29:$C$33)&amp;"-"&amp;TEXT(H683,"yyyymmdd")</f>
        <v>ORD-FRA-SMB-20141201</v>
      </c>
      <c r="B683" s="1" t="s">
        <v>631</v>
      </c>
      <c r="C683" s="1" t="s">
        <v>31</v>
      </c>
      <c r="D683" s="1" t="s">
        <v>47</v>
      </c>
      <c r="E683" s="1" t="s">
        <v>88</v>
      </c>
      <c r="F683" s="2">
        <v>853</v>
      </c>
      <c r="G683" s="4">
        <v>0.1</v>
      </c>
      <c r="H683" s="3">
        <f t="shared" si="30"/>
        <v>41974</v>
      </c>
      <c r="I683" s="1">
        <f>_xlfn.XLOOKUP(E683,Product!$A$2:$A$7,Product!$C$2:$C$7)</f>
        <v>180</v>
      </c>
      <c r="J683" s="22">
        <f t="shared" si="31"/>
        <v>153540</v>
      </c>
      <c r="K683" s="22">
        <f t="shared" si="32"/>
        <v>138186</v>
      </c>
      <c r="L683" s="22">
        <f>K683-(_xlfn.XLOOKUP(E683,Product!$A$2:$A$7,Product!$B$2:$B$7)*F683)</f>
        <v>35826</v>
      </c>
      <c r="M683">
        <f>YEAR(Table1[[#This Row],[Order date]])</f>
        <v>2014</v>
      </c>
      <c r="N683" s="22" t="str" cm="1">
        <f t="array" ref="N683">_xlfn.IFS(G683=0,"No Discount", ROUND(G683*100,0)&lt;=4,"Low", ROUND(G683*100,0)&lt;=9,"Medium", ROUND(G683*100,0)&lt;=15,"High")</f>
        <v>High</v>
      </c>
      <c r="O683" s="22" t="str">
        <f>TEXT(Table1[[#This Row],[Order date]],"mmmm")</f>
        <v>December</v>
      </c>
    </row>
    <row r="684" spans="1:15" ht="13.5" x14ac:dyDescent="0.25">
      <c r="A684" s="1" t="str">
        <f>"ORD"&amp;"-"&amp;_xlfn.XLOOKUP(C684,Guide!$B$22:$B$26,Guide!$C$22:$C$26)&amp;"-"&amp;_xlfn.XLOOKUP(D684,Guide!$B$29:$B$33,Guide!$C$29:$C$33)&amp;"-"&amp;TEXT(H684,"yyyymmdd")</f>
        <v>ORD-FRA-SMB-20141201</v>
      </c>
      <c r="B684" s="1" t="s">
        <v>631</v>
      </c>
      <c r="C684" s="1" t="s">
        <v>31</v>
      </c>
      <c r="D684" s="1" t="s">
        <v>47</v>
      </c>
      <c r="E684" s="1" t="s">
        <v>84</v>
      </c>
      <c r="F684" s="2">
        <v>853</v>
      </c>
      <c r="G684" s="4">
        <v>0.1</v>
      </c>
      <c r="H684" s="3">
        <f t="shared" si="30"/>
        <v>41974</v>
      </c>
      <c r="I684" s="1">
        <f>_xlfn.XLOOKUP(E684,Product!$A$2:$A$7,Product!$C$2:$C$7)</f>
        <v>350</v>
      </c>
      <c r="J684" s="22">
        <f t="shared" si="31"/>
        <v>298550</v>
      </c>
      <c r="K684" s="22">
        <f t="shared" si="32"/>
        <v>268695</v>
      </c>
      <c r="L684" s="22">
        <f>K684-(_xlfn.XLOOKUP(E684,Product!$A$2:$A$7,Product!$B$2:$B$7)*F684)</f>
        <v>98095</v>
      </c>
      <c r="M684">
        <f>YEAR(Table1[[#This Row],[Order date]])</f>
        <v>2014</v>
      </c>
      <c r="N684" s="22" t="str" cm="1">
        <f t="array" ref="N684">_xlfn.IFS(G684=0,"No Discount", ROUND(G684*100,0)&lt;=4,"Low", ROUND(G684*100,0)&lt;=9,"Medium", ROUND(G684*100,0)&lt;=15,"High")</f>
        <v>High</v>
      </c>
      <c r="O684" s="22" t="str">
        <f>TEXT(Table1[[#This Row],[Order date]],"mmmm")</f>
        <v>December</v>
      </c>
    </row>
    <row r="685" spans="1:15" ht="13.5" x14ac:dyDescent="0.25">
      <c r="A685" s="1" t="str">
        <f>"ORD"&amp;"-"&amp;_xlfn.XLOOKUP(C685,Guide!$B$22:$B$26,Guide!$C$22:$C$26)&amp;"-"&amp;_xlfn.XLOOKUP(D685,Guide!$B$29:$B$33,Guide!$C$29:$C$33)&amp;"-"&amp;TEXT(H685,"yyyymmdd")</f>
        <v>ORD-FRA-MDM-20141201</v>
      </c>
      <c r="B685" s="1" t="s">
        <v>630</v>
      </c>
      <c r="C685" s="1" t="s">
        <v>31</v>
      </c>
      <c r="D685" s="1" t="s">
        <v>41</v>
      </c>
      <c r="E685" s="1" t="s">
        <v>84</v>
      </c>
      <c r="F685" s="2">
        <v>2072</v>
      </c>
      <c r="G685" s="4">
        <v>0.1</v>
      </c>
      <c r="H685" s="3">
        <f t="shared" si="30"/>
        <v>41974</v>
      </c>
      <c r="I685" s="1">
        <f>_xlfn.XLOOKUP(E685,Product!$A$2:$A$7,Product!$C$2:$C$7)</f>
        <v>350</v>
      </c>
      <c r="J685" s="22">
        <f t="shared" si="31"/>
        <v>725200</v>
      </c>
      <c r="K685" s="22">
        <f t="shared" si="32"/>
        <v>652680</v>
      </c>
      <c r="L685" s="22">
        <f>K685-(_xlfn.XLOOKUP(E685,Product!$A$2:$A$7,Product!$B$2:$B$7)*F685)</f>
        <v>238280</v>
      </c>
      <c r="M685">
        <f>YEAR(Table1[[#This Row],[Order date]])</f>
        <v>2014</v>
      </c>
      <c r="N685" s="22" t="str" cm="1">
        <f t="array" ref="N685">_xlfn.IFS(G685=0,"No Discount", ROUND(G685*100,0)&lt;=4,"Low", ROUND(G685*100,0)&lt;=9,"Medium", ROUND(G685*100,0)&lt;=15,"High")</f>
        <v>High</v>
      </c>
      <c r="O685" s="22" t="str">
        <f>TEXT(Table1[[#This Row],[Order date]],"mmmm")</f>
        <v>December</v>
      </c>
    </row>
    <row r="686" spans="1:15" ht="13.5" x14ac:dyDescent="0.25">
      <c r="A686" s="1" t="str">
        <f>"ORD"&amp;"-"&amp;_xlfn.XLOOKUP(C686,Guide!$B$22:$B$26,Guide!$C$22:$C$26)&amp;"-"&amp;_xlfn.XLOOKUP(D686,Guide!$B$29:$B$33,Guide!$C$29:$C$33)&amp;"-"&amp;TEXT(H686,"yyyymmdd")</f>
        <v>ORD-MXC-MDM-20141201</v>
      </c>
      <c r="B686" s="1" t="s">
        <v>632</v>
      </c>
      <c r="C686" s="1" t="s">
        <v>33</v>
      </c>
      <c r="D686" s="1" t="s">
        <v>41</v>
      </c>
      <c r="E686" s="1" t="s">
        <v>82</v>
      </c>
      <c r="F686" s="2">
        <v>2157</v>
      </c>
      <c r="G686" s="4">
        <v>0.11</v>
      </c>
      <c r="H686" s="3">
        <f t="shared" si="30"/>
        <v>41974</v>
      </c>
      <c r="I686" s="1">
        <f>_xlfn.XLOOKUP(E686,Product!$A$2:$A$7,Product!$C$2:$C$7)</f>
        <v>15</v>
      </c>
      <c r="J686" s="22">
        <f t="shared" si="31"/>
        <v>32355</v>
      </c>
      <c r="K686" s="22">
        <f t="shared" si="32"/>
        <v>28795.95</v>
      </c>
      <c r="L686" s="22">
        <f>K686-(_xlfn.XLOOKUP(E686,Product!$A$2:$A$7,Product!$B$2:$B$7)*F686)</f>
        <v>18010.95</v>
      </c>
      <c r="M686">
        <f>YEAR(Table1[[#This Row],[Order date]])</f>
        <v>2014</v>
      </c>
      <c r="N686" s="22" t="str" cm="1">
        <f t="array" ref="N686">_xlfn.IFS(G686=0,"No Discount", ROUND(G686*100,0)&lt;=4,"Low", ROUND(G686*100,0)&lt;=9,"Medium", ROUND(G686*100,0)&lt;=15,"High")</f>
        <v>High</v>
      </c>
      <c r="O686" s="22" t="str">
        <f>TEXT(Table1[[#This Row],[Order date]],"mmmm")</f>
        <v>December</v>
      </c>
    </row>
    <row r="687" spans="1:15" ht="13.5" x14ac:dyDescent="0.25">
      <c r="A687" s="1" t="str">
        <f>"ORD"&amp;"-"&amp;_xlfn.XLOOKUP(C687,Guide!$B$22:$B$26,Guide!$C$22:$C$26)&amp;"-"&amp;_xlfn.XLOOKUP(D687,Guide!$B$29:$B$33,Guide!$C$29:$C$33)&amp;"-"&amp;TEXT(H687,"yyyymmdd")</f>
        <v>ORD-MXC-MDM-20141201</v>
      </c>
      <c r="B687" s="1" t="s">
        <v>632</v>
      </c>
      <c r="C687" s="1" t="s">
        <v>33</v>
      </c>
      <c r="D687" s="1" t="s">
        <v>41</v>
      </c>
      <c r="E687" s="1" t="s">
        <v>84</v>
      </c>
      <c r="F687" s="2">
        <v>2157</v>
      </c>
      <c r="G687" s="4">
        <v>0.11</v>
      </c>
      <c r="H687" s="3">
        <f t="shared" si="30"/>
        <v>41974</v>
      </c>
      <c r="I687" s="1">
        <f>_xlfn.XLOOKUP(E687,Product!$A$2:$A$7,Product!$C$2:$C$7)</f>
        <v>350</v>
      </c>
      <c r="J687" s="22">
        <f t="shared" si="31"/>
        <v>754950</v>
      </c>
      <c r="K687" s="22">
        <f t="shared" si="32"/>
        <v>671905.5</v>
      </c>
      <c r="L687" s="22">
        <f>K687-(_xlfn.XLOOKUP(E687,Product!$A$2:$A$7,Product!$B$2:$B$7)*F687)</f>
        <v>240505.5</v>
      </c>
      <c r="M687">
        <f>YEAR(Table1[[#This Row],[Order date]])</f>
        <v>2014</v>
      </c>
      <c r="N687" s="22" t="str" cm="1">
        <f t="array" ref="N687">_xlfn.IFS(G687=0,"No Discount", ROUND(G687*100,0)&lt;=4,"Low", ROUND(G687*100,0)&lt;=9,"Medium", ROUND(G687*100,0)&lt;=15,"High")</f>
        <v>High</v>
      </c>
      <c r="O687" s="22" t="str">
        <f>TEXT(Table1[[#This Row],[Order date]],"mmmm")</f>
        <v>December</v>
      </c>
    </row>
    <row r="688" spans="1:15" ht="13.5" x14ac:dyDescent="0.25">
      <c r="A688" s="1" t="str">
        <f>"ORD"&amp;"-"&amp;_xlfn.XLOOKUP(C688,Guide!$B$22:$B$26,Guide!$C$22:$C$26)&amp;"-"&amp;_xlfn.XLOOKUP(D688,Guide!$B$29:$B$33,Guide!$C$29:$C$33)&amp;"-"&amp;TEXT(H688,"yyyymmdd")</f>
        <v>ORD-MXC-GOV-20141201</v>
      </c>
      <c r="B688" s="1" t="s">
        <v>633</v>
      </c>
      <c r="C688" s="1" t="s">
        <v>33</v>
      </c>
      <c r="D688" s="1" t="s">
        <v>39</v>
      </c>
      <c r="E688" s="1" t="s">
        <v>75</v>
      </c>
      <c r="F688" s="2">
        <v>1233</v>
      </c>
      <c r="G688" s="4">
        <v>0.12</v>
      </c>
      <c r="H688" s="3">
        <f t="shared" si="30"/>
        <v>41974</v>
      </c>
      <c r="I688" s="1">
        <f>_xlfn.XLOOKUP(E688,Product!$A$2:$A$7,Product!$C$2:$C$7)</f>
        <v>20</v>
      </c>
      <c r="J688" s="22">
        <f t="shared" si="31"/>
        <v>24660</v>
      </c>
      <c r="K688" s="22">
        <f t="shared" si="32"/>
        <v>21700.799999999999</v>
      </c>
      <c r="L688" s="22">
        <f>K688-(_xlfn.XLOOKUP(E688,Product!$A$2:$A$7,Product!$B$2:$B$7)*F688)</f>
        <v>9370.7999999999993</v>
      </c>
      <c r="M688">
        <f>YEAR(Table1[[#This Row],[Order date]])</f>
        <v>2014</v>
      </c>
      <c r="N688" s="22" t="str" cm="1">
        <f t="array" ref="N688">_xlfn.IFS(G688=0,"No Discount", ROUND(G688*100,0)&lt;=4,"Low", ROUND(G688*100,0)&lt;=9,"Medium", ROUND(G688*100,0)&lt;=15,"High")</f>
        <v>High</v>
      </c>
      <c r="O688" s="22" t="str">
        <f>TEXT(Table1[[#This Row],[Order date]],"mmmm")</f>
        <v>December</v>
      </c>
    </row>
    <row r="689" spans="1:15" ht="13.5" x14ac:dyDescent="0.25">
      <c r="A689" s="1" t="str">
        <f>"ORD"&amp;"-"&amp;_xlfn.XLOOKUP(C689,Guide!$B$22:$B$26,Guide!$C$22:$C$26)&amp;"-"&amp;_xlfn.XLOOKUP(D689,Guide!$B$29:$B$33,Guide!$C$29:$C$33)&amp;"-"&amp;TEXT(H689,"yyyymmdd")</f>
        <v>ORD-MXC-GOV-20141201</v>
      </c>
      <c r="B689" s="1" t="s">
        <v>633</v>
      </c>
      <c r="C689" s="1" t="s">
        <v>33</v>
      </c>
      <c r="D689" s="1" t="s">
        <v>39</v>
      </c>
      <c r="E689" s="1" t="s">
        <v>78</v>
      </c>
      <c r="F689" s="2">
        <v>1233</v>
      </c>
      <c r="G689" s="4">
        <v>0.12</v>
      </c>
      <c r="H689" s="3">
        <f t="shared" si="30"/>
        <v>41974</v>
      </c>
      <c r="I689" s="1">
        <f>_xlfn.XLOOKUP(E689,Product!$A$2:$A$7,Product!$C$2:$C$7)</f>
        <v>300</v>
      </c>
      <c r="J689" s="22">
        <f t="shared" si="31"/>
        <v>369900</v>
      </c>
      <c r="K689" s="22">
        <f t="shared" si="32"/>
        <v>325512</v>
      </c>
      <c r="L689" s="22">
        <f>K689-(_xlfn.XLOOKUP(E689,Product!$A$2:$A$7,Product!$B$2:$B$7)*F689)</f>
        <v>17262</v>
      </c>
      <c r="M689">
        <f>YEAR(Table1[[#This Row],[Order date]])</f>
        <v>2014</v>
      </c>
      <c r="N689" s="22" t="str" cm="1">
        <f t="array" ref="N689">_xlfn.IFS(G689=0,"No Discount", ROUND(G689*100,0)&lt;=4,"Low", ROUND(G689*100,0)&lt;=9,"Medium", ROUND(G689*100,0)&lt;=15,"High")</f>
        <v>High</v>
      </c>
      <c r="O689" s="22" t="str">
        <f>TEXT(Table1[[#This Row],[Order date]],"mmmm")</f>
        <v>December</v>
      </c>
    </row>
    <row r="690" spans="1:15" ht="13.5" x14ac:dyDescent="0.25">
      <c r="A690" s="1" t="str">
        <f>"ORD"&amp;"-"&amp;_xlfn.XLOOKUP(C690,Guide!$B$22:$B$26,Guide!$C$22:$C$26)&amp;"-"&amp;_xlfn.XLOOKUP(D690,Guide!$B$29:$B$33,Guide!$C$29:$C$33)&amp;"-"&amp;TEXT(H690,"yyyymmdd")</f>
        <v>ORD-GER-GOV-20141201</v>
      </c>
      <c r="B690" s="1" t="s">
        <v>634</v>
      </c>
      <c r="C690" s="1" t="s">
        <v>29</v>
      </c>
      <c r="D690" s="1" t="s">
        <v>39</v>
      </c>
      <c r="E690" s="1" t="s">
        <v>75</v>
      </c>
      <c r="F690" s="2">
        <v>1531</v>
      </c>
      <c r="G690" s="4">
        <v>0.12000000000000001</v>
      </c>
      <c r="H690" s="3">
        <f t="shared" si="30"/>
        <v>41974</v>
      </c>
      <c r="I690" s="1">
        <f>_xlfn.XLOOKUP(E690,Product!$A$2:$A$7,Product!$C$2:$C$7)</f>
        <v>20</v>
      </c>
      <c r="J690" s="22">
        <f t="shared" si="31"/>
        <v>30620</v>
      </c>
      <c r="K690" s="22">
        <f t="shared" si="32"/>
        <v>26945.599999999999</v>
      </c>
      <c r="L690" s="22">
        <f>K690-(_xlfn.XLOOKUP(E690,Product!$A$2:$A$7,Product!$B$2:$B$7)*F690)</f>
        <v>11635.599999999999</v>
      </c>
      <c r="M690">
        <f>YEAR(Table1[[#This Row],[Order date]])</f>
        <v>2014</v>
      </c>
      <c r="N690" s="22" t="str" cm="1">
        <f t="array" ref="N690">_xlfn.IFS(G690=0,"No Discount", ROUND(G690*100,0)&lt;=4,"Low", ROUND(G690*100,0)&lt;=9,"Medium", ROUND(G690*100,0)&lt;=15,"High")</f>
        <v>High</v>
      </c>
      <c r="O690" s="22" t="str">
        <f>TEXT(Table1[[#This Row],[Order date]],"mmmm")</f>
        <v>December</v>
      </c>
    </row>
    <row r="691" spans="1:15" ht="13.5" x14ac:dyDescent="0.25">
      <c r="A691" s="1" t="str">
        <f>"ORD"&amp;"-"&amp;_xlfn.XLOOKUP(C691,Guide!$B$22:$B$26,Guide!$C$22:$C$26)&amp;"-"&amp;_xlfn.XLOOKUP(D691,Guide!$B$29:$B$33,Guide!$C$29:$C$33)&amp;"-"&amp;TEXT(H691,"yyyymmdd")</f>
        <v>ORD-GER-GOV-20141201</v>
      </c>
      <c r="B691" s="1" t="s">
        <v>634</v>
      </c>
      <c r="C691" s="1" t="s">
        <v>29</v>
      </c>
      <c r="D691" s="1" t="s">
        <v>39</v>
      </c>
      <c r="E691" s="1" t="s">
        <v>78</v>
      </c>
      <c r="F691" s="2">
        <v>1531</v>
      </c>
      <c r="G691" s="4">
        <v>0.12000000000000001</v>
      </c>
      <c r="H691" s="3">
        <f t="shared" si="30"/>
        <v>41974</v>
      </c>
      <c r="I691" s="1">
        <f>_xlfn.XLOOKUP(E691,Product!$A$2:$A$7,Product!$C$2:$C$7)</f>
        <v>300</v>
      </c>
      <c r="J691" s="22">
        <f t="shared" si="31"/>
        <v>459300</v>
      </c>
      <c r="K691" s="22">
        <f t="shared" si="32"/>
        <v>404184</v>
      </c>
      <c r="L691" s="22">
        <f>K691-(_xlfn.XLOOKUP(E691,Product!$A$2:$A$7,Product!$B$2:$B$7)*F691)</f>
        <v>21434</v>
      </c>
      <c r="M691">
        <f>YEAR(Table1[[#This Row],[Order date]])</f>
        <v>2014</v>
      </c>
      <c r="N691" s="22" t="str" cm="1">
        <f t="array" ref="N691">_xlfn.IFS(G691=0,"No Discount", ROUND(G691*100,0)&lt;=4,"Low", ROUND(G691*100,0)&lt;=9,"Medium", ROUND(G691*100,0)&lt;=15,"High")</f>
        <v>High</v>
      </c>
      <c r="O691" s="22" t="str">
        <f>TEXT(Table1[[#This Row],[Order date]],"mmmm")</f>
        <v>December</v>
      </c>
    </row>
    <row r="692" spans="1:15" ht="13.5" x14ac:dyDescent="0.25">
      <c r="A692" s="1" t="str">
        <f>"ORD"&amp;"-"&amp;_xlfn.XLOOKUP(C692,Guide!$B$22:$B$26,Guide!$C$22:$C$26)&amp;"-"&amp;_xlfn.XLOOKUP(D692,Guide!$B$29:$B$33,Guide!$C$29:$C$33)&amp;"-"&amp;TEXT(H692,"yyyymmdd")</f>
        <v>ORD-GER-CPR-20141201</v>
      </c>
      <c r="B692" s="1" t="s">
        <v>635</v>
      </c>
      <c r="C692" s="1" t="s">
        <v>29</v>
      </c>
      <c r="D692" s="1" t="s">
        <v>43</v>
      </c>
      <c r="E692" s="1" t="s">
        <v>75</v>
      </c>
      <c r="F692" s="2">
        <v>1013</v>
      </c>
      <c r="G692" s="4">
        <v>0.13</v>
      </c>
      <c r="H692" s="3">
        <f t="shared" si="30"/>
        <v>41974</v>
      </c>
      <c r="I692" s="1">
        <f>_xlfn.XLOOKUP(E692,Product!$A$2:$A$7,Product!$C$2:$C$7)</f>
        <v>20</v>
      </c>
      <c r="J692" s="22">
        <f t="shared" si="31"/>
        <v>20260</v>
      </c>
      <c r="K692" s="22">
        <f t="shared" si="32"/>
        <v>17626.2</v>
      </c>
      <c r="L692" s="22">
        <f>K692-(_xlfn.XLOOKUP(E692,Product!$A$2:$A$7,Product!$B$2:$B$7)*F692)</f>
        <v>7496.2000000000007</v>
      </c>
      <c r="M692">
        <f>YEAR(Table1[[#This Row],[Order date]])</f>
        <v>2014</v>
      </c>
      <c r="N692" s="22" t="str" cm="1">
        <f t="array" ref="N692">_xlfn.IFS(G692=0,"No Discount", ROUND(G692*100,0)&lt;=4,"Low", ROUND(G692*100,0)&lt;=9,"Medium", ROUND(G692*100,0)&lt;=15,"High")</f>
        <v>High</v>
      </c>
      <c r="O692" s="22" t="str">
        <f>TEXT(Table1[[#This Row],[Order date]],"mmmm")</f>
        <v>December</v>
      </c>
    </row>
    <row r="693" spans="1:15" ht="13.5" x14ac:dyDescent="0.25">
      <c r="A693" s="1" t="str">
        <f>"ORD"&amp;"-"&amp;_xlfn.XLOOKUP(C693,Guide!$B$22:$B$26,Guide!$C$22:$C$26)&amp;"-"&amp;_xlfn.XLOOKUP(D693,Guide!$B$29:$B$33,Guide!$C$29:$C$33)&amp;"-"&amp;TEXT(H693,"yyyymmdd")</f>
        <v>ORD-GER-CPR-20141201</v>
      </c>
      <c r="B693" s="1" t="s">
        <v>635</v>
      </c>
      <c r="C693" s="1" t="s">
        <v>29</v>
      </c>
      <c r="D693" s="1" t="s">
        <v>43</v>
      </c>
      <c r="E693" s="1" t="s">
        <v>88</v>
      </c>
      <c r="F693" s="2">
        <v>1013</v>
      </c>
      <c r="G693" s="4">
        <v>0.13</v>
      </c>
      <c r="H693" s="3">
        <f t="shared" si="30"/>
        <v>41974</v>
      </c>
      <c r="I693" s="1">
        <f>_xlfn.XLOOKUP(E693,Product!$A$2:$A$7,Product!$C$2:$C$7)</f>
        <v>180</v>
      </c>
      <c r="J693" s="22">
        <f t="shared" si="31"/>
        <v>182340</v>
      </c>
      <c r="K693" s="22">
        <f t="shared" si="32"/>
        <v>158635.79999999999</v>
      </c>
      <c r="L693" s="22">
        <f>K693-(_xlfn.XLOOKUP(E693,Product!$A$2:$A$7,Product!$B$2:$B$7)*F693)</f>
        <v>37075.799999999988</v>
      </c>
      <c r="M693">
        <f>YEAR(Table1[[#This Row],[Order date]])</f>
        <v>2014</v>
      </c>
      <c r="N693" s="22" t="str" cm="1">
        <f t="array" ref="N693">_xlfn.IFS(G693=0,"No Discount", ROUND(G693*100,0)&lt;=4,"Low", ROUND(G693*100,0)&lt;=9,"Medium", ROUND(G693*100,0)&lt;=15,"High")</f>
        <v>High</v>
      </c>
      <c r="O693" s="22" t="str">
        <f>TEXT(Table1[[#This Row],[Order date]],"mmmm")</f>
        <v>December</v>
      </c>
    </row>
    <row r="694" spans="1:15" ht="13.5" x14ac:dyDescent="0.25">
      <c r="A694" s="1" t="str">
        <f>"ORD"&amp;"-"&amp;_xlfn.XLOOKUP(C694,Guide!$B$22:$B$26,Guide!$C$22:$C$26)&amp;"-"&amp;_xlfn.XLOOKUP(D694,Guide!$B$29:$B$33,Guide!$C$29:$C$33)&amp;"-"&amp;TEXT(H694,"yyyymmdd")</f>
        <v>ORD-GER-GOV-20141201</v>
      </c>
      <c r="B694" s="1" t="s">
        <v>636</v>
      </c>
      <c r="C694" s="1" t="s">
        <v>29</v>
      </c>
      <c r="D694" s="1" t="s">
        <v>39</v>
      </c>
      <c r="E694" s="1" t="s">
        <v>78</v>
      </c>
      <c r="F694" s="2">
        <v>280</v>
      </c>
      <c r="G694" s="4">
        <v>0.13999999999999999</v>
      </c>
      <c r="H694" s="3">
        <f t="shared" si="30"/>
        <v>41974</v>
      </c>
      <c r="I694" s="1">
        <f>_xlfn.XLOOKUP(E694,Product!$A$2:$A$7,Product!$C$2:$C$7)</f>
        <v>300</v>
      </c>
      <c r="J694" s="22">
        <f t="shared" si="31"/>
        <v>84000</v>
      </c>
      <c r="K694" s="22">
        <f t="shared" si="32"/>
        <v>72240</v>
      </c>
      <c r="L694" s="22">
        <f>K694-(_xlfn.XLOOKUP(E694,Product!$A$2:$A$7,Product!$B$2:$B$7)*F694)</f>
        <v>2240</v>
      </c>
      <c r="M694">
        <f>YEAR(Table1[[#This Row],[Order date]])</f>
        <v>2014</v>
      </c>
      <c r="N694" s="22" t="str" cm="1">
        <f t="array" ref="N694">_xlfn.IFS(G694=0,"No Discount", ROUND(G694*100,0)&lt;=4,"Low", ROUND(G694*100,0)&lt;=9,"Medium", ROUND(G694*100,0)&lt;=15,"High")</f>
        <v>High</v>
      </c>
      <c r="O694" s="22" t="str">
        <f>TEXT(Table1[[#This Row],[Order date]],"mmmm")</f>
        <v>December</v>
      </c>
    </row>
    <row r="695" spans="1:15" ht="13.5" x14ac:dyDescent="0.25">
      <c r="A695" s="1" t="str">
        <f>"ORD"&amp;"-"&amp;_xlfn.XLOOKUP(C695,Guide!$B$22:$B$26,Guide!$C$22:$C$26)&amp;"-"&amp;_xlfn.XLOOKUP(D695,Guide!$B$29:$B$33,Guide!$C$29:$C$33)&amp;"-"&amp;TEXT(H695,"yyyymmdd")</f>
        <v>ORD-GER-GOV-20141201</v>
      </c>
      <c r="B695" s="1" t="s">
        <v>636</v>
      </c>
      <c r="C695" s="1" t="s">
        <v>29</v>
      </c>
      <c r="D695" s="1" t="s">
        <v>39</v>
      </c>
      <c r="E695" s="1" t="s">
        <v>80</v>
      </c>
      <c r="F695" s="2">
        <v>280</v>
      </c>
      <c r="G695" s="4">
        <v>0.13999999999999999</v>
      </c>
      <c r="H695" s="3">
        <f t="shared" si="30"/>
        <v>41974</v>
      </c>
      <c r="I695" s="1">
        <f>_xlfn.XLOOKUP(E695,Product!$A$2:$A$7,Product!$C$2:$C$7)</f>
        <v>20</v>
      </c>
      <c r="J695" s="22">
        <f t="shared" si="31"/>
        <v>5600</v>
      </c>
      <c r="K695" s="22">
        <f t="shared" si="32"/>
        <v>4816</v>
      </c>
      <c r="L695" s="22">
        <f>K695-(_xlfn.XLOOKUP(E695,Product!$A$2:$A$7,Product!$B$2:$B$7)*F695)</f>
        <v>3976</v>
      </c>
      <c r="M695">
        <f>YEAR(Table1[[#This Row],[Order date]])</f>
        <v>2014</v>
      </c>
      <c r="N695" s="22" t="str" cm="1">
        <f t="array" ref="N695">_xlfn.IFS(G695=0,"No Discount", ROUND(G695*100,0)&lt;=4,"Low", ROUND(G695*100,0)&lt;=9,"Medium", ROUND(G695*100,0)&lt;=15,"High")</f>
        <v>High</v>
      </c>
      <c r="O695" s="22" t="str">
        <f>TEXT(Table1[[#This Row],[Order date]],"mmmm")</f>
        <v>December</v>
      </c>
    </row>
    <row r="696" spans="1:15" ht="13.5" x14ac:dyDescent="0.25">
      <c r="A696" s="1" t="str">
        <f>"ORD"&amp;"-"&amp;_xlfn.XLOOKUP(C696,Guide!$B$22:$B$26,Guide!$C$22:$C$26)&amp;"-"&amp;_xlfn.XLOOKUP(D696,Guide!$B$29:$B$33,Guide!$C$29:$C$33)&amp;"-"&amp;TEXT(H696,"yyyymmdd")</f>
        <v>ORD-CND-MDM-20141201</v>
      </c>
      <c r="B696" s="1" t="s">
        <v>637</v>
      </c>
      <c r="C696" s="1" t="s">
        <v>27</v>
      </c>
      <c r="D696" s="1" t="s">
        <v>41</v>
      </c>
      <c r="E696" s="1" t="s">
        <v>82</v>
      </c>
      <c r="F696" s="2">
        <v>2300</v>
      </c>
      <c r="G696" s="4">
        <v>0.14000000000000001</v>
      </c>
      <c r="H696" s="3">
        <f t="shared" si="30"/>
        <v>41974</v>
      </c>
      <c r="I696" s="1">
        <f>_xlfn.XLOOKUP(E696,Product!$A$2:$A$7,Product!$C$2:$C$7)</f>
        <v>15</v>
      </c>
      <c r="J696" s="22">
        <f t="shared" si="31"/>
        <v>34500</v>
      </c>
      <c r="K696" s="22">
        <f t="shared" si="32"/>
        <v>29670</v>
      </c>
      <c r="L696" s="22">
        <f>K696-(_xlfn.XLOOKUP(E696,Product!$A$2:$A$7,Product!$B$2:$B$7)*F696)</f>
        <v>18170</v>
      </c>
      <c r="M696">
        <f>YEAR(Table1[[#This Row],[Order date]])</f>
        <v>2014</v>
      </c>
      <c r="N696" s="22" t="str" cm="1">
        <f t="array" ref="N696">_xlfn.IFS(G696=0,"No Discount", ROUND(G696*100,0)&lt;=4,"Low", ROUND(G696*100,0)&lt;=9,"Medium", ROUND(G696*100,0)&lt;=15,"High")</f>
        <v>High</v>
      </c>
      <c r="O696" s="22" t="str">
        <f>TEXT(Table1[[#This Row],[Order date]],"mmmm")</f>
        <v>December</v>
      </c>
    </row>
    <row r="697" spans="1:15" ht="13.5" x14ac:dyDescent="0.25">
      <c r="A697" s="1" t="str">
        <f>"ORD"&amp;"-"&amp;_xlfn.XLOOKUP(C697,Guide!$B$22:$B$26,Guide!$C$22:$C$26)&amp;"-"&amp;_xlfn.XLOOKUP(D697,Guide!$B$29:$B$33,Guide!$C$29:$C$33)&amp;"-"&amp;TEXT(H697,"yyyymmdd")</f>
        <v>ORD-CND-MDM-20141201</v>
      </c>
      <c r="B697" s="1" t="s">
        <v>637</v>
      </c>
      <c r="C697" s="1" t="s">
        <v>27</v>
      </c>
      <c r="D697" s="1" t="s">
        <v>41</v>
      </c>
      <c r="E697" s="1" t="s">
        <v>80</v>
      </c>
      <c r="F697" s="2">
        <v>2300</v>
      </c>
      <c r="G697" s="4">
        <v>0.14000000000000001</v>
      </c>
      <c r="H697" s="3">
        <f t="shared" si="30"/>
        <v>41974</v>
      </c>
      <c r="I697" s="1">
        <f>_xlfn.XLOOKUP(E697,Product!$A$2:$A$7,Product!$C$2:$C$7)</f>
        <v>20</v>
      </c>
      <c r="J697" s="22">
        <f t="shared" si="31"/>
        <v>46000</v>
      </c>
      <c r="K697" s="22">
        <f t="shared" si="32"/>
        <v>39560</v>
      </c>
      <c r="L697" s="22">
        <f>K697-(_xlfn.XLOOKUP(E697,Product!$A$2:$A$7,Product!$B$2:$B$7)*F697)</f>
        <v>32660</v>
      </c>
      <c r="M697">
        <f>YEAR(Table1[[#This Row],[Order date]])</f>
        <v>2014</v>
      </c>
      <c r="N697" s="22" t="str" cm="1">
        <f t="array" ref="N697">_xlfn.IFS(G697=0,"No Discount", ROUND(G697*100,0)&lt;=4,"Low", ROUND(G697*100,0)&lt;=9,"Medium", ROUND(G697*100,0)&lt;=15,"High")</f>
        <v>High</v>
      </c>
      <c r="O697" s="22" t="str">
        <f>TEXT(Table1[[#This Row],[Order date]],"mmmm")</f>
        <v>December</v>
      </c>
    </row>
    <row r="698" spans="1:15" ht="13.5" x14ac:dyDescent="0.25">
      <c r="A698" s="1" t="str">
        <f>"ORD"&amp;"-"&amp;_xlfn.XLOOKUP(C698,Guide!$B$22:$B$26,Guide!$C$22:$C$26)&amp;"-"&amp;_xlfn.XLOOKUP(D698,Guide!$B$29:$B$33,Guide!$C$29:$C$33)&amp;"-"&amp;TEXT(H698,"yyyymmdd")</f>
        <v>ORD-FRA-GOV-20141201</v>
      </c>
      <c r="B698" s="1" t="s">
        <v>638</v>
      </c>
      <c r="C698" s="1" t="s">
        <v>31</v>
      </c>
      <c r="D698" s="1" t="s">
        <v>39</v>
      </c>
      <c r="E698" s="1" t="s">
        <v>78</v>
      </c>
      <c r="F698" s="2">
        <v>293</v>
      </c>
      <c r="G698" s="4">
        <v>0.15</v>
      </c>
      <c r="H698" s="3">
        <f t="shared" si="30"/>
        <v>41974</v>
      </c>
      <c r="I698" s="1">
        <f>_xlfn.XLOOKUP(E698,Product!$A$2:$A$7,Product!$C$2:$C$7)</f>
        <v>300</v>
      </c>
      <c r="J698" s="22">
        <f t="shared" si="31"/>
        <v>87900</v>
      </c>
      <c r="K698" s="22">
        <f t="shared" si="32"/>
        <v>74715</v>
      </c>
      <c r="L698" s="22">
        <f>K698-(_xlfn.XLOOKUP(E698,Product!$A$2:$A$7,Product!$B$2:$B$7)*F698)</f>
        <v>1465</v>
      </c>
      <c r="M698">
        <f>YEAR(Table1[[#This Row],[Order date]])</f>
        <v>2014</v>
      </c>
      <c r="N698" s="22" t="str" cm="1">
        <f t="array" ref="N698">_xlfn.IFS(G698=0,"No Discount", ROUND(G698*100,0)&lt;=4,"Low", ROUND(G698*100,0)&lt;=9,"Medium", ROUND(G698*100,0)&lt;=15,"High")</f>
        <v>High</v>
      </c>
      <c r="O698" s="22" t="str">
        <f>TEXT(Table1[[#This Row],[Order date]],"mmmm")</f>
        <v>December</v>
      </c>
    </row>
    <row r="699" spans="1:15" ht="13.5" x14ac:dyDescent="0.25">
      <c r="A699" s="1" t="str">
        <f>"ORD"&amp;"-"&amp;_xlfn.XLOOKUP(C699,Guide!$B$22:$B$26,Guide!$C$22:$C$26)&amp;"-"&amp;_xlfn.XLOOKUP(D699,Guide!$B$29:$B$33,Guide!$C$29:$C$33)&amp;"-"&amp;TEXT(H699,"yyyymmdd")</f>
        <v>ORD-FRA-GOV-20141201</v>
      </c>
      <c r="B699" s="1" t="s">
        <v>638</v>
      </c>
      <c r="C699" s="1" t="s">
        <v>31</v>
      </c>
      <c r="D699" s="1" t="s">
        <v>39</v>
      </c>
      <c r="E699" s="1" t="s">
        <v>75</v>
      </c>
      <c r="F699" s="2">
        <v>293</v>
      </c>
      <c r="G699" s="4">
        <v>0.15</v>
      </c>
      <c r="H699" s="3">
        <f t="shared" si="30"/>
        <v>41974</v>
      </c>
      <c r="I699" s="1">
        <f>_xlfn.XLOOKUP(E699,Product!$A$2:$A$7,Product!$C$2:$C$7)</f>
        <v>20</v>
      </c>
      <c r="J699" s="22">
        <f t="shared" si="31"/>
        <v>5860</v>
      </c>
      <c r="K699" s="22">
        <f t="shared" si="32"/>
        <v>4981</v>
      </c>
      <c r="L699" s="22">
        <f>K699-(_xlfn.XLOOKUP(E699,Product!$A$2:$A$7,Product!$B$2:$B$7)*F699)</f>
        <v>2051</v>
      </c>
      <c r="M699">
        <f>YEAR(Table1[[#This Row],[Order date]])</f>
        <v>2014</v>
      </c>
      <c r="N699" s="22" t="str" cm="1">
        <f t="array" ref="N699">_xlfn.IFS(G699=0,"No Discount", ROUND(G699*100,0)&lt;=4,"Low", ROUND(G699*100,0)&lt;=9,"Medium", ROUND(G699*100,0)&lt;=15,"High")</f>
        <v>High</v>
      </c>
      <c r="O699" s="22" t="str">
        <f>TEXT(Table1[[#This Row],[Order date]],"mmmm")</f>
        <v>December</v>
      </c>
    </row>
    <row r="700" spans="1:15" ht="13.5" x14ac:dyDescent="0.25">
      <c r="A700" s="1" t="str">
        <f>"ORD"&amp;"-"&amp;_xlfn.XLOOKUP(C700,Guide!$B$22:$B$26,Guide!$C$22:$C$26)&amp;"-"&amp;_xlfn.XLOOKUP(D700,Guide!$B$29:$B$33,Guide!$C$29:$C$33)&amp;"-"&amp;TEXT(H700,"yyyymmdd")</f>
        <v>ORD-USA-CPR-20141201</v>
      </c>
      <c r="B700" s="1" t="s">
        <v>639</v>
      </c>
      <c r="C700" s="1" t="s">
        <v>35</v>
      </c>
      <c r="D700" s="1" t="s">
        <v>43</v>
      </c>
      <c r="E700" s="1" t="s">
        <v>75</v>
      </c>
      <c r="F700" s="2">
        <v>914</v>
      </c>
      <c r="G700" s="4">
        <v>0.15</v>
      </c>
      <c r="H700" s="3">
        <f t="shared" si="30"/>
        <v>41974</v>
      </c>
      <c r="I700" s="1">
        <f>_xlfn.XLOOKUP(E700,Product!$A$2:$A$7,Product!$C$2:$C$7)</f>
        <v>20</v>
      </c>
      <c r="J700" s="22">
        <f t="shared" si="31"/>
        <v>18280</v>
      </c>
      <c r="K700" s="22">
        <f t="shared" si="32"/>
        <v>15538</v>
      </c>
      <c r="L700" s="22">
        <f>K700-(_xlfn.XLOOKUP(E700,Product!$A$2:$A$7,Product!$B$2:$B$7)*F700)</f>
        <v>6398</v>
      </c>
      <c r="M700">
        <f>YEAR(Table1[[#This Row],[Order date]])</f>
        <v>2014</v>
      </c>
      <c r="N700" s="22" t="str" cm="1">
        <f t="array" ref="N700">_xlfn.IFS(G700=0,"No Discount", ROUND(G700*100,0)&lt;=4,"Low", ROUND(G700*100,0)&lt;=9,"Medium", ROUND(G700*100,0)&lt;=15,"High")</f>
        <v>High</v>
      </c>
      <c r="O700" s="22" t="str">
        <f>TEXT(Table1[[#This Row],[Order date]],"mmmm")</f>
        <v>December</v>
      </c>
    </row>
    <row r="701" spans="1:15" ht="13.5" x14ac:dyDescent="0.25">
      <c r="A701" s="1" t="str">
        <f>"ORD"&amp;"-"&amp;_xlfn.XLOOKUP(C701,Guide!$B$22:$B$26,Guide!$C$22:$C$26)&amp;"-"&amp;_xlfn.XLOOKUP(D701,Guide!$B$29:$B$33,Guide!$C$29:$C$33)&amp;"-"&amp;TEXT(H701,"yyyymmdd")</f>
        <v>ORD-USA-CPR-20141201</v>
      </c>
      <c r="B701" s="1" t="s">
        <v>639</v>
      </c>
      <c r="C701" s="1" t="s">
        <v>35</v>
      </c>
      <c r="D701" s="1" t="s">
        <v>43</v>
      </c>
      <c r="E701" s="1" t="s">
        <v>88</v>
      </c>
      <c r="F701" s="2">
        <v>914</v>
      </c>
      <c r="G701" s="4">
        <v>0.15</v>
      </c>
      <c r="H701" s="3">
        <f t="shared" si="30"/>
        <v>41974</v>
      </c>
      <c r="I701" s="1">
        <f>_xlfn.XLOOKUP(E701,Product!$A$2:$A$7,Product!$C$2:$C$7)</f>
        <v>180</v>
      </c>
      <c r="J701" s="22">
        <f t="shared" si="31"/>
        <v>164520</v>
      </c>
      <c r="K701" s="22">
        <f t="shared" si="32"/>
        <v>139842</v>
      </c>
      <c r="L701" s="22">
        <f>K701-(_xlfn.XLOOKUP(E701,Product!$A$2:$A$7,Product!$B$2:$B$7)*F701)</f>
        <v>30162</v>
      </c>
      <c r="M701">
        <f>YEAR(Table1[[#This Row],[Order date]])</f>
        <v>2014</v>
      </c>
      <c r="N701" s="22" t="str" cm="1">
        <f t="array" ref="N701">_xlfn.IFS(G701=0,"No Discount", ROUND(G701*100,0)&lt;=4,"Low", ROUND(G701*100,0)&lt;=9,"Medium", ROUND(G701*100,0)&lt;=15,"High")</f>
        <v>High</v>
      </c>
      <c r="O701" s="22" t="str">
        <f>TEXT(Table1[[#This Row],[Order date]],"mmmm")</f>
        <v>December</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C87F9B-E0A5-054D-8059-4CA7975FE696}">
  <sheetPr codeName="Sheet3"/>
  <dimension ref="A1:B4"/>
  <sheetViews>
    <sheetView zoomScale="280" workbookViewId="0">
      <selection activeCell="A3" sqref="A3"/>
    </sheetView>
  </sheetViews>
  <sheetFormatPr defaultColWidth="11.42578125" defaultRowHeight="13.5" x14ac:dyDescent="0.25"/>
  <cols>
    <col min="1" max="1" width="15" bestFit="1" customWidth="1"/>
    <col min="2" max="2" width="16.140625" bestFit="1" customWidth="1"/>
  </cols>
  <sheetData>
    <row r="1" spans="1:2" x14ac:dyDescent="0.25">
      <c r="A1" s="9" t="s">
        <v>640</v>
      </c>
      <c r="B1" s="9" t="s">
        <v>641</v>
      </c>
    </row>
    <row r="2" spans="1:2" x14ac:dyDescent="0.25">
      <c r="A2" s="8" t="s">
        <v>642</v>
      </c>
      <c r="B2" s="8" t="s">
        <v>643</v>
      </c>
    </row>
    <row r="3" spans="1:2" x14ac:dyDescent="0.25">
      <c r="A3" s="8" t="s">
        <v>644</v>
      </c>
      <c r="B3" s="8" t="s">
        <v>645</v>
      </c>
    </row>
    <row r="4" spans="1:2" x14ac:dyDescent="0.25">
      <c r="A4" s="8" t="s">
        <v>646</v>
      </c>
      <c r="B4" s="8" t="s">
        <v>647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F9E803-F347-1A40-9814-9BF0AFB801AF}">
  <sheetPr codeName="Sheet4"/>
  <dimension ref="A1:C7"/>
  <sheetViews>
    <sheetView zoomScale="215" workbookViewId="0">
      <selection activeCell="E12" sqref="E12"/>
    </sheetView>
  </sheetViews>
  <sheetFormatPr defaultColWidth="11.42578125" defaultRowHeight="13.5" x14ac:dyDescent="0.25"/>
  <cols>
    <col min="2" max="2" width="17.85546875" bestFit="1" customWidth="1"/>
    <col min="3" max="3" width="11.85546875" bestFit="1" customWidth="1"/>
  </cols>
  <sheetData>
    <row r="1" spans="1:3" x14ac:dyDescent="0.25">
      <c r="A1" s="10" t="s">
        <v>648</v>
      </c>
      <c r="B1" s="10" t="s">
        <v>649</v>
      </c>
      <c r="C1" s="10" t="s">
        <v>650</v>
      </c>
    </row>
    <row r="2" spans="1:3" x14ac:dyDescent="0.25">
      <c r="A2" s="11" t="s">
        <v>80</v>
      </c>
      <c r="B2" s="12">
        <v>3</v>
      </c>
      <c r="C2" s="12">
        <v>20</v>
      </c>
    </row>
    <row r="3" spans="1:3" x14ac:dyDescent="0.25">
      <c r="A3" s="11" t="s">
        <v>82</v>
      </c>
      <c r="B3" s="12">
        <v>5</v>
      </c>
      <c r="C3" s="12">
        <v>15</v>
      </c>
    </row>
    <row r="4" spans="1:3" x14ac:dyDescent="0.25">
      <c r="A4" s="11" t="s">
        <v>75</v>
      </c>
      <c r="B4" s="12">
        <v>10</v>
      </c>
      <c r="C4" s="12">
        <v>20</v>
      </c>
    </row>
    <row r="5" spans="1:3" x14ac:dyDescent="0.25">
      <c r="A5" s="11" t="s">
        <v>88</v>
      </c>
      <c r="B5" s="12">
        <v>120</v>
      </c>
      <c r="C5" s="12">
        <v>180</v>
      </c>
    </row>
    <row r="6" spans="1:3" x14ac:dyDescent="0.25">
      <c r="A6" s="11" t="s">
        <v>78</v>
      </c>
      <c r="B6" s="12">
        <v>250</v>
      </c>
      <c r="C6" s="12">
        <v>300</v>
      </c>
    </row>
    <row r="7" spans="1:3" x14ac:dyDescent="0.25">
      <c r="A7" s="11" t="s">
        <v>84</v>
      </c>
      <c r="B7" s="12">
        <v>200</v>
      </c>
      <c r="C7" s="12">
        <v>350</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00268-8192-CE42-BC62-12366A759286}">
  <sheetPr codeName="Sheet5"/>
  <dimension ref="A1:H11"/>
  <sheetViews>
    <sheetView zoomScaleNormal="100" workbookViewId="0">
      <selection activeCell="F1" sqref="F1"/>
    </sheetView>
  </sheetViews>
  <sheetFormatPr defaultColWidth="11.42578125" defaultRowHeight="13.5" x14ac:dyDescent="0.25"/>
  <cols>
    <col min="1" max="1" width="12" bestFit="1" customWidth="1"/>
    <col min="2" max="2" width="37.42578125" bestFit="1" customWidth="1"/>
    <col min="3" max="3" width="23.140625" bestFit="1" customWidth="1"/>
    <col min="6" max="6" width="9.42578125" customWidth="1"/>
    <col min="7" max="7" width="14.28515625" customWidth="1"/>
    <col min="8" max="8" width="18.28515625" customWidth="1"/>
  </cols>
  <sheetData>
    <row r="1" spans="1:8" x14ac:dyDescent="0.25">
      <c r="A1" s="19" t="s">
        <v>651</v>
      </c>
      <c r="B1" s="19" t="s">
        <v>652</v>
      </c>
      <c r="C1" s="19" t="s">
        <v>653</v>
      </c>
      <c r="D1" s="19" t="s">
        <v>654</v>
      </c>
      <c r="F1" s="19" t="s">
        <v>654</v>
      </c>
      <c r="G1" s="19" t="s">
        <v>655</v>
      </c>
      <c r="H1" s="19" t="s">
        <v>656</v>
      </c>
    </row>
    <row r="2" spans="1:8" x14ac:dyDescent="0.25">
      <c r="A2" s="11" t="s">
        <v>657</v>
      </c>
      <c r="B2" s="11" t="s">
        <v>658</v>
      </c>
      <c r="C2" s="12">
        <v>854023</v>
      </c>
      <c r="D2" s="11">
        <v>2013</v>
      </c>
      <c r="F2" s="11">
        <v>2013</v>
      </c>
      <c r="G2" s="23" cm="1">
        <f t="array" ref="G2">SUMPRODUCT((YEAR('Order raw'!H2:H701)=2013)*'Order raw'!L2:L701)-C2-C3</f>
        <v>4715804.450000003</v>
      </c>
      <c r="H2" s="23">
        <f>G2-C4</f>
        <v>3678328.450000003</v>
      </c>
    </row>
    <row r="3" spans="1:8" x14ac:dyDescent="0.25">
      <c r="A3" s="11" t="s">
        <v>659</v>
      </c>
      <c r="B3" s="11" t="s">
        <v>660</v>
      </c>
      <c r="C3" s="12">
        <v>2895322</v>
      </c>
      <c r="D3" s="11">
        <v>2013</v>
      </c>
      <c r="F3" s="11">
        <v>2014</v>
      </c>
      <c r="G3" s="23" cm="1">
        <f t="array" ref="G3">SUMPRODUCT((YEAR('Order raw'!H2:H701)=2014)*'Order raw'!L2:L701)-C5-C6</f>
        <v>16634970.57729524</v>
      </c>
      <c r="H3" s="23">
        <f>G3-C7</f>
        <v>12975277.57729524</v>
      </c>
    </row>
    <row r="4" spans="1:8" x14ac:dyDescent="0.25">
      <c r="A4" s="11" t="s">
        <v>661</v>
      </c>
      <c r="B4" s="11" t="s">
        <v>662</v>
      </c>
      <c r="C4" s="12">
        <v>1037476</v>
      </c>
      <c r="D4" s="11">
        <v>2013</v>
      </c>
    </row>
    <row r="5" spans="1:8" x14ac:dyDescent="0.25">
      <c r="A5" s="11" t="s">
        <v>657</v>
      </c>
      <c r="B5" s="11" t="s">
        <v>658</v>
      </c>
      <c r="C5" s="12">
        <v>3532853</v>
      </c>
      <c r="D5" s="11">
        <v>2014</v>
      </c>
    </row>
    <row r="6" spans="1:8" x14ac:dyDescent="0.25">
      <c r="A6" s="11" t="s">
        <v>659</v>
      </c>
      <c r="B6" s="11" t="s">
        <v>660</v>
      </c>
      <c r="C6" s="12">
        <v>9213451</v>
      </c>
      <c r="D6" s="11">
        <v>2014</v>
      </c>
    </row>
    <row r="7" spans="1:8" x14ac:dyDescent="0.25">
      <c r="A7" s="11" t="s">
        <v>661</v>
      </c>
      <c r="B7" s="11" t="s">
        <v>662</v>
      </c>
      <c r="C7" s="12">
        <v>3659693</v>
      </c>
      <c r="D7" s="11">
        <v>2014</v>
      </c>
    </row>
    <row r="8" spans="1:8" x14ac:dyDescent="0.25">
      <c r="A8" s="11" t="s">
        <v>70</v>
      </c>
      <c r="B8" s="11" t="s">
        <v>663</v>
      </c>
      <c r="C8" s="12">
        <v>39582132</v>
      </c>
      <c r="D8" s="11">
        <v>2015</v>
      </c>
    </row>
    <row r="9" spans="1:8" x14ac:dyDescent="0.25">
      <c r="A9" s="11" t="s">
        <v>656</v>
      </c>
      <c r="B9" s="11" t="s">
        <v>664</v>
      </c>
      <c r="C9" s="12">
        <v>16652123</v>
      </c>
      <c r="D9" s="11">
        <v>2015</v>
      </c>
    </row>
    <row r="11" spans="1:8" x14ac:dyDescent="0.25">
      <c r="C11" s="20"/>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12CE1-73E0-4BD1-8681-C925A0A1175D}">
  <sheetPr codeName="Sheet6"/>
  <dimension ref="A1:AO49"/>
  <sheetViews>
    <sheetView topLeftCell="A2" zoomScaleNormal="100" workbookViewId="0">
      <selection activeCell="AA9" sqref="AA9"/>
    </sheetView>
  </sheetViews>
  <sheetFormatPr defaultRowHeight="13.5" x14ac:dyDescent="0.25"/>
  <cols>
    <col min="1" max="1" width="13.28515625" bestFit="1" customWidth="1"/>
    <col min="2" max="3" width="10.85546875" bestFit="1" customWidth="1"/>
    <col min="4" max="4" width="11.5703125" customWidth="1"/>
    <col min="5" max="5" width="14.7109375" bestFit="1" customWidth="1"/>
    <col min="6" max="6" width="13.5703125" bestFit="1" customWidth="1"/>
    <col min="7" max="7" width="15.5703125" bestFit="1" customWidth="1"/>
    <col min="8" max="8" width="32.42578125" customWidth="1"/>
    <col min="9" max="9" width="13.85546875" bestFit="1" customWidth="1"/>
    <col min="10" max="11" width="10.85546875" bestFit="1" customWidth="1"/>
    <col min="12" max="12" width="12.140625" bestFit="1" customWidth="1"/>
    <col min="13" max="13" width="13.5703125" style="30" bestFit="1" customWidth="1"/>
    <col min="14" max="14" width="10.85546875" bestFit="1" customWidth="1"/>
    <col min="15" max="15" width="9.85546875" bestFit="1" customWidth="1"/>
    <col min="16" max="16" width="12.42578125" customWidth="1"/>
    <col min="17" max="17" width="12.140625" bestFit="1" customWidth="1"/>
    <col min="18" max="18" width="18.7109375" customWidth="1"/>
    <col min="19" max="19" width="16" bestFit="1" customWidth="1"/>
    <col min="20" max="20" width="15.140625" bestFit="1" customWidth="1"/>
    <col min="21" max="21" width="15" bestFit="1" customWidth="1"/>
    <col min="22" max="22" width="14.7109375" bestFit="1" customWidth="1"/>
    <col min="23" max="23" width="11.42578125" bestFit="1" customWidth="1"/>
    <col min="24" max="24" width="10.85546875" bestFit="1" customWidth="1"/>
    <col min="25" max="25" width="11.85546875" bestFit="1" customWidth="1"/>
    <col min="26" max="26" width="10.5703125" customWidth="1"/>
    <col min="27" max="27" width="13.85546875" bestFit="1" customWidth="1"/>
    <col min="28" max="28" width="11.42578125" bestFit="1" customWidth="1"/>
    <col min="29" max="29" width="10.85546875" bestFit="1" customWidth="1"/>
    <col min="30" max="30" width="11.85546875" bestFit="1" customWidth="1"/>
    <col min="31" max="31" width="10.85546875" bestFit="1" customWidth="1"/>
    <col min="32" max="32" width="15.7109375" bestFit="1" customWidth="1"/>
    <col min="33" max="33" width="18.5703125" customWidth="1"/>
    <col min="34" max="34" width="10.85546875" bestFit="1" customWidth="1"/>
    <col min="35" max="35" width="6.7109375" bestFit="1" customWidth="1"/>
    <col min="36" max="36" width="13.85546875" bestFit="1" customWidth="1"/>
    <col min="37" max="37" width="15.5703125" bestFit="1" customWidth="1"/>
    <col min="38" max="38" width="11.42578125" bestFit="1" customWidth="1"/>
    <col min="39" max="39" width="10.85546875" bestFit="1" customWidth="1"/>
    <col min="40" max="40" width="6.7109375" bestFit="1" customWidth="1"/>
    <col min="41" max="41" width="13.85546875" bestFit="1" customWidth="1"/>
  </cols>
  <sheetData>
    <row r="1" spans="1:41" x14ac:dyDescent="0.25">
      <c r="A1" s="24" t="s">
        <v>56</v>
      </c>
      <c r="B1" t="s">
        <v>70</v>
      </c>
      <c r="C1" t="s">
        <v>71</v>
      </c>
      <c r="E1" s="24" t="s">
        <v>58</v>
      </c>
      <c r="F1" t="s">
        <v>665</v>
      </c>
      <c r="G1" t="s">
        <v>666</v>
      </c>
      <c r="I1" s="24" t="s">
        <v>60</v>
      </c>
      <c r="J1" t="s">
        <v>70</v>
      </c>
      <c r="K1" t="s">
        <v>71</v>
      </c>
      <c r="M1" s="29" t="s">
        <v>66</v>
      </c>
      <c r="N1" t="s">
        <v>70</v>
      </c>
      <c r="O1" t="s">
        <v>71</v>
      </c>
      <c r="Q1" s="24" t="s">
        <v>72</v>
      </c>
      <c r="R1" t="s">
        <v>665</v>
      </c>
      <c r="S1" t="s">
        <v>666</v>
      </c>
      <c r="T1" t="s">
        <v>667</v>
      </c>
      <c r="V1" s="24" t="s">
        <v>668</v>
      </c>
      <c r="W1" s="24" t="s">
        <v>72</v>
      </c>
      <c r="AA1" s="24" t="s">
        <v>665</v>
      </c>
      <c r="AB1" s="24" t="s">
        <v>72</v>
      </c>
      <c r="AD1" s="32" t="s">
        <v>648</v>
      </c>
      <c r="AE1">
        <v>2013</v>
      </c>
      <c r="AF1">
        <v>2014</v>
      </c>
      <c r="AK1" s="24" t="s">
        <v>666</v>
      </c>
      <c r="AL1" s="24" t="s">
        <v>72</v>
      </c>
    </row>
    <row r="2" spans="1:41" x14ac:dyDescent="0.25">
      <c r="A2" t="s">
        <v>27</v>
      </c>
      <c r="B2" s="22">
        <v>28710422.458333343</v>
      </c>
      <c r="C2" s="22">
        <v>7613158.4583333321</v>
      </c>
      <c r="E2" t="s">
        <v>43</v>
      </c>
      <c r="F2" s="22">
        <v>21084904.600000001</v>
      </c>
      <c r="G2" s="22">
        <v>5946436.5999999996</v>
      </c>
      <c r="I2" t="s">
        <v>84</v>
      </c>
      <c r="J2" s="22">
        <v>49984791.266666666</v>
      </c>
      <c r="K2" s="22">
        <v>18922391.266666666</v>
      </c>
      <c r="M2" s="30">
        <v>41518</v>
      </c>
      <c r="N2" s="22">
        <v>6117183.9499999983</v>
      </c>
      <c r="O2" s="22">
        <v>1681358.9500000004</v>
      </c>
      <c r="Q2">
        <v>2013</v>
      </c>
      <c r="R2" s="20">
        <v>31433351.449999988</v>
      </c>
      <c r="S2" s="22">
        <v>8465149.450000003</v>
      </c>
      <c r="T2" s="39">
        <v>175</v>
      </c>
      <c r="V2" s="24" t="s">
        <v>60</v>
      </c>
      <c r="W2">
        <v>2013</v>
      </c>
      <c r="X2">
        <v>2014</v>
      </c>
      <c r="AA2" s="24" t="s">
        <v>60</v>
      </c>
      <c r="AB2">
        <v>2013</v>
      </c>
      <c r="AC2">
        <v>2014</v>
      </c>
      <c r="AD2" s="32" t="s">
        <v>84</v>
      </c>
      <c r="AE2" s="33">
        <f>IFERROR(GETPIVOTDATA("Sum of Revenue",Pivot!$AA$1,"Product name",AD2,"Order Year",2013),0)</f>
        <v>10780910</v>
      </c>
      <c r="AF2" s="22">
        <f>IFERROR(GETPIVOTDATA("Sum of Revenue",Pivot!$AA$1,"Product name",AD2,"Order Year",2014),0)</f>
        <v>39203881.266666666</v>
      </c>
      <c r="AK2" s="24" t="s">
        <v>60</v>
      </c>
      <c r="AL2">
        <v>2013</v>
      </c>
      <c r="AM2">
        <v>2014</v>
      </c>
    </row>
    <row r="3" spans="1:41" x14ac:dyDescent="0.25">
      <c r="A3" t="s">
        <v>31</v>
      </c>
      <c r="B3" s="22">
        <v>28612738.93920001</v>
      </c>
      <c r="C3" s="22">
        <v>7981388.9391999971</v>
      </c>
      <c r="E3" t="s">
        <v>45</v>
      </c>
      <c r="F3" s="22">
        <v>19748977.6492</v>
      </c>
      <c r="G3" s="22">
        <v>5877876.649199998</v>
      </c>
      <c r="I3" t="s">
        <v>80</v>
      </c>
      <c r="J3" s="22">
        <v>2721137.0992000005</v>
      </c>
      <c r="K3" s="22">
        <v>2280608.099200001</v>
      </c>
      <c r="M3" s="30">
        <v>41548</v>
      </c>
      <c r="N3" s="22">
        <v>11188753.5</v>
      </c>
      <c r="O3" s="22">
        <v>3385490.5</v>
      </c>
      <c r="Q3">
        <v>2014</v>
      </c>
      <c r="R3" s="20">
        <v>103754846.57729523</v>
      </c>
      <c r="S3" s="22">
        <v>29381274.57729524</v>
      </c>
      <c r="T3" s="39">
        <v>525</v>
      </c>
      <c r="V3" t="s">
        <v>84</v>
      </c>
      <c r="W3" s="22">
        <v>11790800</v>
      </c>
      <c r="X3" s="22">
        <v>42568400</v>
      </c>
      <c r="AA3" t="s">
        <v>84</v>
      </c>
      <c r="AB3" s="22">
        <v>10780910</v>
      </c>
      <c r="AC3" s="22">
        <v>39203881.266666666</v>
      </c>
      <c r="AD3" s="32" t="s">
        <v>80</v>
      </c>
      <c r="AE3" s="33">
        <f>IFERROR(GETPIVOTDATA("Sum of Revenue",Pivot!$AA$1,"Product name",AD3,"Order Year",2013),0)</f>
        <v>573753.39999999991</v>
      </c>
      <c r="AF3" s="22">
        <f>IFERROR(GETPIVOTDATA("Sum of Revenue",Pivot!$AA$1,"Product name",AD3,"Order Year",2014),0)</f>
        <v>2147383.6992000006</v>
      </c>
      <c r="AK3" t="s">
        <v>84</v>
      </c>
      <c r="AL3" s="22">
        <v>4043310</v>
      </c>
      <c r="AM3" s="22">
        <v>14879081.266666668</v>
      </c>
    </row>
    <row r="4" spans="1:41" x14ac:dyDescent="0.25">
      <c r="A4" t="s">
        <v>29</v>
      </c>
      <c r="B4" s="22">
        <v>26042559.500000004</v>
      </c>
      <c r="C4" s="22">
        <v>7638942.4999999981</v>
      </c>
      <c r="E4" t="s">
        <v>39</v>
      </c>
      <c r="F4" s="22">
        <v>56852364.696428604</v>
      </c>
      <c r="G4" s="22">
        <v>16604029.696428565</v>
      </c>
      <c r="I4" t="s">
        <v>82</v>
      </c>
      <c r="J4" s="22">
        <v>2153704.9499999997</v>
      </c>
      <c r="K4" s="22">
        <v>1382729.9499999997</v>
      </c>
      <c r="M4" s="30">
        <v>41579</v>
      </c>
      <c r="N4" s="22">
        <v>7630026.9500000002</v>
      </c>
      <c r="O4" s="22">
        <v>1680771.95</v>
      </c>
      <c r="Q4" t="s">
        <v>674</v>
      </c>
      <c r="R4" s="20">
        <v>135188198.02729514</v>
      </c>
      <c r="S4" s="22">
        <v>37846424.027295232</v>
      </c>
      <c r="T4" s="39">
        <v>700</v>
      </c>
      <c r="V4" t="s">
        <v>80</v>
      </c>
      <c r="W4" s="22">
        <v>628080</v>
      </c>
      <c r="X4" s="22">
        <v>2308780</v>
      </c>
      <c r="AA4" t="s">
        <v>80</v>
      </c>
      <c r="AB4" s="22">
        <v>573753.39999999991</v>
      </c>
      <c r="AC4" s="22">
        <v>2147383.6992000006</v>
      </c>
      <c r="AD4" s="32" t="s">
        <v>82</v>
      </c>
      <c r="AE4" s="33">
        <f>IFERROR(GETPIVOTDATA("Sum of Revenue",Pivot!$AA$1,"Product name",AD4,"Order Year",2013),0)</f>
        <v>503115.45</v>
      </c>
      <c r="AF4" s="22">
        <f>IFERROR(GETPIVOTDATA("Sum of Revenue",Pivot!$AA$1,"Product name",AD4,"Order Year",2014),0)</f>
        <v>1650589.4999999995</v>
      </c>
      <c r="AK4" t="s">
        <v>80</v>
      </c>
      <c r="AL4" s="22">
        <v>479541.4</v>
      </c>
      <c r="AM4" s="22">
        <v>1801066.6992000004</v>
      </c>
    </row>
    <row r="5" spans="1:41" x14ac:dyDescent="0.25">
      <c r="A5" t="s">
        <v>33</v>
      </c>
      <c r="B5" s="22">
        <v>22895567.700000003</v>
      </c>
      <c r="C5" s="22">
        <v>6626055.7000000002</v>
      </c>
      <c r="E5" t="s">
        <v>41</v>
      </c>
      <c r="F5" s="22">
        <v>17594852.556666669</v>
      </c>
      <c r="G5" s="22">
        <v>4660742.5566666666</v>
      </c>
      <c r="I5" t="s">
        <v>75</v>
      </c>
      <c r="J5" s="22">
        <v>6282541.9714285722</v>
      </c>
      <c r="K5" s="22">
        <v>2900181.9714285717</v>
      </c>
      <c r="M5" s="30">
        <v>41609</v>
      </c>
      <c r="N5" s="22">
        <v>6497387.0500000007</v>
      </c>
      <c r="O5" s="22">
        <v>1717528.0499999998</v>
      </c>
      <c r="R5" s="22"/>
      <c r="S5" s="31"/>
      <c r="V5" t="s">
        <v>82</v>
      </c>
      <c r="W5" s="22">
        <v>544200</v>
      </c>
      <c r="X5" s="22">
        <v>1768725</v>
      </c>
      <c r="AA5" t="s">
        <v>82</v>
      </c>
      <c r="AB5" s="22">
        <v>503115.45</v>
      </c>
      <c r="AC5" s="22">
        <v>1650589.4999999995</v>
      </c>
      <c r="AD5" s="32" t="s">
        <v>75</v>
      </c>
      <c r="AE5" s="33">
        <f>IFERROR(GETPIVOTDATA("Sum of Revenue",Pivot!$AA$1,"Product name",AD5,"Order Year",2013),0)</f>
        <v>1531024.9999999998</v>
      </c>
      <c r="AF5" s="22">
        <f>IFERROR(GETPIVOTDATA("Sum of Revenue",Pivot!$AA$1,"Product name",AD5,"Order Year",2014),0)</f>
        <v>4751516.9714285713</v>
      </c>
      <c r="AK5" t="s">
        <v>82</v>
      </c>
      <c r="AL5" s="22">
        <v>321715.45</v>
      </c>
      <c r="AM5" s="22">
        <v>1061014.5</v>
      </c>
    </row>
    <row r="6" spans="1:41" x14ac:dyDescent="0.25">
      <c r="A6" t="s">
        <v>35</v>
      </c>
      <c r="B6" s="22">
        <v>28926909.429761901</v>
      </c>
      <c r="C6" s="22">
        <v>7986878.4297619062</v>
      </c>
      <c r="E6" t="s">
        <v>47</v>
      </c>
      <c r="F6" s="22">
        <v>19907098.524999999</v>
      </c>
      <c r="G6" s="22">
        <v>4757338.5249999994</v>
      </c>
      <c r="I6" t="s">
        <v>88</v>
      </c>
      <c r="J6" s="22">
        <v>27118509.240000013</v>
      </c>
      <c r="K6" s="22">
        <v>7627749.2399999965</v>
      </c>
      <c r="M6" s="30">
        <v>41640</v>
      </c>
      <c r="N6" s="22">
        <v>8236148.2257142859</v>
      </c>
      <c r="O6" s="22">
        <v>2249882.2257142854</v>
      </c>
      <c r="Q6" t="s">
        <v>70</v>
      </c>
      <c r="R6" s="22">
        <f>GETPIVOTDATA("Sum of Revenue",$Q$1)</f>
        <v>135188198.02729514</v>
      </c>
      <c r="V6" t="s">
        <v>75</v>
      </c>
      <c r="W6" s="22">
        <v>1644940</v>
      </c>
      <c r="X6" s="22">
        <v>5119780</v>
      </c>
      <c r="AA6" t="s">
        <v>75</v>
      </c>
      <c r="AB6" s="22">
        <v>1531024.9999999998</v>
      </c>
      <c r="AC6" s="22">
        <v>4751516.9714285713</v>
      </c>
      <c r="AD6" s="32" t="s">
        <v>88</v>
      </c>
      <c r="AE6" s="33">
        <f>IFERROR(GETPIVOTDATA("Sum of Revenue",Pivot!$AA$1,"Product name",AD6,"Order Year",2013),0)</f>
        <v>6536577.6000000006</v>
      </c>
      <c r="AF6" s="22">
        <f>IFERROR(GETPIVOTDATA("Sum of Revenue",Pivot!$AA$1,"Product name",AD6,"Order Year",2014),0)</f>
        <v>20581931.640000004</v>
      </c>
      <c r="AK6" t="s">
        <v>75</v>
      </c>
      <c r="AL6" s="22">
        <v>708555.00000000012</v>
      </c>
      <c r="AM6" s="22">
        <v>2191626.9714285713</v>
      </c>
    </row>
    <row r="7" spans="1:41" x14ac:dyDescent="0.25">
      <c r="A7" s="37" t="s">
        <v>683</v>
      </c>
      <c r="I7" t="s">
        <v>78</v>
      </c>
      <c r="J7" s="22">
        <v>46927513.5</v>
      </c>
      <c r="K7" s="22">
        <v>4732763.5</v>
      </c>
      <c r="M7" s="30">
        <v>41671</v>
      </c>
      <c r="N7" s="22">
        <v>7837279.5000000009</v>
      </c>
      <c r="O7" s="22">
        <v>2196795.5000000005</v>
      </c>
      <c r="Q7" t="s">
        <v>71</v>
      </c>
      <c r="R7" s="22">
        <f>GETPIVOTDATA("Sum of Gross Profit",$Q$1)</f>
        <v>37846424.027295232</v>
      </c>
      <c r="V7" t="s">
        <v>88</v>
      </c>
      <c r="W7" s="22">
        <v>7104780</v>
      </c>
      <c r="X7" s="22">
        <v>22131360</v>
      </c>
      <c r="AA7" t="s">
        <v>88</v>
      </c>
      <c r="AB7" s="22">
        <v>6536577.6000000006</v>
      </c>
      <c r="AC7" s="22">
        <v>20581931.640000004</v>
      </c>
      <c r="AD7" s="32" t="s">
        <v>78</v>
      </c>
      <c r="AE7" s="33">
        <f>IFERROR(GETPIVOTDATA("Sum of Revenue",Pivot!$AA$1,"Product name",AD7,"Order Year",2013),0)</f>
        <v>11507970</v>
      </c>
      <c r="AF7" s="22">
        <f>IFERROR(GETPIVOTDATA("Sum of Revenue",Pivot!$AA$1,"Product name",AD7,"Order Year",2014),0)</f>
        <v>35419543.5</v>
      </c>
      <c r="AK7" t="s">
        <v>88</v>
      </c>
      <c r="AL7" s="22">
        <v>1800057.6</v>
      </c>
      <c r="AM7" s="22">
        <v>5827691.6399999997</v>
      </c>
    </row>
    <row r="8" spans="1:41" x14ac:dyDescent="0.25">
      <c r="M8" s="30">
        <v>41699</v>
      </c>
      <c r="N8" s="22">
        <v>6131979.2000000002</v>
      </c>
      <c r="O8" s="22">
        <v>1667581.2000000002</v>
      </c>
      <c r="Q8" s="32" t="s">
        <v>675</v>
      </c>
      <c r="R8">
        <f>GETPIVOTDATA("Count of Order ID",$Q$1)</f>
        <v>700</v>
      </c>
      <c r="V8" t="s">
        <v>78</v>
      </c>
      <c r="W8" s="22">
        <v>12475200</v>
      </c>
      <c r="X8" s="22">
        <v>38158500</v>
      </c>
      <c r="AA8" t="s">
        <v>78</v>
      </c>
      <c r="AB8" s="22">
        <v>11507970</v>
      </c>
      <c r="AC8" s="22">
        <v>35419543.5</v>
      </c>
      <c r="AK8" t="s">
        <v>78</v>
      </c>
      <c r="AL8" s="22">
        <v>1111970</v>
      </c>
      <c r="AM8" s="22">
        <v>3620793.5</v>
      </c>
    </row>
    <row r="9" spans="1:41" x14ac:dyDescent="0.25">
      <c r="M9" s="30">
        <v>41730</v>
      </c>
      <c r="N9" s="22">
        <v>9126710.0599142853</v>
      </c>
      <c r="O9" s="22">
        <v>2930988.0599142858</v>
      </c>
      <c r="Q9" s="37" t="s">
        <v>688</v>
      </c>
      <c r="AA9" s="37" t="s">
        <v>682</v>
      </c>
    </row>
    <row r="10" spans="1:41" x14ac:dyDescent="0.25">
      <c r="A10" s="24" t="s">
        <v>73</v>
      </c>
      <c r="B10" t="s">
        <v>70</v>
      </c>
      <c r="C10" t="s">
        <v>71</v>
      </c>
      <c r="M10" s="30">
        <v>41760</v>
      </c>
      <c r="N10" s="22">
        <v>6483235.5999999996</v>
      </c>
      <c r="O10" s="22">
        <v>1883465.6</v>
      </c>
    </row>
    <row r="11" spans="1:41" x14ac:dyDescent="0.25">
      <c r="A11" t="s">
        <v>669</v>
      </c>
      <c r="B11" s="22">
        <v>12596810</v>
      </c>
      <c r="C11" s="22">
        <v>4323126</v>
      </c>
      <c r="M11" s="30">
        <v>41791</v>
      </c>
      <c r="N11" s="22">
        <v>13302620.449999999</v>
      </c>
      <c r="O11" s="22">
        <v>3689270.4499999997</v>
      </c>
      <c r="V11" s="24" t="s">
        <v>665</v>
      </c>
      <c r="W11" s="24" t="s">
        <v>58</v>
      </c>
    </row>
    <row r="12" spans="1:41" x14ac:dyDescent="0.25">
      <c r="A12" t="s">
        <v>642</v>
      </c>
      <c r="B12" s="22">
        <v>26821186.709914301</v>
      </c>
      <c r="C12" s="22">
        <v>8240410.7099142829</v>
      </c>
      <c r="M12" s="30">
        <v>41821</v>
      </c>
      <c r="N12" s="22">
        <v>7899817.2416666662</v>
      </c>
      <c r="O12" s="22">
        <v>2348582.2416666667</v>
      </c>
      <c r="V12" s="24" t="s">
        <v>60</v>
      </c>
      <c r="W12" t="s">
        <v>43</v>
      </c>
      <c r="X12" t="s">
        <v>45</v>
      </c>
      <c r="Y12" t="s">
        <v>39</v>
      </c>
      <c r="Z12" t="s">
        <v>41</v>
      </c>
      <c r="AA12" t="s">
        <v>47</v>
      </c>
      <c r="AB12" t="s">
        <v>676</v>
      </c>
      <c r="AC12" t="s">
        <v>43</v>
      </c>
      <c r="AD12" t="s">
        <v>45</v>
      </c>
      <c r="AE12" t="s">
        <v>39</v>
      </c>
      <c r="AF12" t="s">
        <v>41</v>
      </c>
      <c r="AG12" t="s">
        <v>47</v>
      </c>
    </row>
    <row r="13" spans="1:41" x14ac:dyDescent="0.25">
      <c r="A13" t="s">
        <v>644</v>
      </c>
      <c r="B13" s="22">
        <v>46478505.733333334</v>
      </c>
      <c r="C13" s="22">
        <v>12803259.733333332</v>
      </c>
      <c r="M13" s="30">
        <v>41852</v>
      </c>
      <c r="N13" s="22">
        <v>7779475.6000000006</v>
      </c>
      <c r="O13" s="22">
        <v>2176445.5999999996</v>
      </c>
      <c r="V13" t="s">
        <v>82</v>
      </c>
      <c r="W13" s="22">
        <v>327305.70000000007</v>
      </c>
      <c r="X13" s="22">
        <v>313773.75</v>
      </c>
      <c r="Y13" s="22">
        <v>888647.02499999991</v>
      </c>
      <c r="Z13" s="22">
        <v>290239.05</v>
      </c>
      <c r="AA13" s="22">
        <v>333739.42500000005</v>
      </c>
      <c r="AB13" t="str">
        <f t="shared" ref="AB13:AB18" si="0">V13</f>
        <v>Montana</v>
      </c>
      <c r="AC13" s="22">
        <f>IFERROR(GETPIVOTDATA("Sum of Revenue",Pivot!$V$11,"Product name",$AB13,"Buyer segment",AC$12),0)</f>
        <v>327305.70000000007</v>
      </c>
      <c r="AD13" s="22">
        <f>IFERROR(GETPIVOTDATA("Sum of Revenue",Pivot!$V$11,"Product name",$AB13,"Buyer segment",AD$12),0)</f>
        <v>313773.75</v>
      </c>
      <c r="AE13" s="22">
        <f>IFERROR(GETPIVOTDATA("Sum of Revenue",Pivot!$V$11,"Product name",$AB13,"Buyer segment",AE$12),0)</f>
        <v>888647.02499999991</v>
      </c>
      <c r="AF13" s="22">
        <f>IFERROR(GETPIVOTDATA("Sum of Revenue",Pivot!$V$11,"Product name",$AB13,"Buyer segment",AF$12),0)</f>
        <v>290239.05</v>
      </c>
      <c r="AG13" s="22">
        <f>IFERROR(GETPIVOTDATA("Sum of Revenue",Pivot!$V$11,"Product name",$AB13,"Buyer segment",AG$12),0)</f>
        <v>333739.42500000005</v>
      </c>
    </row>
    <row r="14" spans="1:41" x14ac:dyDescent="0.25">
      <c r="A14" t="s">
        <v>646</v>
      </c>
      <c r="B14" s="22">
        <v>49291695.584047623</v>
      </c>
      <c r="C14" s="22">
        <v>12479627.584047616</v>
      </c>
      <c r="M14" s="30">
        <v>41883</v>
      </c>
      <c r="N14" s="22">
        <v>6907868.9000000004</v>
      </c>
      <c r="O14" s="22">
        <v>2086703.9</v>
      </c>
      <c r="V14" t="s">
        <v>80</v>
      </c>
      <c r="W14" s="22">
        <v>471397.8</v>
      </c>
      <c r="X14" s="22">
        <v>512563.29919999995</v>
      </c>
      <c r="Y14" s="22">
        <v>1026735.1999999998</v>
      </c>
      <c r="Z14" s="22">
        <v>449740</v>
      </c>
      <c r="AA14" s="22">
        <v>260700.80000000002</v>
      </c>
      <c r="AB14" t="str">
        <f t="shared" si="0"/>
        <v>Carretera</v>
      </c>
      <c r="AC14" s="22">
        <f>IFERROR(GETPIVOTDATA("Sum of Revenue",Pivot!$V$11,"Product name",$AB14,"Buyer segment",AC$12),0)</f>
        <v>471397.8</v>
      </c>
      <c r="AD14" s="22">
        <f>IFERROR(GETPIVOTDATA("Sum of Revenue",Pivot!$V$11,"Product name",$AB14,"Buyer segment",AD$12),0)</f>
        <v>512563.29919999995</v>
      </c>
      <c r="AE14" s="22">
        <f>IFERROR(GETPIVOTDATA("Sum of Revenue",Pivot!$V$11,"Product name",$AB14,"Buyer segment",AE$12),0)</f>
        <v>1026735.1999999998</v>
      </c>
      <c r="AF14" s="22">
        <f>IFERROR(GETPIVOTDATA("Sum of Revenue",Pivot!$V$11,"Product name",$AB14,"Buyer segment",AF$12),0)</f>
        <v>449740</v>
      </c>
      <c r="AG14" s="22">
        <f>IFERROR(GETPIVOTDATA("Sum of Revenue",Pivot!$V$11,"Product name",$AB14,"Buyer segment",AG$12),0)</f>
        <v>260700.80000000002</v>
      </c>
      <c r="AK14" s="24" t="s">
        <v>654</v>
      </c>
      <c r="AL14" t="s">
        <v>670</v>
      </c>
      <c r="AN14" s="24" t="s">
        <v>654</v>
      </c>
      <c r="AO14" t="s">
        <v>671</v>
      </c>
    </row>
    <row r="15" spans="1:41" x14ac:dyDescent="0.25">
      <c r="A15" s="37" t="s">
        <v>685</v>
      </c>
      <c r="M15" s="30">
        <v>41913</v>
      </c>
      <c r="N15" s="22">
        <v>12611631.199999999</v>
      </c>
      <c r="O15" s="22">
        <v>3258355.2</v>
      </c>
      <c r="V15" t="s">
        <v>75</v>
      </c>
      <c r="W15" s="22">
        <v>757504</v>
      </c>
      <c r="X15" s="22">
        <v>842857.60000000009</v>
      </c>
      <c r="Y15" s="22">
        <v>2705307.271428572</v>
      </c>
      <c r="Z15" s="22">
        <v>1210305.7999999996</v>
      </c>
      <c r="AA15" s="22">
        <v>766567.3</v>
      </c>
      <c r="AB15" t="str">
        <f t="shared" si="0"/>
        <v>Paseo</v>
      </c>
      <c r="AC15" s="22">
        <f>IFERROR(GETPIVOTDATA("Sum of Revenue",Pivot!$V$11,"Product name",$AB15,"Buyer segment",AC$12),0)</f>
        <v>757504</v>
      </c>
      <c r="AD15" s="22">
        <f>IFERROR(GETPIVOTDATA("Sum of Revenue",Pivot!$V$11,"Product name",$AB15,"Buyer segment",AD$12),0)</f>
        <v>842857.60000000009</v>
      </c>
      <c r="AE15" s="22">
        <f>IFERROR(GETPIVOTDATA("Sum of Revenue",Pivot!$V$11,"Product name",$AB15,"Buyer segment",AE$12),0)</f>
        <v>2705307.271428572</v>
      </c>
      <c r="AF15" s="22">
        <f>IFERROR(GETPIVOTDATA("Sum of Revenue",Pivot!$V$11,"Product name",$AB15,"Buyer segment",AF$12),0)</f>
        <v>1210305.7999999996</v>
      </c>
      <c r="AG15" s="22">
        <f>IFERROR(GETPIVOTDATA("Sum of Revenue",Pivot!$V$11,"Product name",$AB15,"Buyer segment",AG$12),0)</f>
        <v>766567.3</v>
      </c>
      <c r="AK15">
        <v>2013</v>
      </c>
      <c r="AL15" s="22">
        <v>4715804.450000003</v>
      </c>
      <c r="AN15">
        <v>2013</v>
      </c>
      <c r="AO15" s="22">
        <v>3678328.450000003</v>
      </c>
    </row>
    <row r="16" spans="1:41" x14ac:dyDescent="0.25">
      <c r="M16" s="30">
        <v>41944</v>
      </c>
      <c r="N16" s="22">
        <v>6078227.9500000002</v>
      </c>
      <c r="O16" s="22">
        <v>1693218.9499999997</v>
      </c>
      <c r="V16" t="s">
        <v>88</v>
      </c>
      <c r="W16" s="22">
        <v>2743860.5999999996</v>
      </c>
      <c r="X16" s="22">
        <v>5156982</v>
      </c>
      <c r="Y16" s="22">
        <v>12199079.700000001</v>
      </c>
      <c r="Z16" s="22">
        <v>3173890.44</v>
      </c>
      <c r="AA16" s="22">
        <v>3844696.4999999995</v>
      </c>
      <c r="AB16" t="str">
        <f t="shared" si="0"/>
        <v>Velo</v>
      </c>
      <c r="AC16" s="22">
        <f>IFERROR(GETPIVOTDATA("Sum of Revenue",Pivot!$V$11,"Product name",$AB16,"Buyer segment",AC$12),0)</f>
        <v>2743860.5999999996</v>
      </c>
      <c r="AD16" s="22">
        <f>IFERROR(GETPIVOTDATA("Sum of Revenue",Pivot!$V$11,"Product name",$AB16,"Buyer segment",AD$12),0)</f>
        <v>5156982</v>
      </c>
      <c r="AE16" s="22">
        <f>IFERROR(GETPIVOTDATA("Sum of Revenue",Pivot!$V$11,"Product name",$AB16,"Buyer segment",AE$12),0)</f>
        <v>12199079.700000001</v>
      </c>
      <c r="AF16" s="22">
        <f>IFERROR(GETPIVOTDATA("Sum of Revenue",Pivot!$V$11,"Product name",$AB16,"Buyer segment",AF$12),0)</f>
        <v>3173890.44</v>
      </c>
      <c r="AG16" s="22">
        <f>IFERROR(GETPIVOTDATA("Sum of Revenue",Pivot!$V$11,"Product name",$AB16,"Buyer segment",AG$12),0)</f>
        <v>3844696.4999999995</v>
      </c>
      <c r="AK16">
        <v>2014</v>
      </c>
      <c r="AL16" s="22">
        <v>16634970.57729524</v>
      </c>
      <c r="AN16">
        <v>2014</v>
      </c>
      <c r="AO16" s="22">
        <v>12975277.57729524</v>
      </c>
    </row>
    <row r="17" spans="1:33" x14ac:dyDescent="0.25">
      <c r="M17" s="30">
        <v>41974</v>
      </c>
      <c r="N17" s="22">
        <v>11359852.649999999</v>
      </c>
      <c r="O17" s="22">
        <v>3199985.6500000004</v>
      </c>
      <c r="V17" t="s">
        <v>78</v>
      </c>
      <c r="W17" s="22">
        <v>7520424</v>
      </c>
      <c r="X17" s="22">
        <v>5521050</v>
      </c>
      <c r="Y17" s="22">
        <v>17876272.5</v>
      </c>
      <c r="Z17" s="22">
        <v>6668367</v>
      </c>
      <c r="AA17" s="22">
        <v>9341400</v>
      </c>
      <c r="AB17" t="str">
        <f t="shared" si="0"/>
        <v>VTT</v>
      </c>
      <c r="AC17" s="22">
        <f>IFERROR(GETPIVOTDATA("Sum of Revenue",Pivot!$V$11,"Product name",$AB17,"Buyer segment",AC$12),0)</f>
        <v>7520424</v>
      </c>
      <c r="AD17" s="22">
        <f>IFERROR(GETPIVOTDATA("Sum of Revenue",Pivot!$V$11,"Product name",$AB17,"Buyer segment",AD$12),0)</f>
        <v>5521050</v>
      </c>
      <c r="AE17" s="22">
        <f>IFERROR(GETPIVOTDATA("Sum of Revenue",Pivot!$V$11,"Product name",$AB17,"Buyer segment",AE$12),0)</f>
        <v>17876272.5</v>
      </c>
      <c r="AF17" s="22">
        <f>IFERROR(GETPIVOTDATA("Sum of Revenue",Pivot!$V$11,"Product name",$AB17,"Buyer segment",AF$12),0)</f>
        <v>6668367</v>
      </c>
      <c r="AG17" s="22">
        <f>IFERROR(GETPIVOTDATA("Sum of Revenue",Pivot!$V$11,"Product name",$AB17,"Buyer segment",AG$12),0)</f>
        <v>9341400</v>
      </c>
    </row>
    <row r="18" spans="1:33" x14ac:dyDescent="0.25">
      <c r="M18"/>
      <c r="V18" t="s">
        <v>84</v>
      </c>
      <c r="W18" s="22">
        <v>9264412.5</v>
      </c>
      <c r="X18" s="22">
        <v>7401751</v>
      </c>
      <c r="Y18" s="22">
        <v>22156323</v>
      </c>
      <c r="Z18" s="22">
        <v>5802310.2666666666</v>
      </c>
      <c r="AA18" s="22">
        <v>5359994.5</v>
      </c>
      <c r="AB18" t="str">
        <f t="shared" si="0"/>
        <v>Amarilla</v>
      </c>
      <c r="AC18" s="22">
        <f>IFERROR(GETPIVOTDATA("Sum of Revenue",Pivot!$V$11,"Product name",$AB18,"Buyer segment",AC$12),0)</f>
        <v>9264412.5</v>
      </c>
      <c r="AD18" s="22">
        <f>IFERROR(GETPIVOTDATA("Sum of Revenue",Pivot!$V$11,"Product name",$AB18,"Buyer segment",AD$12),0)</f>
        <v>7401751</v>
      </c>
      <c r="AE18" s="22">
        <f>IFERROR(GETPIVOTDATA("Sum of Revenue",Pivot!$V$11,"Product name",$AB18,"Buyer segment",AE$12),0)</f>
        <v>22156323</v>
      </c>
      <c r="AF18" s="22">
        <f>IFERROR(GETPIVOTDATA("Sum of Revenue",Pivot!$V$11,"Product name",$AB18,"Buyer segment",AF$12),0)</f>
        <v>5802310.2666666666</v>
      </c>
      <c r="AG18" s="22">
        <f>IFERROR(GETPIVOTDATA("Sum of Revenue",Pivot!$V$11,"Product name",$AB18,"Buyer segment",AG$12),0)</f>
        <v>5359994.5</v>
      </c>
    </row>
    <row r="20" spans="1:33" x14ac:dyDescent="0.25">
      <c r="M20" s="28" t="s">
        <v>654</v>
      </c>
      <c r="N20" s="28" t="s">
        <v>71</v>
      </c>
      <c r="O20" s="28" t="s">
        <v>657</v>
      </c>
      <c r="P20" s="28" t="s">
        <v>672</v>
      </c>
      <c r="Q20" s="28" t="s">
        <v>661</v>
      </c>
      <c r="R20" s="28" t="s">
        <v>673</v>
      </c>
      <c r="S20" s="28" t="s">
        <v>656</v>
      </c>
    </row>
    <row r="21" spans="1:33" x14ac:dyDescent="0.25">
      <c r="M21" s="25">
        <v>2013</v>
      </c>
      <c r="N21" s="26">
        <f>SUMIFS('Order raw'!$L$2:$L$701,'Order raw'!$M$2:$M$701,M21)</f>
        <v>8465149.450000003</v>
      </c>
      <c r="O21" s="27">
        <f>SUMIFS('Other financials'!$C$2:$C$9,'Other financials'!$A$2:$A$9,"G&amp;A Cost",'Other financials'!$D$2:$D$9,2013)</f>
        <v>854023</v>
      </c>
      <c r="P21" s="27">
        <f>SUMIFS('Other financials'!$C$2:$C$9,'Other financials'!$A$2:$A$9,"Handling Cost",'Other financials'!$D$2:$D$9,2013)</f>
        <v>2895322</v>
      </c>
      <c r="Q21" s="27">
        <f>SUMIFS('Other financials'!$C$2:$C$9,'Other financials'!$A$2:$A$9,"Tax",'Other financials'!$D$2:$D$9,2013)</f>
        <v>1037476</v>
      </c>
      <c r="R21" s="26">
        <f>N21-O21-P21</f>
        <v>4715804.450000003</v>
      </c>
      <c r="S21" s="26">
        <f>R21-Q21</f>
        <v>3678328.450000003</v>
      </c>
      <c r="U21">
        <f>IF(ISNUMBER(IFERROR(GETPIVOTDATA("Sum of Revenue",Pivot!$Q$1,"Order Year",M21),"x")),1)</f>
        <v>1</v>
      </c>
    </row>
    <row r="22" spans="1:33" x14ac:dyDescent="0.25">
      <c r="M22" s="25">
        <v>2014</v>
      </c>
      <c r="N22" s="26">
        <f>SUMIFS('Order raw'!$L$2:$L$701,'Order raw'!$M$2:$M$701,M22)</f>
        <v>29381274.57729524</v>
      </c>
      <c r="O22" s="27">
        <f>SUMIFS('Other financials'!$C$2:$C$9,'Other financials'!$A$2:$A$9,"G&amp;A Cost",'Other financials'!$D$2:$D$9,2014)</f>
        <v>3532853</v>
      </c>
      <c r="P22" s="27">
        <f>SUMIFS('Other financials'!$C$2:$C$9,'Other financials'!$A$2:$A$9,"Handling Cost",'Other financials'!$D$2:$D$9,2014)</f>
        <v>9213451</v>
      </c>
      <c r="Q22" s="27">
        <f>SUMIFS('Other financials'!$C$2:$C$9,'Other financials'!$A$2:$A$9,"Tax",'Other financials'!$D$2:$D$9,2014)</f>
        <v>3659693</v>
      </c>
      <c r="R22" s="26">
        <f>N22-O22-P22</f>
        <v>16634970.57729524</v>
      </c>
      <c r="S22" s="26">
        <f>R22-Q22</f>
        <v>12975277.57729524</v>
      </c>
      <c r="U22">
        <f>IF(ISNUMBER(IFERROR(GETPIVOTDATA("Sum of Revenue",Pivot!$Q$1,"Order Year",M22),"x")),1)</f>
        <v>1</v>
      </c>
    </row>
    <row r="23" spans="1:33" x14ac:dyDescent="0.25">
      <c r="M23" s="38" t="s">
        <v>684</v>
      </c>
      <c r="S23" s="22"/>
      <c r="U23" s="22">
        <f>IFERROR(GETPIVOTDATA("Sum of Gross Profit",$Q$1,"Order Year",M21),0)*S21/N21+IFERROR(GETPIVOTDATA("Sum of Gross Profit",$Q$1,"Order Year",M22),0)*S22/N22</f>
        <v>16653606.027295243</v>
      </c>
    </row>
    <row r="26" spans="1:33" x14ac:dyDescent="0.25">
      <c r="A26" s="37" t="s">
        <v>686</v>
      </c>
    </row>
    <row r="27" spans="1:33" x14ac:dyDescent="0.25">
      <c r="A27" t="s">
        <v>648</v>
      </c>
      <c r="B27" t="s">
        <v>70</v>
      </c>
      <c r="C27" t="s">
        <v>678</v>
      </c>
      <c r="E27" s="32" t="s">
        <v>679</v>
      </c>
      <c r="F27" s="32" t="s">
        <v>651</v>
      </c>
      <c r="G27" s="32" t="s">
        <v>70</v>
      </c>
      <c r="H27" s="32" t="s">
        <v>680</v>
      </c>
    </row>
    <row r="28" spans="1:33" x14ac:dyDescent="0.25">
      <c r="A28" t="s">
        <v>84</v>
      </c>
      <c r="B28" s="31">
        <f>IFERROR(GETPIVOTDATA("Revenue",$I$1,"Product name",A28),0)</f>
        <v>49984791.266666666</v>
      </c>
      <c r="C28" s="31">
        <f>B28+ROW()/1000000</f>
        <v>49984791.266694665</v>
      </c>
      <c r="E28">
        <v>1</v>
      </c>
      <c r="F28" t="str">
        <f>IF(G28=0,"-",INDEX($A$28:$A$33,MATCH(LARGE($C$28:$C$33,E28),$C$28:$C$33,0)))</f>
        <v>Amarilla</v>
      </c>
      <c r="G28" s="22">
        <f>INDEX($B$28:$B$33,MATCH(LARGE($C$28:$C$33,E28),$C$28:$C$33,0))</f>
        <v>49984791.266666666</v>
      </c>
      <c r="H28" t="str">
        <f>IF(G28=0,"",REPT("█",MAX(1,ROUND(G28/$G$28*20,0))))</f>
        <v>████████████████████</v>
      </c>
    </row>
    <row r="29" spans="1:33" x14ac:dyDescent="0.25">
      <c r="A29" t="s">
        <v>80</v>
      </c>
      <c r="B29" s="31">
        <f t="shared" ref="B29:B33" si="1">IFERROR(GETPIVOTDATA("Revenue",$I$1,"Product name",A29),0)</f>
        <v>2721137.0992000005</v>
      </c>
      <c r="C29" s="31">
        <f t="shared" ref="C29:C33" si="2">B29+ROW()/1000000</f>
        <v>2721137.0992290005</v>
      </c>
      <c r="E29">
        <v>2</v>
      </c>
      <c r="F29" t="str">
        <f t="shared" ref="F29:F30" si="3">IF(G29=0,"-",INDEX($A$28:$A$33,MATCH(LARGE($C$28:$C$33,E29),$C$28:$C$33,0)))</f>
        <v>VTT</v>
      </c>
      <c r="G29" s="22">
        <f t="shared" ref="G29:G30" si="4">INDEX($B$28:$B$33,MATCH(LARGE($C$28:$C$33,E29),$C$28:$C$33,0))</f>
        <v>46927513.5</v>
      </c>
      <c r="H29" t="str">
        <f>IF(G29=0,"",REPT("█",MAX(1,ROUND(G29/$G$28*20,0))))</f>
        <v>███████████████████</v>
      </c>
      <c r="I29" s="35"/>
    </row>
    <row r="30" spans="1:33" x14ac:dyDescent="0.25">
      <c r="A30" t="s">
        <v>82</v>
      </c>
      <c r="B30" s="31">
        <f t="shared" si="1"/>
        <v>2153704.9499999997</v>
      </c>
      <c r="C30" s="31">
        <f t="shared" si="2"/>
        <v>2153704.9500299999</v>
      </c>
      <c r="E30">
        <v>3</v>
      </c>
      <c r="F30" t="str">
        <f t="shared" si="3"/>
        <v>Velo</v>
      </c>
      <c r="G30" s="22">
        <f t="shared" si="4"/>
        <v>27118509.240000013</v>
      </c>
      <c r="H30" t="str">
        <f>IF(G30=0,"",REPT("█",MAX(1,ROUND(G30/$G$28*20,0))))</f>
        <v>███████████</v>
      </c>
    </row>
    <row r="31" spans="1:33" x14ac:dyDescent="0.25">
      <c r="A31" t="s">
        <v>75</v>
      </c>
      <c r="B31" s="31">
        <f t="shared" si="1"/>
        <v>6282541.9714285722</v>
      </c>
      <c r="C31" s="31">
        <f t="shared" si="2"/>
        <v>6282541.9714595722</v>
      </c>
    </row>
    <row r="32" spans="1:33" x14ac:dyDescent="0.25">
      <c r="A32" t="s">
        <v>88</v>
      </c>
      <c r="B32" s="31">
        <f t="shared" si="1"/>
        <v>27118509.240000013</v>
      </c>
      <c r="C32" s="31">
        <f t="shared" si="2"/>
        <v>27118509.240032014</v>
      </c>
    </row>
    <row r="33" spans="1:8" x14ac:dyDescent="0.25">
      <c r="A33" t="s">
        <v>78</v>
      </c>
      <c r="B33" s="31">
        <f t="shared" si="1"/>
        <v>46927513.5</v>
      </c>
      <c r="C33" s="31">
        <f t="shared" si="2"/>
        <v>46927513.500032999</v>
      </c>
    </row>
    <row r="36" spans="1:8" x14ac:dyDescent="0.25">
      <c r="A36" s="32"/>
      <c r="B36" s="32"/>
      <c r="C36" s="32"/>
      <c r="E36" s="32"/>
      <c r="F36" s="32"/>
      <c r="G36" s="32"/>
      <c r="H36" s="32"/>
    </row>
    <row r="37" spans="1:8" x14ac:dyDescent="0.25">
      <c r="B37" s="22"/>
      <c r="C37" s="22"/>
      <c r="G37" s="22"/>
      <c r="H37" s="36"/>
    </row>
    <row r="38" spans="1:8" x14ac:dyDescent="0.25">
      <c r="B38" s="22"/>
      <c r="C38" s="22"/>
      <c r="G38" s="22"/>
      <c r="H38" s="36"/>
    </row>
    <row r="39" spans="1:8" x14ac:dyDescent="0.25">
      <c r="B39" s="22"/>
      <c r="C39" s="22"/>
      <c r="G39" s="22"/>
      <c r="H39" s="36"/>
    </row>
    <row r="40" spans="1:8" x14ac:dyDescent="0.25">
      <c r="B40" s="22"/>
      <c r="C40" s="22"/>
    </row>
    <row r="41" spans="1:8" x14ac:dyDescent="0.25">
      <c r="B41" s="22"/>
      <c r="C41" s="22"/>
    </row>
    <row r="43" spans="1:8" x14ac:dyDescent="0.25">
      <c r="A43" s="37" t="s">
        <v>687</v>
      </c>
    </row>
    <row r="44" spans="1:8" x14ac:dyDescent="0.25">
      <c r="A44" s="32" t="s">
        <v>681</v>
      </c>
      <c r="B44" s="32" t="s">
        <v>70</v>
      </c>
      <c r="C44" s="32" t="s">
        <v>678</v>
      </c>
      <c r="E44" s="32" t="s">
        <v>679</v>
      </c>
      <c r="F44" s="32" t="s">
        <v>651</v>
      </c>
      <c r="G44" s="32" t="s">
        <v>70</v>
      </c>
      <c r="H44" s="32" t="s">
        <v>680</v>
      </c>
    </row>
    <row r="45" spans="1:8" x14ac:dyDescent="0.25">
      <c r="A45" t="s">
        <v>43</v>
      </c>
      <c r="B45" s="31">
        <f>IFERROR(GETPIVOTDATA("Sum of Revenue",$E$1,"Buyer segment",A45),0)</f>
        <v>21084904.600000001</v>
      </c>
      <c r="C45" s="31">
        <f>B45+ROW()/1000000</f>
        <v>21084904.600045003</v>
      </c>
      <c r="E45">
        <v>1</v>
      </c>
      <c r="F45" t="str">
        <f>IF(G45=0,"-",INDEX($A$45:$A$49,MATCH(LARGE($C$45:$C$49,E45),$C$45:$C$49,0)))</f>
        <v>Government</v>
      </c>
      <c r="G45" s="22">
        <f>INDEX($B$45:$B$49,MATCH(LARGE($C$45:$C$49,E45),$C$45:$C$49,0))</f>
        <v>56852364.696428604</v>
      </c>
      <c r="H45" t="str">
        <f>IF(G45=0,"",REPT("█",MAX(1,ROUND(G45/$G$45*20,0))))</f>
        <v>████████████████████</v>
      </c>
    </row>
    <row r="46" spans="1:8" x14ac:dyDescent="0.25">
      <c r="A46" t="s">
        <v>45</v>
      </c>
      <c r="B46" s="31">
        <f t="shared" ref="B46:B49" si="5">IFERROR(GETPIVOTDATA("Sum of Revenue",$E$1,"Buyer segment",A46),0)</f>
        <v>19748977.6492</v>
      </c>
      <c r="C46" s="31">
        <f t="shared" ref="C46:C49" si="6">B46+ROW()/1000000</f>
        <v>19748977.649246</v>
      </c>
      <c r="E46">
        <v>2</v>
      </c>
      <c r="F46" t="str">
        <f t="shared" ref="F46:F47" si="7">IF(G46=0,"-",INDEX($A$45:$A$49,MATCH(LARGE($C$45:$C$49,E46),$C$45:$C$49,0)))</f>
        <v>Channel Partners</v>
      </c>
      <c r="G46" s="22">
        <f t="shared" ref="G46:G47" si="8">INDEX($B$45:$B$49,MATCH(LARGE($C$45:$C$49,E46),$C$45:$C$49,0))</f>
        <v>21084904.600000001</v>
      </c>
      <c r="H46" t="str">
        <f t="shared" ref="H46:H47" si="9">IF(G46=0,"",REPT("█",MAX(1,ROUND(G46/$G$45*20,0))))</f>
        <v>███████</v>
      </c>
    </row>
    <row r="47" spans="1:8" x14ac:dyDescent="0.25">
      <c r="A47" t="s">
        <v>39</v>
      </c>
      <c r="B47" s="31">
        <f t="shared" si="5"/>
        <v>56852364.696428604</v>
      </c>
      <c r="C47" s="31">
        <f t="shared" si="6"/>
        <v>56852364.696475603</v>
      </c>
      <c r="E47">
        <v>3</v>
      </c>
      <c r="F47" t="str">
        <f t="shared" si="7"/>
        <v>Small Business</v>
      </c>
      <c r="G47" s="22">
        <f t="shared" si="8"/>
        <v>19907098.524999999</v>
      </c>
      <c r="H47" t="str">
        <f t="shared" si="9"/>
        <v>███████</v>
      </c>
    </row>
    <row r="48" spans="1:8" x14ac:dyDescent="0.25">
      <c r="A48" t="s">
        <v>41</v>
      </c>
      <c r="B48" s="31">
        <f t="shared" si="5"/>
        <v>17594852.556666669</v>
      </c>
      <c r="C48" s="31">
        <f t="shared" si="6"/>
        <v>17594852.556714669</v>
      </c>
      <c r="G48" s="22"/>
    </row>
    <row r="49" spans="1:3" x14ac:dyDescent="0.25">
      <c r="A49" t="s">
        <v>47</v>
      </c>
      <c r="B49" s="31">
        <f t="shared" si="5"/>
        <v>19907098.524999999</v>
      </c>
      <c r="C49" s="31">
        <f t="shared" si="6"/>
        <v>19907098.525048997</v>
      </c>
    </row>
  </sheetData>
  <pageMargins left="0.7" right="0.7" top="0.75" bottom="0.75" header="0.3" footer="0.3"/>
  <pageSetup orientation="portrait" r:id="rId13"/>
  <drawing r:id="rId1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DE2FF-F422-4979-8A18-AC59C5C7A4DA}">
  <sheetPr codeName="Sheet7"/>
  <dimension ref="AF28"/>
  <sheetViews>
    <sheetView showGridLines="0" showRowColHeaders="0" tabSelected="1" topLeftCell="H6" zoomScale="90" zoomScaleNormal="90" workbookViewId="0">
      <selection activeCell="J29" sqref="J29"/>
    </sheetView>
  </sheetViews>
  <sheetFormatPr defaultRowHeight="13.5" x14ac:dyDescent="0.25"/>
  <sheetData>
    <row r="28" spans="32:32" x14ac:dyDescent="0.25">
      <c r="AF28" s="32"/>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Guide</vt:lpstr>
      <vt:lpstr>Order raw</vt:lpstr>
      <vt:lpstr>Discount</vt:lpstr>
      <vt:lpstr>Product</vt:lpstr>
      <vt:lpstr>Other financials</vt:lpstr>
      <vt:lpstr>Pivot</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Adib</dc:creator>
  <cp:keywords/>
  <dc:description/>
  <cp:lastModifiedBy>Refa Defanda</cp:lastModifiedBy>
  <cp:revision/>
  <dcterms:created xsi:type="dcterms:W3CDTF">2024-08-16T11:14:02Z</dcterms:created>
  <dcterms:modified xsi:type="dcterms:W3CDTF">2026-09-28T12:04:28Z</dcterms:modified>
  <cp:category/>
  <cp:contentStatus/>
</cp:coreProperties>
</file>